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D:\Gustavo Larsen\usp.br\larsen - Documentos\Data\Scip\"/>
    </mc:Choice>
  </mc:AlternateContent>
  <bookViews>
    <workbookView xWindow="-120" yWindow="-120" windowWidth="20730" windowHeight="11160" tabRatio="624" activeTab="1"/>
  </bookViews>
  <sheets>
    <sheet name="All" sheetId="1" r:id="rId1"/>
    <sheet name="0" sheetId="174" r:id="rId2"/>
    <sheet name="1" sheetId="175" r:id="rId3"/>
    <sheet name="2" sheetId="176" r:id="rId4"/>
    <sheet name="3" sheetId="177" r:id="rId5"/>
    <sheet name="4" sheetId="178" r:id="rId6"/>
    <sheet name="5" sheetId="179" r:id="rId7"/>
    <sheet name="6" sheetId="180" r:id="rId8"/>
    <sheet name="7" sheetId="181" r:id="rId9"/>
    <sheet name="8" sheetId="182" r:id="rId10"/>
    <sheet name="9" sheetId="183" r:id="rId11"/>
    <sheet name="10" sheetId="184" r:id="rId12"/>
    <sheet name="11" sheetId="185" r:id="rId13"/>
    <sheet name="12" sheetId="186" r:id="rId14"/>
    <sheet name="13" sheetId="187" r:id="rId15"/>
    <sheet name="14" sheetId="188" r:id="rId16"/>
    <sheet name="15" sheetId="189" r:id="rId17"/>
    <sheet name="16" sheetId="190" r:id="rId18"/>
    <sheet name="17" sheetId="191" r:id="rId19"/>
    <sheet name="18" sheetId="192" r:id="rId20"/>
    <sheet name="19" sheetId="193" r:id="rId21"/>
    <sheet name="20" sheetId="194" r:id="rId22"/>
    <sheet name="21" sheetId="195" r:id="rId23"/>
    <sheet name="22" sheetId="196" r:id="rId24"/>
    <sheet name="23" sheetId="197" r:id="rId25"/>
    <sheet name="24" sheetId="198" r:id="rId26"/>
    <sheet name="25" sheetId="199" r:id="rId27"/>
    <sheet name="26" sheetId="200" r:id="rId28"/>
    <sheet name="27" sheetId="201" r:id="rId29"/>
    <sheet name="28" sheetId="202" r:id="rId30"/>
    <sheet name="29" sheetId="203" r:id="rId31"/>
    <sheet name="30" sheetId="204" r:id="rId32"/>
    <sheet name="31" sheetId="205" r:id="rId33"/>
    <sheet name="32" sheetId="206" r:id="rId34"/>
    <sheet name="33" sheetId="207" r:id="rId35"/>
    <sheet name="34" sheetId="208" r:id="rId36"/>
    <sheet name="35" sheetId="209" r:id="rId37"/>
    <sheet name="All1" sheetId="210" r:id="rId38"/>
  </sheets>
  <definedNames>
    <definedName name="historico_velocidades_4708_10_0_1" localSheetId="2">'1'!$A$1:$AA$29</definedName>
    <definedName name="historico_velocidades_4708_10_0_10" localSheetId="11">'10'!$A$1:$AA$29</definedName>
    <definedName name="historico_velocidades_4708_10_0_11" localSheetId="12">'11'!$A$1:$AA$29</definedName>
    <definedName name="historico_velocidades_4708_10_0_12" localSheetId="13">'12'!$A$1:$AA$29</definedName>
    <definedName name="historico_velocidades_4708_10_0_13" localSheetId="14">'13'!$A$1:$AA$29</definedName>
    <definedName name="historico_velocidades_4708_10_0_14" localSheetId="15">'14'!$A$1:$AA$29</definedName>
    <definedName name="historico_velocidades_4708_10_0_15" localSheetId="16">'15'!$A$1:$AA$29</definedName>
    <definedName name="historico_velocidades_4708_10_0_16" localSheetId="17">'16'!$A$1:$AA$29</definedName>
    <definedName name="historico_velocidades_4708_10_0_17" localSheetId="18">'17'!$A$1:$AA$29</definedName>
    <definedName name="historico_velocidades_4708_10_0_18" localSheetId="19">'18'!$A$1:$AA$29</definedName>
    <definedName name="historico_velocidades_4708_10_0_19" localSheetId="20">'19'!$A$1:$AA$29</definedName>
    <definedName name="historico_velocidades_4708_10_0_2" localSheetId="3">'2'!$A$1:$AA$29</definedName>
    <definedName name="historico_velocidades_4708_10_0_20" localSheetId="21">'20'!$A$1:$AA$29</definedName>
    <definedName name="historico_velocidades_4708_10_0_21" localSheetId="22">'21'!$A$1:$AA$29</definedName>
    <definedName name="historico_velocidades_4708_10_0_22" localSheetId="23">'22'!$A$1:$AA$29</definedName>
    <definedName name="historico_velocidades_4708_10_0_23" localSheetId="24">'23'!$A$1:$AA$29</definedName>
    <definedName name="historico_velocidades_4708_10_0_24" localSheetId="25">'24'!$A$1:$AA$29</definedName>
    <definedName name="historico_velocidades_4708_10_0_25" localSheetId="26">'25'!$A$1:$AA$29</definedName>
    <definedName name="historico_velocidades_4708_10_0_26" localSheetId="27">'26'!$A$1:$AA$29</definedName>
    <definedName name="historico_velocidades_4708_10_0_27" localSheetId="28">'27'!$A$1:$AA$29</definedName>
    <definedName name="historico_velocidades_4708_10_0_28" localSheetId="29">'28'!$A$1:$AA$29</definedName>
    <definedName name="historico_velocidades_4708_10_0_29" localSheetId="30">'29'!$A$1:$AA$29</definedName>
    <definedName name="historico_velocidades_4708_10_0_3" localSheetId="4">'3'!$A$1:$AA$29</definedName>
    <definedName name="historico_velocidades_4708_10_0_30" localSheetId="31">'30'!$A$1:$AA$29</definedName>
    <definedName name="historico_velocidades_4708_10_0_31" localSheetId="32">'31'!$A$1:$AA$29</definedName>
    <definedName name="historico_velocidades_4708_10_0_32" localSheetId="33">'32'!$A$1:$AA$29</definedName>
    <definedName name="historico_velocidades_4708_10_0_33" localSheetId="34">'33'!$A$1:$AA$29</definedName>
    <definedName name="historico_velocidades_4708_10_0_34" localSheetId="35">'34'!$A$1:$AA$29</definedName>
    <definedName name="historico_velocidades_4708_10_0_35" localSheetId="36">'35'!$A$1:$AA$29</definedName>
    <definedName name="historico_velocidades_4708_10_0_4" localSheetId="5">'4'!$A$1:$AA$29</definedName>
    <definedName name="historico_velocidades_4708_10_0_5" localSheetId="6">'5'!$A$1:$AA$29</definedName>
    <definedName name="historico_velocidades_4708_10_0_6" localSheetId="7">'6'!$A$1:$AA$29</definedName>
    <definedName name="historico_velocidades_4708_10_0_7" localSheetId="8">'7'!$A$1:$AA$29</definedName>
    <definedName name="historico_velocidades_4708_10_0_8" localSheetId="9">'8'!$A$1:$AA$29</definedName>
    <definedName name="historico_velocidades_4708_10_0_9" localSheetId="10">'9'!$A$1:$AA$29</definedName>
    <definedName name="historico_velocidades_4708_10_0_All1" localSheetId="37">'All1'!$A$1:$AA$29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A2" i="176" l="1"/>
  <c r="Z2" i="176"/>
  <c r="Y2" i="176"/>
  <c r="X2" i="176"/>
  <c r="W2" i="176"/>
  <c r="V2" i="176"/>
  <c r="U2" i="176"/>
  <c r="T2" i="176"/>
  <c r="S2" i="176"/>
  <c r="R2" i="176"/>
  <c r="Q2" i="176"/>
  <c r="P2" i="176"/>
  <c r="O2" i="176"/>
  <c r="N2" i="176"/>
  <c r="M2" i="176"/>
  <c r="L2" i="176"/>
  <c r="K2" i="176"/>
  <c r="J2" i="176"/>
  <c r="I2" i="176"/>
  <c r="H2" i="176"/>
  <c r="G2" i="176"/>
  <c r="F2" i="176"/>
  <c r="E2" i="176"/>
  <c r="D2" i="176"/>
  <c r="AA2" i="177"/>
  <c r="Z2" i="177"/>
  <c r="Y2" i="177"/>
  <c r="X2" i="177"/>
  <c r="W2" i="177"/>
  <c r="V2" i="177"/>
  <c r="U2" i="177"/>
  <c r="T2" i="177"/>
  <c r="S2" i="177"/>
  <c r="R2" i="177"/>
  <c r="Q2" i="177"/>
  <c r="P2" i="177"/>
  <c r="O2" i="177"/>
  <c r="N2" i="177"/>
  <c r="M2" i="177"/>
  <c r="L2" i="177"/>
  <c r="K2" i="177"/>
  <c r="J2" i="177"/>
  <c r="I2" i="177"/>
  <c r="H2" i="177"/>
  <c r="G2" i="177"/>
  <c r="F2" i="177"/>
  <c r="E2" i="177"/>
  <c r="D2" i="177"/>
  <c r="AA2" i="178"/>
  <c r="Z2" i="178"/>
  <c r="Y2" i="178"/>
  <c r="X2" i="178"/>
  <c r="W2" i="178"/>
  <c r="V2" i="178"/>
  <c r="U2" i="178"/>
  <c r="T2" i="178"/>
  <c r="S2" i="178"/>
  <c r="R2" i="178"/>
  <c r="Q2" i="178"/>
  <c r="P2" i="178"/>
  <c r="O2" i="178"/>
  <c r="N2" i="178"/>
  <c r="M2" i="178"/>
  <c r="L2" i="178"/>
  <c r="K2" i="178"/>
  <c r="J2" i="178"/>
  <c r="I2" i="178"/>
  <c r="H2" i="178"/>
  <c r="G2" i="178"/>
  <c r="F2" i="178"/>
  <c r="E2" i="178"/>
  <c r="D2" i="178"/>
  <c r="AA2" i="179"/>
  <c r="Z2" i="179"/>
  <c r="Y2" i="179"/>
  <c r="X2" i="179"/>
  <c r="W2" i="179"/>
  <c r="V2" i="179"/>
  <c r="U2" i="179"/>
  <c r="T2" i="179"/>
  <c r="S2" i="179"/>
  <c r="R2" i="179"/>
  <c r="Q2" i="179"/>
  <c r="P2" i="179"/>
  <c r="O2" i="179"/>
  <c r="N2" i="179"/>
  <c r="M2" i="179"/>
  <c r="L2" i="179"/>
  <c r="K2" i="179"/>
  <c r="J2" i="179"/>
  <c r="I2" i="179"/>
  <c r="H2" i="179"/>
  <c r="G2" i="179"/>
  <c r="F2" i="179"/>
  <c r="E2" i="179"/>
  <c r="D2" i="179"/>
  <c r="AA2" i="180"/>
  <c r="Z2" i="180"/>
  <c r="Y2" i="180"/>
  <c r="X2" i="180"/>
  <c r="W2" i="180"/>
  <c r="V2" i="180"/>
  <c r="U2" i="180"/>
  <c r="T2" i="180"/>
  <c r="S2" i="180"/>
  <c r="R2" i="180"/>
  <c r="Q2" i="180"/>
  <c r="P2" i="180"/>
  <c r="O2" i="180"/>
  <c r="N2" i="180"/>
  <c r="M2" i="180"/>
  <c r="L2" i="180"/>
  <c r="K2" i="180"/>
  <c r="J2" i="180"/>
  <c r="I2" i="180"/>
  <c r="H2" i="180"/>
  <c r="G2" i="180"/>
  <c r="F2" i="180"/>
  <c r="E2" i="180"/>
  <c r="D2" i="180"/>
  <c r="AA2" i="181"/>
  <c r="Z2" i="181"/>
  <c r="Y2" i="181"/>
  <c r="X2" i="181"/>
  <c r="W2" i="181"/>
  <c r="V2" i="181"/>
  <c r="U2" i="181"/>
  <c r="T2" i="181"/>
  <c r="S2" i="181"/>
  <c r="R2" i="181"/>
  <c r="Q2" i="181"/>
  <c r="P2" i="181"/>
  <c r="O2" i="181"/>
  <c r="N2" i="181"/>
  <c r="M2" i="181"/>
  <c r="L2" i="181"/>
  <c r="K2" i="181"/>
  <c r="J2" i="181"/>
  <c r="I2" i="181"/>
  <c r="H2" i="181"/>
  <c r="G2" i="181"/>
  <c r="F2" i="181"/>
  <c r="E2" i="181"/>
  <c r="D2" i="181"/>
  <c r="AA2" i="182"/>
  <c r="Z2" i="182"/>
  <c r="Y2" i="182"/>
  <c r="X2" i="182"/>
  <c r="W2" i="182"/>
  <c r="V2" i="182"/>
  <c r="U2" i="182"/>
  <c r="T2" i="182"/>
  <c r="S2" i="182"/>
  <c r="R2" i="182"/>
  <c r="Q2" i="182"/>
  <c r="P2" i="182"/>
  <c r="O2" i="182"/>
  <c r="N2" i="182"/>
  <c r="M2" i="182"/>
  <c r="L2" i="182"/>
  <c r="K2" i="182"/>
  <c r="J2" i="182"/>
  <c r="I2" i="182"/>
  <c r="H2" i="182"/>
  <c r="G2" i="182"/>
  <c r="F2" i="182"/>
  <c r="E2" i="182"/>
  <c r="D2" i="182"/>
  <c r="AA2" i="183"/>
  <c r="Z2" i="183"/>
  <c r="Y2" i="183"/>
  <c r="X2" i="183"/>
  <c r="W2" i="183"/>
  <c r="V2" i="183"/>
  <c r="U2" i="183"/>
  <c r="T2" i="183"/>
  <c r="S2" i="183"/>
  <c r="R2" i="183"/>
  <c r="Q2" i="183"/>
  <c r="P2" i="183"/>
  <c r="O2" i="183"/>
  <c r="N2" i="183"/>
  <c r="M2" i="183"/>
  <c r="L2" i="183"/>
  <c r="K2" i="183"/>
  <c r="J2" i="183"/>
  <c r="I2" i="183"/>
  <c r="H2" i="183"/>
  <c r="G2" i="183"/>
  <c r="F2" i="183"/>
  <c r="E2" i="183"/>
  <c r="D2" i="183"/>
  <c r="AA2" i="184"/>
  <c r="Z2" i="184"/>
  <c r="Y2" i="184"/>
  <c r="X2" i="184"/>
  <c r="W2" i="184"/>
  <c r="V2" i="184"/>
  <c r="U2" i="184"/>
  <c r="T2" i="184"/>
  <c r="S2" i="184"/>
  <c r="R2" i="184"/>
  <c r="Q2" i="184"/>
  <c r="P2" i="184"/>
  <c r="O2" i="184"/>
  <c r="N2" i="184"/>
  <c r="M2" i="184"/>
  <c r="L2" i="184"/>
  <c r="K2" i="184"/>
  <c r="J2" i="184"/>
  <c r="I2" i="184"/>
  <c r="H2" i="184"/>
  <c r="G2" i="184"/>
  <c r="F2" i="184"/>
  <c r="E2" i="184"/>
  <c r="D2" i="184"/>
  <c r="AA2" i="185"/>
  <c r="Z2" i="185"/>
  <c r="Y2" i="185"/>
  <c r="X2" i="185"/>
  <c r="W2" i="185"/>
  <c r="V2" i="185"/>
  <c r="U2" i="185"/>
  <c r="T2" i="185"/>
  <c r="S2" i="185"/>
  <c r="R2" i="185"/>
  <c r="Q2" i="185"/>
  <c r="P2" i="185"/>
  <c r="O2" i="185"/>
  <c r="N2" i="185"/>
  <c r="M2" i="185"/>
  <c r="L2" i="185"/>
  <c r="K2" i="185"/>
  <c r="J2" i="185"/>
  <c r="I2" i="185"/>
  <c r="H2" i="185"/>
  <c r="G2" i="185"/>
  <c r="F2" i="185"/>
  <c r="E2" i="185"/>
  <c r="D2" i="185"/>
  <c r="AA2" i="186"/>
  <c r="Z2" i="186"/>
  <c r="Y2" i="186"/>
  <c r="X2" i="186"/>
  <c r="W2" i="186"/>
  <c r="V2" i="186"/>
  <c r="U2" i="186"/>
  <c r="T2" i="186"/>
  <c r="S2" i="186"/>
  <c r="R2" i="186"/>
  <c r="Q2" i="186"/>
  <c r="P2" i="186"/>
  <c r="O2" i="186"/>
  <c r="N2" i="186"/>
  <c r="M2" i="186"/>
  <c r="L2" i="186"/>
  <c r="K2" i="186"/>
  <c r="J2" i="186"/>
  <c r="I2" i="186"/>
  <c r="H2" i="186"/>
  <c r="G2" i="186"/>
  <c r="F2" i="186"/>
  <c r="E2" i="186"/>
  <c r="D2" i="186"/>
  <c r="AA2" i="187"/>
  <c r="Z2" i="187"/>
  <c r="Y2" i="187"/>
  <c r="X2" i="187"/>
  <c r="W2" i="187"/>
  <c r="V2" i="187"/>
  <c r="U2" i="187"/>
  <c r="T2" i="187"/>
  <c r="S2" i="187"/>
  <c r="R2" i="187"/>
  <c r="Q2" i="187"/>
  <c r="P2" i="187"/>
  <c r="O2" i="187"/>
  <c r="N2" i="187"/>
  <c r="M2" i="187"/>
  <c r="L2" i="187"/>
  <c r="K2" i="187"/>
  <c r="J2" i="187"/>
  <c r="I2" i="187"/>
  <c r="H2" i="187"/>
  <c r="G2" i="187"/>
  <c r="F2" i="187"/>
  <c r="E2" i="187"/>
  <c r="D2" i="187"/>
  <c r="AA2" i="188"/>
  <c r="Z2" i="188"/>
  <c r="Y2" i="188"/>
  <c r="X2" i="188"/>
  <c r="W2" i="188"/>
  <c r="V2" i="188"/>
  <c r="U2" i="188"/>
  <c r="T2" i="188"/>
  <c r="S2" i="188"/>
  <c r="R2" i="188"/>
  <c r="Q2" i="188"/>
  <c r="P2" i="188"/>
  <c r="O2" i="188"/>
  <c r="N2" i="188"/>
  <c r="M2" i="188"/>
  <c r="L2" i="188"/>
  <c r="K2" i="188"/>
  <c r="J2" i="188"/>
  <c r="I2" i="188"/>
  <c r="H2" i="188"/>
  <c r="G2" i="188"/>
  <c r="F2" i="188"/>
  <c r="E2" i="188"/>
  <c r="D2" i="188"/>
  <c r="AA2" i="189"/>
  <c r="Z2" i="189"/>
  <c r="Y2" i="189"/>
  <c r="X2" i="189"/>
  <c r="W2" i="189"/>
  <c r="V2" i="189"/>
  <c r="U2" i="189"/>
  <c r="T2" i="189"/>
  <c r="S2" i="189"/>
  <c r="R2" i="189"/>
  <c r="Q2" i="189"/>
  <c r="P2" i="189"/>
  <c r="O2" i="189"/>
  <c r="N2" i="189"/>
  <c r="M2" i="189"/>
  <c r="L2" i="189"/>
  <c r="K2" i="189"/>
  <c r="J2" i="189"/>
  <c r="I2" i="189"/>
  <c r="H2" i="189"/>
  <c r="G2" i="189"/>
  <c r="F2" i="189"/>
  <c r="E2" i="189"/>
  <c r="D2" i="189"/>
  <c r="AA2" i="190"/>
  <c r="Z2" i="190"/>
  <c r="Y2" i="190"/>
  <c r="X2" i="190"/>
  <c r="W2" i="190"/>
  <c r="V2" i="190"/>
  <c r="U2" i="190"/>
  <c r="T2" i="190"/>
  <c r="S2" i="190"/>
  <c r="R2" i="190"/>
  <c r="Q2" i="190"/>
  <c r="P2" i="190"/>
  <c r="O2" i="190"/>
  <c r="N2" i="190"/>
  <c r="M2" i="190"/>
  <c r="L2" i="190"/>
  <c r="K2" i="190"/>
  <c r="J2" i="190"/>
  <c r="I2" i="190"/>
  <c r="H2" i="190"/>
  <c r="G2" i="190"/>
  <c r="F2" i="190"/>
  <c r="E2" i="190"/>
  <c r="D2" i="190"/>
  <c r="AA2" i="191"/>
  <c r="Z2" i="191"/>
  <c r="Y2" i="191"/>
  <c r="X2" i="191"/>
  <c r="W2" i="191"/>
  <c r="V2" i="191"/>
  <c r="U2" i="191"/>
  <c r="T2" i="191"/>
  <c r="S2" i="191"/>
  <c r="R2" i="191"/>
  <c r="Q2" i="191"/>
  <c r="P2" i="191"/>
  <c r="O2" i="191"/>
  <c r="N2" i="191"/>
  <c r="M2" i="191"/>
  <c r="L2" i="191"/>
  <c r="K2" i="191"/>
  <c r="J2" i="191"/>
  <c r="I2" i="191"/>
  <c r="H2" i="191"/>
  <c r="G2" i="191"/>
  <c r="F2" i="191"/>
  <c r="E2" i="191"/>
  <c r="D2" i="191"/>
  <c r="AA2" i="192"/>
  <c r="Z2" i="192"/>
  <c r="Y2" i="192"/>
  <c r="X2" i="192"/>
  <c r="W2" i="192"/>
  <c r="V2" i="192"/>
  <c r="U2" i="192"/>
  <c r="T2" i="192"/>
  <c r="S2" i="192"/>
  <c r="R2" i="192"/>
  <c r="Q2" i="192"/>
  <c r="P2" i="192"/>
  <c r="O2" i="192"/>
  <c r="N2" i="192"/>
  <c r="M2" i="192"/>
  <c r="L2" i="192"/>
  <c r="K2" i="192"/>
  <c r="J2" i="192"/>
  <c r="I2" i="192"/>
  <c r="H2" i="192"/>
  <c r="G2" i="192"/>
  <c r="F2" i="192"/>
  <c r="E2" i="192"/>
  <c r="D2" i="192"/>
  <c r="AA2" i="193"/>
  <c r="Z2" i="193"/>
  <c r="Y2" i="193"/>
  <c r="X2" i="193"/>
  <c r="W2" i="193"/>
  <c r="V2" i="193"/>
  <c r="U2" i="193"/>
  <c r="T2" i="193"/>
  <c r="S2" i="193"/>
  <c r="R2" i="193"/>
  <c r="Q2" i="193"/>
  <c r="P2" i="193"/>
  <c r="O2" i="193"/>
  <c r="N2" i="193"/>
  <c r="M2" i="193"/>
  <c r="L2" i="193"/>
  <c r="K2" i="193"/>
  <c r="J2" i="193"/>
  <c r="I2" i="193"/>
  <c r="H2" i="193"/>
  <c r="G2" i="193"/>
  <c r="F2" i="193"/>
  <c r="E2" i="193"/>
  <c r="D2" i="193"/>
  <c r="AA2" i="194"/>
  <c r="Z2" i="194"/>
  <c r="Y2" i="194"/>
  <c r="X2" i="194"/>
  <c r="W2" i="194"/>
  <c r="V2" i="194"/>
  <c r="U2" i="194"/>
  <c r="T2" i="194"/>
  <c r="S2" i="194"/>
  <c r="R2" i="194"/>
  <c r="Q2" i="194"/>
  <c r="P2" i="194"/>
  <c r="O2" i="194"/>
  <c r="N2" i="194"/>
  <c r="M2" i="194"/>
  <c r="L2" i="194"/>
  <c r="K2" i="194"/>
  <c r="J2" i="194"/>
  <c r="I2" i="194"/>
  <c r="H2" i="194"/>
  <c r="G2" i="194"/>
  <c r="F2" i="194"/>
  <c r="E2" i="194"/>
  <c r="D2" i="194"/>
  <c r="AA2" i="195"/>
  <c r="Z2" i="195"/>
  <c r="Y2" i="195"/>
  <c r="X2" i="195"/>
  <c r="W2" i="195"/>
  <c r="V2" i="195"/>
  <c r="U2" i="195"/>
  <c r="T2" i="195"/>
  <c r="S2" i="195"/>
  <c r="R2" i="195"/>
  <c r="Q2" i="195"/>
  <c r="P2" i="195"/>
  <c r="O2" i="195"/>
  <c r="N2" i="195"/>
  <c r="M2" i="195"/>
  <c r="L2" i="195"/>
  <c r="K2" i="195"/>
  <c r="J2" i="195"/>
  <c r="I2" i="195"/>
  <c r="H2" i="195"/>
  <c r="G2" i="195"/>
  <c r="F2" i="195"/>
  <c r="E2" i="195"/>
  <c r="D2" i="195"/>
  <c r="AA2" i="196"/>
  <c r="Z2" i="196"/>
  <c r="Y2" i="196"/>
  <c r="X2" i="196"/>
  <c r="W2" i="196"/>
  <c r="V2" i="196"/>
  <c r="U2" i="196"/>
  <c r="T2" i="196"/>
  <c r="S2" i="196"/>
  <c r="R2" i="196"/>
  <c r="Q2" i="196"/>
  <c r="P2" i="196"/>
  <c r="O2" i="196"/>
  <c r="N2" i="196"/>
  <c r="M2" i="196"/>
  <c r="L2" i="196"/>
  <c r="K2" i="196"/>
  <c r="J2" i="196"/>
  <c r="I2" i="196"/>
  <c r="H2" i="196"/>
  <c r="G2" i="196"/>
  <c r="F2" i="196"/>
  <c r="E2" i="196"/>
  <c r="D2" i="196"/>
  <c r="AA2" i="197"/>
  <c r="Z2" i="197"/>
  <c r="Y2" i="197"/>
  <c r="X2" i="197"/>
  <c r="W2" i="197"/>
  <c r="V2" i="197"/>
  <c r="U2" i="197"/>
  <c r="T2" i="197"/>
  <c r="S2" i="197"/>
  <c r="R2" i="197"/>
  <c r="Q2" i="197"/>
  <c r="P2" i="197"/>
  <c r="O2" i="197"/>
  <c r="N2" i="197"/>
  <c r="M2" i="197"/>
  <c r="L2" i="197"/>
  <c r="K2" i="197"/>
  <c r="J2" i="197"/>
  <c r="I2" i="197"/>
  <c r="H2" i="197"/>
  <c r="G2" i="197"/>
  <c r="F2" i="197"/>
  <c r="E2" i="197"/>
  <c r="D2" i="197"/>
  <c r="AA2" i="198"/>
  <c r="Z2" i="198"/>
  <c r="Y2" i="198"/>
  <c r="X2" i="198"/>
  <c r="W2" i="198"/>
  <c r="V2" i="198"/>
  <c r="U2" i="198"/>
  <c r="T2" i="198"/>
  <c r="S2" i="198"/>
  <c r="R2" i="198"/>
  <c r="Q2" i="198"/>
  <c r="P2" i="198"/>
  <c r="O2" i="198"/>
  <c r="N2" i="198"/>
  <c r="M2" i="198"/>
  <c r="L2" i="198"/>
  <c r="K2" i="198"/>
  <c r="J2" i="198"/>
  <c r="I2" i="198"/>
  <c r="H2" i="198"/>
  <c r="G2" i="198"/>
  <c r="F2" i="198"/>
  <c r="E2" i="198"/>
  <c r="D2" i="198"/>
  <c r="AA2" i="199"/>
  <c r="Z2" i="199"/>
  <c r="Y2" i="199"/>
  <c r="X2" i="199"/>
  <c r="W2" i="199"/>
  <c r="V2" i="199"/>
  <c r="U2" i="199"/>
  <c r="T2" i="199"/>
  <c r="S2" i="199"/>
  <c r="R2" i="199"/>
  <c r="Q2" i="199"/>
  <c r="P2" i="199"/>
  <c r="O2" i="199"/>
  <c r="N2" i="199"/>
  <c r="M2" i="199"/>
  <c r="L2" i="199"/>
  <c r="K2" i="199"/>
  <c r="J2" i="199"/>
  <c r="I2" i="199"/>
  <c r="H2" i="199"/>
  <c r="G2" i="199"/>
  <c r="F2" i="199"/>
  <c r="E2" i="199"/>
  <c r="D2" i="199"/>
  <c r="AA2" i="200"/>
  <c r="Z2" i="200"/>
  <c r="Y2" i="200"/>
  <c r="X2" i="200"/>
  <c r="W2" i="200"/>
  <c r="V2" i="200"/>
  <c r="U2" i="200"/>
  <c r="T2" i="200"/>
  <c r="S2" i="200"/>
  <c r="R2" i="200"/>
  <c r="Q2" i="200"/>
  <c r="P2" i="200"/>
  <c r="O2" i="200"/>
  <c r="N2" i="200"/>
  <c r="M2" i="200"/>
  <c r="L2" i="200"/>
  <c r="K2" i="200"/>
  <c r="J2" i="200"/>
  <c r="I2" i="200"/>
  <c r="H2" i="200"/>
  <c r="G2" i="200"/>
  <c r="F2" i="200"/>
  <c r="E2" i="200"/>
  <c r="D2" i="200"/>
  <c r="AA2" i="201"/>
  <c r="Z2" i="201"/>
  <c r="Y2" i="201"/>
  <c r="X2" i="201"/>
  <c r="W2" i="201"/>
  <c r="V2" i="201"/>
  <c r="U2" i="201"/>
  <c r="T2" i="201"/>
  <c r="S2" i="201"/>
  <c r="R2" i="201"/>
  <c r="Q2" i="201"/>
  <c r="P2" i="201"/>
  <c r="O2" i="201"/>
  <c r="N2" i="201"/>
  <c r="M2" i="201"/>
  <c r="L2" i="201"/>
  <c r="K2" i="201"/>
  <c r="J2" i="201"/>
  <c r="I2" i="201"/>
  <c r="H2" i="201"/>
  <c r="G2" i="201"/>
  <c r="F2" i="201"/>
  <c r="E2" i="201"/>
  <c r="D2" i="201"/>
  <c r="AA2" i="202"/>
  <c r="Z2" i="202"/>
  <c r="Y2" i="202"/>
  <c r="X2" i="202"/>
  <c r="W2" i="202"/>
  <c r="V2" i="202"/>
  <c r="U2" i="202"/>
  <c r="T2" i="202"/>
  <c r="S2" i="202"/>
  <c r="R2" i="202"/>
  <c r="Q2" i="202"/>
  <c r="P2" i="202"/>
  <c r="O2" i="202"/>
  <c r="N2" i="202"/>
  <c r="M2" i="202"/>
  <c r="L2" i="202"/>
  <c r="K2" i="202"/>
  <c r="J2" i="202"/>
  <c r="I2" i="202"/>
  <c r="H2" i="202"/>
  <c r="G2" i="202"/>
  <c r="F2" i="202"/>
  <c r="E2" i="202"/>
  <c r="D2" i="202"/>
  <c r="AA2" i="203"/>
  <c r="Z2" i="203"/>
  <c r="Y2" i="203"/>
  <c r="X2" i="203"/>
  <c r="W2" i="203"/>
  <c r="V2" i="203"/>
  <c r="U2" i="203"/>
  <c r="T2" i="203"/>
  <c r="S2" i="203"/>
  <c r="R2" i="203"/>
  <c r="Q2" i="203"/>
  <c r="P2" i="203"/>
  <c r="O2" i="203"/>
  <c r="N2" i="203"/>
  <c r="M2" i="203"/>
  <c r="L2" i="203"/>
  <c r="K2" i="203"/>
  <c r="J2" i="203"/>
  <c r="I2" i="203"/>
  <c r="H2" i="203"/>
  <c r="G2" i="203"/>
  <c r="F2" i="203"/>
  <c r="E2" i="203"/>
  <c r="D2" i="203"/>
  <c r="AA2" i="204"/>
  <c r="Z2" i="204"/>
  <c r="Y2" i="204"/>
  <c r="X2" i="204"/>
  <c r="W2" i="204"/>
  <c r="V2" i="204"/>
  <c r="U2" i="204"/>
  <c r="T2" i="204"/>
  <c r="S2" i="204"/>
  <c r="R2" i="204"/>
  <c r="Q2" i="204"/>
  <c r="P2" i="204"/>
  <c r="O2" i="204"/>
  <c r="N2" i="204"/>
  <c r="M2" i="204"/>
  <c r="L2" i="204"/>
  <c r="K2" i="204"/>
  <c r="J2" i="204"/>
  <c r="I2" i="204"/>
  <c r="H2" i="204"/>
  <c r="G2" i="204"/>
  <c r="F2" i="204"/>
  <c r="E2" i="204"/>
  <c r="D2" i="204"/>
  <c r="AA2" i="205"/>
  <c r="Z2" i="205"/>
  <c r="Y2" i="205"/>
  <c r="X2" i="205"/>
  <c r="W2" i="205"/>
  <c r="V2" i="205"/>
  <c r="U2" i="205"/>
  <c r="T2" i="205"/>
  <c r="S2" i="205"/>
  <c r="R2" i="205"/>
  <c r="Q2" i="205"/>
  <c r="P2" i="205"/>
  <c r="O2" i="205"/>
  <c r="N2" i="205"/>
  <c r="M2" i="205"/>
  <c r="L2" i="205"/>
  <c r="K2" i="205"/>
  <c r="J2" i="205"/>
  <c r="I2" i="205"/>
  <c r="H2" i="205"/>
  <c r="G2" i="205"/>
  <c r="F2" i="205"/>
  <c r="E2" i="205"/>
  <c r="D2" i="205"/>
  <c r="AA2" i="206"/>
  <c r="Z2" i="206"/>
  <c r="Y2" i="206"/>
  <c r="X2" i="206"/>
  <c r="W2" i="206"/>
  <c r="V2" i="206"/>
  <c r="U2" i="206"/>
  <c r="T2" i="206"/>
  <c r="S2" i="206"/>
  <c r="R2" i="206"/>
  <c r="Q2" i="206"/>
  <c r="P2" i="206"/>
  <c r="O2" i="206"/>
  <c r="N2" i="206"/>
  <c r="M2" i="206"/>
  <c r="L2" i="206"/>
  <c r="K2" i="206"/>
  <c r="J2" i="206"/>
  <c r="I2" i="206"/>
  <c r="H2" i="206"/>
  <c r="G2" i="206"/>
  <c r="F2" i="206"/>
  <c r="E2" i="206"/>
  <c r="D2" i="206"/>
  <c r="AA2" i="207"/>
  <c r="Z2" i="207"/>
  <c r="Y2" i="207"/>
  <c r="X2" i="207"/>
  <c r="W2" i="207"/>
  <c r="V2" i="207"/>
  <c r="U2" i="207"/>
  <c r="T2" i="207"/>
  <c r="S2" i="207"/>
  <c r="R2" i="207"/>
  <c r="Q2" i="207"/>
  <c r="P2" i="207"/>
  <c r="O2" i="207"/>
  <c r="N2" i="207"/>
  <c r="M2" i="207"/>
  <c r="L2" i="207"/>
  <c r="K2" i="207"/>
  <c r="J2" i="207"/>
  <c r="I2" i="207"/>
  <c r="H2" i="207"/>
  <c r="G2" i="207"/>
  <c r="F2" i="207"/>
  <c r="E2" i="207"/>
  <c r="D2" i="207"/>
  <c r="AA2" i="208"/>
  <c r="Z2" i="208"/>
  <c r="Y2" i="208"/>
  <c r="X2" i="208"/>
  <c r="W2" i="208"/>
  <c r="V2" i="208"/>
  <c r="U2" i="208"/>
  <c r="T2" i="208"/>
  <c r="S2" i="208"/>
  <c r="R2" i="208"/>
  <c r="Q2" i="208"/>
  <c r="P2" i="208"/>
  <c r="O2" i="208"/>
  <c r="N2" i="208"/>
  <c r="M2" i="208"/>
  <c r="L2" i="208"/>
  <c r="K2" i="208"/>
  <c r="J2" i="208"/>
  <c r="I2" i="208"/>
  <c r="H2" i="208"/>
  <c r="G2" i="208"/>
  <c r="F2" i="208"/>
  <c r="E2" i="208"/>
  <c r="D2" i="208"/>
  <c r="AA2" i="209"/>
  <c r="Z2" i="209"/>
  <c r="Y2" i="209"/>
  <c r="X2" i="209"/>
  <c r="W2" i="209"/>
  <c r="V2" i="209"/>
  <c r="U2" i="209"/>
  <c r="T2" i="209"/>
  <c r="S2" i="209"/>
  <c r="R2" i="209"/>
  <c r="Q2" i="209"/>
  <c r="P2" i="209"/>
  <c r="O2" i="209"/>
  <c r="N2" i="209"/>
  <c r="M2" i="209"/>
  <c r="L2" i="209"/>
  <c r="K2" i="209"/>
  <c r="J2" i="209"/>
  <c r="I2" i="209"/>
  <c r="H2" i="209"/>
  <c r="G2" i="209"/>
  <c r="F2" i="209"/>
  <c r="E2" i="209"/>
  <c r="D2" i="209"/>
  <c r="AA2" i="210"/>
  <c r="Z2" i="210"/>
  <c r="Y2" i="210"/>
  <c r="X2" i="210"/>
  <c r="W2" i="210"/>
  <c r="V2" i="210"/>
  <c r="U2" i="210"/>
  <c r="T2" i="210"/>
  <c r="S2" i="210"/>
  <c r="R2" i="210"/>
  <c r="Q2" i="210"/>
  <c r="P2" i="210"/>
  <c r="O2" i="210"/>
  <c r="N2" i="210"/>
  <c r="M2" i="210"/>
  <c r="L2" i="210"/>
  <c r="K2" i="210"/>
  <c r="J2" i="210"/>
  <c r="I2" i="210"/>
  <c r="H2" i="210"/>
  <c r="G2" i="210"/>
  <c r="F2" i="210"/>
  <c r="E2" i="210"/>
  <c r="D2" i="210"/>
  <c r="AA2" i="175"/>
  <c r="Z2" i="175"/>
  <c r="Y2" i="175"/>
  <c r="X2" i="175"/>
  <c r="W2" i="175"/>
  <c r="V2" i="175"/>
  <c r="U2" i="175"/>
  <c r="T2" i="175"/>
  <c r="S2" i="175"/>
  <c r="R2" i="175"/>
  <c r="Q2" i="175"/>
  <c r="P2" i="175"/>
  <c r="O2" i="175"/>
  <c r="N2" i="175"/>
  <c r="M2" i="175"/>
  <c r="L2" i="175"/>
  <c r="K2" i="175"/>
  <c r="J2" i="175"/>
  <c r="I2" i="175"/>
  <c r="H2" i="175"/>
  <c r="G2" i="175"/>
  <c r="F2" i="175"/>
  <c r="E2" i="175"/>
  <c r="D2" i="175"/>
  <c r="AA2" i="174"/>
  <c r="Z2" i="174"/>
  <c r="Y2" i="174"/>
  <c r="X2" i="174"/>
  <c r="W2" i="174"/>
  <c r="V2" i="174"/>
  <c r="U2" i="174"/>
  <c r="T2" i="174"/>
  <c r="S2" i="174"/>
  <c r="R2" i="174"/>
  <c r="Q2" i="174"/>
  <c r="P2" i="174"/>
  <c r="O2" i="174"/>
  <c r="N2" i="174"/>
  <c r="M2" i="174"/>
  <c r="L2" i="174"/>
  <c r="K2" i="174"/>
  <c r="J2" i="174"/>
  <c r="I2" i="174"/>
  <c r="H2" i="174"/>
  <c r="G2" i="174"/>
  <c r="F2" i="174"/>
  <c r="E2" i="174"/>
  <c r="D2" i="174"/>
  <c r="D31" i="174" a="1"/>
  <c r="D31" i="174" s="1"/>
  <c r="D32" i="174" a="1"/>
  <c r="D32" i="174" s="1"/>
  <c r="C29" i="176"/>
  <c r="C28" i="176"/>
  <c r="C27" i="176"/>
  <c r="C26" i="176"/>
  <c r="C25" i="176"/>
  <c r="C24" i="176"/>
  <c r="C23" i="176"/>
  <c r="C22" i="176"/>
  <c r="C21" i="176"/>
  <c r="C20" i="176"/>
  <c r="C19" i="176"/>
  <c r="C18" i="176"/>
  <c r="C17" i="176"/>
  <c r="C16" i="176"/>
  <c r="C15" i="176"/>
  <c r="C14" i="176"/>
  <c r="C13" i="176"/>
  <c r="C12" i="176"/>
  <c r="C11" i="176"/>
  <c r="C10" i="176"/>
  <c r="C9" i="176"/>
  <c r="C8" i="176"/>
  <c r="C7" i="176"/>
  <c r="C6" i="176"/>
  <c r="C5" i="176"/>
  <c r="C4" i="176"/>
  <c r="C3" i="176"/>
  <c r="C29" i="177"/>
  <c r="C28" i="177"/>
  <c r="C27" i="177"/>
  <c r="C26" i="177"/>
  <c r="C25" i="177"/>
  <c r="C24" i="177"/>
  <c r="C23" i="177"/>
  <c r="C22" i="177"/>
  <c r="C21" i="177"/>
  <c r="C20" i="177"/>
  <c r="C19" i="177"/>
  <c r="C18" i="177"/>
  <c r="C17" i="177"/>
  <c r="C16" i="177"/>
  <c r="C15" i="177"/>
  <c r="C14" i="177"/>
  <c r="C13" i="177"/>
  <c r="C12" i="177"/>
  <c r="C11" i="177"/>
  <c r="C10" i="177"/>
  <c r="C9" i="177"/>
  <c r="C8" i="177"/>
  <c r="C7" i="177"/>
  <c r="C6" i="177"/>
  <c r="C5" i="177"/>
  <c r="C4" i="177"/>
  <c r="C3" i="177"/>
  <c r="C29" i="178"/>
  <c r="C28" i="178"/>
  <c r="C27" i="178"/>
  <c r="C26" i="178"/>
  <c r="C25" i="178"/>
  <c r="C24" i="178"/>
  <c r="C23" i="178"/>
  <c r="C22" i="178"/>
  <c r="C21" i="178"/>
  <c r="C20" i="178"/>
  <c r="C19" i="178"/>
  <c r="C18" i="178"/>
  <c r="C17" i="178"/>
  <c r="C16" i="178"/>
  <c r="C15" i="178"/>
  <c r="C14" i="178"/>
  <c r="C13" i="178"/>
  <c r="C12" i="178"/>
  <c r="C11" i="178"/>
  <c r="C10" i="178"/>
  <c r="C9" i="178"/>
  <c r="C8" i="178"/>
  <c r="C7" i="178"/>
  <c r="C6" i="178"/>
  <c r="C5" i="178"/>
  <c r="C4" i="178"/>
  <c r="C3" i="178"/>
  <c r="C29" i="179"/>
  <c r="C28" i="179"/>
  <c r="C27" i="179"/>
  <c r="C26" i="179"/>
  <c r="C25" i="179"/>
  <c r="C24" i="179"/>
  <c r="C23" i="179"/>
  <c r="C22" i="179"/>
  <c r="C21" i="179"/>
  <c r="C20" i="179"/>
  <c r="C19" i="179"/>
  <c r="C18" i="179"/>
  <c r="C17" i="179"/>
  <c r="C16" i="179"/>
  <c r="C15" i="179"/>
  <c r="C14" i="179"/>
  <c r="C13" i="179"/>
  <c r="C12" i="179"/>
  <c r="C11" i="179"/>
  <c r="C10" i="179"/>
  <c r="C9" i="179"/>
  <c r="C8" i="179"/>
  <c r="C7" i="179"/>
  <c r="C6" i="179"/>
  <c r="C5" i="179"/>
  <c r="C4" i="179"/>
  <c r="C3" i="179"/>
  <c r="C29" i="180"/>
  <c r="C28" i="180"/>
  <c r="C27" i="180"/>
  <c r="C26" i="180"/>
  <c r="C25" i="180"/>
  <c r="C24" i="180"/>
  <c r="C23" i="180"/>
  <c r="C22" i="180"/>
  <c r="C21" i="180"/>
  <c r="C20" i="180"/>
  <c r="C19" i="180"/>
  <c r="C18" i="180"/>
  <c r="C17" i="180"/>
  <c r="C16" i="180"/>
  <c r="C15" i="180"/>
  <c r="C14" i="180"/>
  <c r="C13" i="180"/>
  <c r="C12" i="180"/>
  <c r="C11" i="180"/>
  <c r="C10" i="180"/>
  <c r="C9" i="180"/>
  <c r="C8" i="180"/>
  <c r="C7" i="180"/>
  <c r="C6" i="180"/>
  <c r="C5" i="180"/>
  <c r="C4" i="180"/>
  <c r="C3" i="180"/>
  <c r="C29" i="181"/>
  <c r="C28" i="181"/>
  <c r="C27" i="181"/>
  <c r="C26" i="181"/>
  <c r="C25" i="181"/>
  <c r="C24" i="181"/>
  <c r="C23" i="181"/>
  <c r="C22" i="181"/>
  <c r="C21" i="181"/>
  <c r="C20" i="181"/>
  <c r="C19" i="181"/>
  <c r="C18" i="181"/>
  <c r="C17" i="181"/>
  <c r="C16" i="181"/>
  <c r="C15" i="181"/>
  <c r="C14" i="181"/>
  <c r="C13" i="181"/>
  <c r="C12" i="181"/>
  <c r="C11" i="181"/>
  <c r="C10" i="181"/>
  <c r="C9" i="181"/>
  <c r="C8" i="181"/>
  <c r="C7" i="181"/>
  <c r="C6" i="181"/>
  <c r="C5" i="181"/>
  <c r="C4" i="181"/>
  <c r="C3" i="181"/>
  <c r="C29" i="182"/>
  <c r="C28" i="182"/>
  <c r="C27" i="182"/>
  <c r="C26" i="182"/>
  <c r="C25" i="182"/>
  <c r="C24" i="182"/>
  <c r="C23" i="182"/>
  <c r="C22" i="182"/>
  <c r="C21" i="182"/>
  <c r="C20" i="182"/>
  <c r="C19" i="182"/>
  <c r="C18" i="182"/>
  <c r="C17" i="182"/>
  <c r="C16" i="182"/>
  <c r="C15" i="182"/>
  <c r="C14" i="182"/>
  <c r="C13" i="182"/>
  <c r="C12" i="182"/>
  <c r="C11" i="182"/>
  <c r="C10" i="182"/>
  <c r="C9" i="182"/>
  <c r="C8" i="182"/>
  <c r="C7" i="182"/>
  <c r="C6" i="182"/>
  <c r="C5" i="182"/>
  <c r="C4" i="182"/>
  <c r="C3" i="182"/>
  <c r="C29" i="183"/>
  <c r="C28" i="183"/>
  <c r="C27" i="183"/>
  <c r="C26" i="183"/>
  <c r="C25" i="183"/>
  <c r="C24" i="183"/>
  <c r="C23" i="183"/>
  <c r="C22" i="183"/>
  <c r="C21" i="183"/>
  <c r="C20" i="183"/>
  <c r="C19" i="183"/>
  <c r="C18" i="183"/>
  <c r="C17" i="183"/>
  <c r="C16" i="183"/>
  <c r="C15" i="183"/>
  <c r="C14" i="183"/>
  <c r="C13" i="183"/>
  <c r="C12" i="183"/>
  <c r="C11" i="183"/>
  <c r="C10" i="183"/>
  <c r="C9" i="183"/>
  <c r="C8" i="183"/>
  <c r="C7" i="183"/>
  <c r="C6" i="183"/>
  <c r="C5" i="183"/>
  <c r="C4" i="183"/>
  <c r="C3" i="183"/>
  <c r="C29" i="184"/>
  <c r="C28" i="184"/>
  <c r="C27" i="184"/>
  <c r="C26" i="184"/>
  <c r="C25" i="184"/>
  <c r="C24" i="184"/>
  <c r="C23" i="184"/>
  <c r="C22" i="184"/>
  <c r="C21" i="184"/>
  <c r="C20" i="184"/>
  <c r="C19" i="184"/>
  <c r="C18" i="184"/>
  <c r="C17" i="184"/>
  <c r="C16" i="184"/>
  <c r="C15" i="184"/>
  <c r="C14" i="184"/>
  <c r="C13" i="184"/>
  <c r="C12" i="184"/>
  <c r="C11" i="184"/>
  <c r="C10" i="184"/>
  <c r="C9" i="184"/>
  <c r="C8" i="184"/>
  <c r="C7" i="184"/>
  <c r="C6" i="184"/>
  <c r="C5" i="184"/>
  <c r="C4" i="184"/>
  <c r="C3" i="184"/>
  <c r="C29" i="185"/>
  <c r="C28" i="185"/>
  <c r="C27" i="185"/>
  <c r="C26" i="185"/>
  <c r="C25" i="185"/>
  <c r="C24" i="185"/>
  <c r="C23" i="185"/>
  <c r="C22" i="185"/>
  <c r="C21" i="185"/>
  <c r="C20" i="185"/>
  <c r="C19" i="185"/>
  <c r="C18" i="185"/>
  <c r="C17" i="185"/>
  <c r="C16" i="185"/>
  <c r="C15" i="185"/>
  <c r="C14" i="185"/>
  <c r="C13" i="185"/>
  <c r="C12" i="185"/>
  <c r="C11" i="185"/>
  <c r="C10" i="185"/>
  <c r="C9" i="185"/>
  <c r="C8" i="185"/>
  <c r="C7" i="185"/>
  <c r="C6" i="185"/>
  <c r="C5" i="185"/>
  <c r="C4" i="185"/>
  <c r="C3" i="185"/>
  <c r="C29" i="186"/>
  <c r="C28" i="186"/>
  <c r="C27" i="186"/>
  <c r="C26" i="186"/>
  <c r="C25" i="186"/>
  <c r="C24" i="186"/>
  <c r="C23" i="186"/>
  <c r="C22" i="186"/>
  <c r="C21" i="186"/>
  <c r="C20" i="186"/>
  <c r="C19" i="186"/>
  <c r="C18" i="186"/>
  <c r="C17" i="186"/>
  <c r="C16" i="186"/>
  <c r="C15" i="186"/>
  <c r="C14" i="186"/>
  <c r="C13" i="186"/>
  <c r="C12" i="186"/>
  <c r="C11" i="186"/>
  <c r="C10" i="186"/>
  <c r="C9" i="186"/>
  <c r="C8" i="186"/>
  <c r="C7" i="186"/>
  <c r="C6" i="186"/>
  <c r="C5" i="186"/>
  <c r="C4" i="186"/>
  <c r="C3" i="186"/>
  <c r="C29" i="187"/>
  <c r="C28" i="187"/>
  <c r="C27" i="187"/>
  <c r="C26" i="187"/>
  <c r="C25" i="187"/>
  <c r="C24" i="187"/>
  <c r="C23" i="187"/>
  <c r="C22" i="187"/>
  <c r="C21" i="187"/>
  <c r="C20" i="187"/>
  <c r="C19" i="187"/>
  <c r="C18" i="187"/>
  <c r="C17" i="187"/>
  <c r="C16" i="187"/>
  <c r="C15" i="187"/>
  <c r="C14" i="187"/>
  <c r="C13" i="187"/>
  <c r="C12" i="187"/>
  <c r="C11" i="187"/>
  <c r="C10" i="187"/>
  <c r="C9" i="187"/>
  <c r="C8" i="187"/>
  <c r="C7" i="187"/>
  <c r="C6" i="187"/>
  <c r="C5" i="187"/>
  <c r="C4" i="187"/>
  <c r="C3" i="187"/>
  <c r="C29" i="188"/>
  <c r="C28" i="188"/>
  <c r="C27" i="188"/>
  <c r="C26" i="188"/>
  <c r="C25" i="188"/>
  <c r="C24" i="188"/>
  <c r="C23" i="188"/>
  <c r="C22" i="188"/>
  <c r="C21" i="188"/>
  <c r="C20" i="188"/>
  <c r="C19" i="188"/>
  <c r="C18" i="188"/>
  <c r="C17" i="188"/>
  <c r="C16" i="188"/>
  <c r="C15" i="188"/>
  <c r="C14" i="188"/>
  <c r="C13" i="188"/>
  <c r="C12" i="188"/>
  <c r="C11" i="188"/>
  <c r="C10" i="188"/>
  <c r="C9" i="188"/>
  <c r="C8" i="188"/>
  <c r="C7" i="188"/>
  <c r="C6" i="188"/>
  <c r="C5" i="188"/>
  <c r="C4" i="188"/>
  <c r="C3" i="188"/>
  <c r="C29" i="189"/>
  <c r="C28" i="189"/>
  <c r="C27" i="189"/>
  <c r="C26" i="189"/>
  <c r="C25" i="189"/>
  <c r="C24" i="189"/>
  <c r="C23" i="189"/>
  <c r="C22" i="189"/>
  <c r="C21" i="189"/>
  <c r="C20" i="189"/>
  <c r="C19" i="189"/>
  <c r="C18" i="189"/>
  <c r="C17" i="189"/>
  <c r="C16" i="189"/>
  <c r="C15" i="189"/>
  <c r="C14" i="189"/>
  <c r="C13" i="189"/>
  <c r="C12" i="189"/>
  <c r="C11" i="189"/>
  <c r="C10" i="189"/>
  <c r="C9" i="189"/>
  <c r="C8" i="189"/>
  <c r="C7" i="189"/>
  <c r="C6" i="189"/>
  <c r="C5" i="189"/>
  <c r="C4" i="189"/>
  <c r="C3" i="189"/>
  <c r="C29" i="190"/>
  <c r="C28" i="190"/>
  <c r="C27" i="190"/>
  <c r="C26" i="190"/>
  <c r="C25" i="190"/>
  <c r="C24" i="190"/>
  <c r="C23" i="190"/>
  <c r="C22" i="190"/>
  <c r="C21" i="190"/>
  <c r="C20" i="190"/>
  <c r="C19" i="190"/>
  <c r="C18" i="190"/>
  <c r="C17" i="190"/>
  <c r="C16" i="190"/>
  <c r="C15" i="190"/>
  <c r="C14" i="190"/>
  <c r="C13" i="190"/>
  <c r="C12" i="190"/>
  <c r="C11" i="190"/>
  <c r="C10" i="190"/>
  <c r="C9" i="190"/>
  <c r="C8" i="190"/>
  <c r="C7" i="190"/>
  <c r="C6" i="190"/>
  <c r="C5" i="190"/>
  <c r="C4" i="190"/>
  <c r="C3" i="190"/>
  <c r="C29" i="191"/>
  <c r="C28" i="191"/>
  <c r="C27" i="191"/>
  <c r="C26" i="191"/>
  <c r="C25" i="191"/>
  <c r="C24" i="191"/>
  <c r="C23" i="191"/>
  <c r="C22" i="191"/>
  <c r="C21" i="191"/>
  <c r="C20" i="191"/>
  <c r="C19" i="191"/>
  <c r="C18" i="191"/>
  <c r="C17" i="191"/>
  <c r="C16" i="191"/>
  <c r="C15" i="191"/>
  <c r="C14" i="191"/>
  <c r="C13" i="191"/>
  <c r="C12" i="191"/>
  <c r="C11" i="191"/>
  <c r="C10" i="191"/>
  <c r="C9" i="191"/>
  <c r="C8" i="191"/>
  <c r="C7" i="191"/>
  <c r="C6" i="191"/>
  <c r="C5" i="191"/>
  <c r="C4" i="191"/>
  <c r="C3" i="191"/>
  <c r="C29" i="192"/>
  <c r="C28" i="192"/>
  <c r="C27" i="192"/>
  <c r="C26" i="192"/>
  <c r="C25" i="192"/>
  <c r="C24" i="192"/>
  <c r="C23" i="192"/>
  <c r="C22" i="192"/>
  <c r="C21" i="192"/>
  <c r="C20" i="192"/>
  <c r="C19" i="192"/>
  <c r="C18" i="192"/>
  <c r="C17" i="192"/>
  <c r="C16" i="192"/>
  <c r="C15" i="192"/>
  <c r="C14" i="192"/>
  <c r="C13" i="192"/>
  <c r="C12" i="192"/>
  <c r="C11" i="192"/>
  <c r="C10" i="192"/>
  <c r="C9" i="192"/>
  <c r="C8" i="192"/>
  <c r="C7" i="192"/>
  <c r="C6" i="192"/>
  <c r="C5" i="192"/>
  <c r="C4" i="192"/>
  <c r="C3" i="192"/>
  <c r="C29" i="193"/>
  <c r="C28" i="193"/>
  <c r="C27" i="193"/>
  <c r="C26" i="193"/>
  <c r="C25" i="193"/>
  <c r="C24" i="193"/>
  <c r="C23" i="193"/>
  <c r="C22" i="193"/>
  <c r="C21" i="193"/>
  <c r="C20" i="193"/>
  <c r="C19" i="193"/>
  <c r="C18" i="193"/>
  <c r="C17" i="193"/>
  <c r="C16" i="193"/>
  <c r="C15" i="193"/>
  <c r="C14" i="193"/>
  <c r="C13" i="193"/>
  <c r="C12" i="193"/>
  <c r="C11" i="193"/>
  <c r="C10" i="193"/>
  <c r="C9" i="193"/>
  <c r="C8" i="193"/>
  <c r="C7" i="193"/>
  <c r="C6" i="193"/>
  <c r="C5" i="193"/>
  <c r="C4" i="193"/>
  <c r="C3" i="193"/>
  <c r="C29" i="194"/>
  <c r="C28" i="194"/>
  <c r="C27" i="194"/>
  <c r="C26" i="194"/>
  <c r="C25" i="194"/>
  <c r="C24" i="194"/>
  <c r="C23" i="194"/>
  <c r="C22" i="194"/>
  <c r="C21" i="194"/>
  <c r="C20" i="194"/>
  <c r="C19" i="194"/>
  <c r="C18" i="194"/>
  <c r="C17" i="194"/>
  <c r="C16" i="194"/>
  <c r="C15" i="194"/>
  <c r="C14" i="194"/>
  <c r="C13" i="194"/>
  <c r="C12" i="194"/>
  <c r="C11" i="194"/>
  <c r="C10" i="194"/>
  <c r="C9" i="194"/>
  <c r="C8" i="194"/>
  <c r="C7" i="194"/>
  <c r="C6" i="194"/>
  <c r="C5" i="194"/>
  <c r="C4" i="194"/>
  <c r="C3" i="194"/>
  <c r="C29" i="195"/>
  <c r="C28" i="195"/>
  <c r="C27" i="195"/>
  <c r="C26" i="195"/>
  <c r="C25" i="195"/>
  <c r="C24" i="195"/>
  <c r="C23" i="195"/>
  <c r="C22" i="195"/>
  <c r="C21" i="195"/>
  <c r="C20" i="195"/>
  <c r="C19" i="195"/>
  <c r="C18" i="195"/>
  <c r="C17" i="195"/>
  <c r="C16" i="195"/>
  <c r="C15" i="195"/>
  <c r="C14" i="195"/>
  <c r="C13" i="195"/>
  <c r="C12" i="195"/>
  <c r="C11" i="195"/>
  <c r="C10" i="195"/>
  <c r="C9" i="195"/>
  <c r="C8" i="195"/>
  <c r="C7" i="195"/>
  <c r="C6" i="195"/>
  <c r="C5" i="195"/>
  <c r="C4" i="195"/>
  <c r="C3" i="195"/>
  <c r="C29" i="196"/>
  <c r="C28" i="196"/>
  <c r="C27" i="196"/>
  <c r="C26" i="196"/>
  <c r="C25" i="196"/>
  <c r="C24" i="196"/>
  <c r="C23" i="196"/>
  <c r="C22" i="196"/>
  <c r="C21" i="196"/>
  <c r="C20" i="196"/>
  <c r="C19" i="196"/>
  <c r="C18" i="196"/>
  <c r="C17" i="196"/>
  <c r="C16" i="196"/>
  <c r="C15" i="196"/>
  <c r="C14" i="196"/>
  <c r="C13" i="196"/>
  <c r="C12" i="196"/>
  <c r="C11" i="196"/>
  <c r="C10" i="196"/>
  <c r="C9" i="196"/>
  <c r="C8" i="196"/>
  <c r="C7" i="196"/>
  <c r="C6" i="196"/>
  <c r="C5" i="196"/>
  <c r="C4" i="196"/>
  <c r="C3" i="196"/>
  <c r="C29" i="197"/>
  <c r="C28" i="197"/>
  <c r="C27" i="197"/>
  <c r="C26" i="197"/>
  <c r="C25" i="197"/>
  <c r="C24" i="197"/>
  <c r="C23" i="197"/>
  <c r="C22" i="197"/>
  <c r="C21" i="197"/>
  <c r="C20" i="197"/>
  <c r="C19" i="197"/>
  <c r="C18" i="197"/>
  <c r="C17" i="197"/>
  <c r="C16" i="197"/>
  <c r="C15" i="197"/>
  <c r="C14" i="197"/>
  <c r="C13" i="197"/>
  <c r="C12" i="197"/>
  <c r="C11" i="197"/>
  <c r="C10" i="197"/>
  <c r="C9" i="197"/>
  <c r="C8" i="197"/>
  <c r="C7" i="197"/>
  <c r="C6" i="197"/>
  <c r="C5" i="197"/>
  <c r="C4" i="197"/>
  <c r="C3" i="197"/>
  <c r="C29" i="198"/>
  <c r="C28" i="198"/>
  <c r="C27" i="198"/>
  <c r="C26" i="198"/>
  <c r="C25" i="198"/>
  <c r="C24" i="198"/>
  <c r="C23" i="198"/>
  <c r="C22" i="198"/>
  <c r="C21" i="198"/>
  <c r="C20" i="198"/>
  <c r="C19" i="198"/>
  <c r="C18" i="198"/>
  <c r="C17" i="198"/>
  <c r="C16" i="198"/>
  <c r="C15" i="198"/>
  <c r="C14" i="198"/>
  <c r="C13" i="198"/>
  <c r="C12" i="198"/>
  <c r="C11" i="198"/>
  <c r="C10" i="198"/>
  <c r="C9" i="198"/>
  <c r="C8" i="198"/>
  <c r="C7" i="198"/>
  <c r="C6" i="198"/>
  <c r="C5" i="198"/>
  <c r="C4" i="198"/>
  <c r="C3" i="198"/>
  <c r="C29" i="199"/>
  <c r="C28" i="199"/>
  <c r="C27" i="199"/>
  <c r="C26" i="199"/>
  <c r="C25" i="199"/>
  <c r="C24" i="199"/>
  <c r="C23" i="199"/>
  <c r="C22" i="199"/>
  <c r="C21" i="199"/>
  <c r="C20" i="199"/>
  <c r="C19" i="199"/>
  <c r="C18" i="199"/>
  <c r="C17" i="199"/>
  <c r="C16" i="199"/>
  <c r="C15" i="199"/>
  <c r="C14" i="199"/>
  <c r="C13" i="199"/>
  <c r="C12" i="199"/>
  <c r="C11" i="199"/>
  <c r="C10" i="199"/>
  <c r="C9" i="199"/>
  <c r="C8" i="199"/>
  <c r="C7" i="199"/>
  <c r="C6" i="199"/>
  <c r="C5" i="199"/>
  <c r="C4" i="199"/>
  <c r="C3" i="199"/>
  <c r="C29" i="200"/>
  <c r="C28" i="200"/>
  <c r="C27" i="200"/>
  <c r="C26" i="200"/>
  <c r="C25" i="200"/>
  <c r="C24" i="200"/>
  <c r="C23" i="200"/>
  <c r="C22" i="200"/>
  <c r="C21" i="200"/>
  <c r="C20" i="200"/>
  <c r="C19" i="200"/>
  <c r="C18" i="200"/>
  <c r="C17" i="200"/>
  <c r="C16" i="200"/>
  <c r="C15" i="200"/>
  <c r="C14" i="200"/>
  <c r="C13" i="200"/>
  <c r="C12" i="200"/>
  <c r="C11" i="200"/>
  <c r="C10" i="200"/>
  <c r="C9" i="200"/>
  <c r="C8" i="200"/>
  <c r="C7" i="200"/>
  <c r="C6" i="200"/>
  <c r="C5" i="200"/>
  <c r="C4" i="200"/>
  <c r="C3" i="200"/>
  <c r="C29" i="201"/>
  <c r="C28" i="201"/>
  <c r="C27" i="201"/>
  <c r="C26" i="201"/>
  <c r="C25" i="201"/>
  <c r="C24" i="201"/>
  <c r="C23" i="201"/>
  <c r="C22" i="201"/>
  <c r="C21" i="201"/>
  <c r="C20" i="201"/>
  <c r="C19" i="201"/>
  <c r="C18" i="201"/>
  <c r="C17" i="201"/>
  <c r="C16" i="201"/>
  <c r="C15" i="201"/>
  <c r="C14" i="201"/>
  <c r="C13" i="201"/>
  <c r="C12" i="201"/>
  <c r="C11" i="201"/>
  <c r="C10" i="201"/>
  <c r="C9" i="201"/>
  <c r="C8" i="201"/>
  <c r="C7" i="201"/>
  <c r="C6" i="201"/>
  <c r="C5" i="201"/>
  <c r="C4" i="201"/>
  <c r="C3" i="201"/>
  <c r="C29" i="202"/>
  <c r="C28" i="202"/>
  <c r="C27" i="202"/>
  <c r="C26" i="202"/>
  <c r="C25" i="202"/>
  <c r="C24" i="202"/>
  <c r="C23" i="202"/>
  <c r="C22" i="202"/>
  <c r="C21" i="202"/>
  <c r="C20" i="202"/>
  <c r="C19" i="202"/>
  <c r="C18" i="202"/>
  <c r="C17" i="202"/>
  <c r="C16" i="202"/>
  <c r="C15" i="202"/>
  <c r="C14" i="202"/>
  <c r="C13" i="202"/>
  <c r="C12" i="202"/>
  <c r="C11" i="202"/>
  <c r="C10" i="202"/>
  <c r="C9" i="202"/>
  <c r="C8" i="202"/>
  <c r="C7" i="202"/>
  <c r="C6" i="202"/>
  <c r="C5" i="202"/>
  <c r="C4" i="202"/>
  <c r="C3" i="202"/>
  <c r="C29" i="203"/>
  <c r="C28" i="203"/>
  <c r="C27" i="203"/>
  <c r="C26" i="203"/>
  <c r="C25" i="203"/>
  <c r="C24" i="203"/>
  <c r="C23" i="203"/>
  <c r="C22" i="203"/>
  <c r="C21" i="203"/>
  <c r="C20" i="203"/>
  <c r="C19" i="203"/>
  <c r="C18" i="203"/>
  <c r="C17" i="203"/>
  <c r="C16" i="203"/>
  <c r="C15" i="203"/>
  <c r="C14" i="203"/>
  <c r="C13" i="203"/>
  <c r="C12" i="203"/>
  <c r="C11" i="203"/>
  <c r="C10" i="203"/>
  <c r="C9" i="203"/>
  <c r="C8" i="203"/>
  <c r="C7" i="203"/>
  <c r="C6" i="203"/>
  <c r="C5" i="203"/>
  <c r="C4" i="203"/>
  <c r="C3" i="203"/>
  <c r="C29" i="204"/>
  <c r="C28" i="204"/>
  <c r="C27" i="204"/>
  <c r="C26" i="204"/>
  <c r="C25" i="204"/>
  <c r="C24" i="204"/>
  <c r="C23" i="204"/>
  <c r="C22" i="204"/>
  <c r="C21" i="204"/>
  <c r="C20" i="204"/>
  <c r="C19" i="204"/>
  <c r="C18" i="204"/>
  <c r="C17" i="204"/>
  <c r="C16" i="204"/>
  <c r="C15" i="204"/>
  <c r="C14" i="204"/>
  <c r="C13" i="204"/>
  <c r="C12" i="204"/>
  <c r="C11" i="204"/>
  <c r="C10" i="204"/>
  <c r="C9" i="204"/>
  <c r="C8" i="204"/>
  <c r="C7" i="204"/>
  <c r="C6" i="204"/>
  <c r="C5" i="204"/>
  <c r="C4" i="204"/>
  <c r="C3" i="204"/>
  <c r="C29" i="205"/>
  <c r="C28" i="205"/>
  <c r="C27" i="205"/>
  <c r="C26" i="205"/>
  <c r="C25" i="205"/>
  <c r="C24" i="205"/>
  <c r="C23" i="205"/>
  <c r="C22" i="205"/>
  <c r="C21" i="205"/>
  <c r="C20" i="205"/>
  <c r="C19" i="205"/>
  <c r="C18" i="205"/>
  <c r="C17" i="205"/>
  <c r="C16" i="205"/>
  <c r="C15" i="205"/>
  <c r="C14" i="205"/>
  <c r="C13" i="205"/>
  <c r="C12" i="205"/>
  <c r="C11" i="205"/>
  <c r="C10" i="205"/>
  <c r="C9" i="205"/>
  <c r="C8" i="205"/>
  <c r="C7" i="205"/>
  <c r="C6" i="205"/>
  <c r="C5" i="205"/>
  <c r="C4" i="205"/>
  <c r="C3" i="205"/>
  <c r="C29" i="206"/>
  <c r="C28" i="206"/>
  <c r="C27" i="206"/>
  <c r="C26" i="206"/>
  <c r="C25" i="206"/>
  <c r="C24" i="206"/>
  <c r="C23" i="206"/>
  <c r="C22" i="206"/>
  <c r="C21" i="206"/>
  <c r="C20" i="206"/>
  <c r="C19" i="206"/>
  <c r="C18" i="206"/>
  <c r="C17" i="206"/>
  <c r="C16" i="206"/>
  <c r="C15" i="206"/>
  <c r="C14" i="206"/>
  <c r="C13" i="206"/>
  <c r="C12" i="206"/>
  <c r="C11" i="206"/>
  <c r="C10" i="206"/>
  <c r="C9" i="206"/>
  <c r="C8" i="206"/>
  <c r="C7" i="206"/>
  <c r="C6" i="206"/>
  <c r="C5" i="206"/>
  <c r="C4" i="206"/>
  <c r="C3" i="206"/>
  <c r="C29" i="207"/>
  <c r="C28" i="207"/>
  <c r="C27" i="207"/>
  <c r="C26" i="207"/>
  <c r="C25" i="207"/>
  <c r="C24" i="207"/>
  <c r="C23" i="207"/>
  <c r="C22" i="207"/>
  <c r="C21" i="207"/>
  <c r="C20" i="207"/>
  <c r="C19" i="207"/>
  <c r="C18" i="207"/>
  <c r="C17" i="207"/>
  <c r="C16" i="207"/>
  <c r="C15" i="207"/>
  <c r="C14" i="207"/>
  <c r="C13" i="207"/>
  <c r="C12" i="207"/>
  <c r="C11" i="207"/>
  <c r="C10" i="207"/>
  <c r="C9" i="207"/>
  <c r="C8" i="207"/>
  <c r="C7" i="207"/>
  <c r="C6" i="207"/>
  <c r="C5" i="207"/>
  <c r="C4" i="207"/>
  <c r="C3" i="207"/>
  <c r="C29" i="208"/>
  <c r="C28" i="208"/>
  <c r="C27" i="208"/>
  <c r="C26" i="208"/>
  <c r="C25" i="208"/>
  <c r="C24" i="208"/>
  <c r="C23" i="208"/>
  <c r="C22" i="208"/>
  <c r="C21" i="208"/>
  <c r="C20" i="208"/>
  <c r="C19" i="208"/>
  <c r="C18" i="208"/>
  <c r="C17" i="208"/>
  <c r="C16" i="208"/>
  <c r="C15" i="208"/>
  <c r="C14" i="208"/>
  <c r="C13" i="208"/>
  <c r="C12" i="208"/>
  <c r="C11" i="208"/>
  <c r="C10" i="208"/>
  <c r="C9" i="208"/>
  <c r="C8" i="208"/>
  <c r="C7" i="208"/>
  <c r="C6" i="208"/>
  <c r="C5" i="208"/>
  <c r="C4" i="208"/>
  <c r="C3" i="208"/>
  <c r="C29" i="209"/>
  <c r="C28" i="209"/>
  <c r="C27" i="209"/>
  <c r="C26" i="209"/>
  <c r="C25" i="209"/>
  <c r="C24" i="209"/>
  <c r="C23" i="209"/>
  <c r="C22" i="209"/>
  <c r="C21" i="209"/>
  <c r="C20" i="209"/>
  <c r="C19" i="209"/>
  <c r="C18" i="209"/>
  <c r="C17" i="209"/>
  <c r="C16" i="209"/>
  <c r="C15" i="209"/>
  <c r="C14" i="209"/>
  <c r="C13" i="209"/>
  <c r="C12" i="209"/>
  <c r="C11" i="209"/>
  <c r="C10" i="209"/>
  <c r="C9" i="209"/>
  <c r="C8" i="209"/>
  <c r="C7" i="209"/>
  <c r="C6" i="209"/>
  <c r="C5" i="209"/>
  <c r="C4" i="209"/>
  <c r="C3" i="209"/>
  <c r="C29" i="210"/>
  <c r="C28" i="210"/>
  <c r="C27" i="210"/>
  <c r="C26" i="210"/>
  <c r="C25" i="210"/>
  <c r="C24" i="210"/>
  <c r="C23" i="210"/>
  <c r="C22" i="210"/>
  <c r="C21" i="210"/>
  <c r="C20" i="210"/>
  <c r="C19" i="210"/>
  <c r="C18" i="210"/>
  <c r="C17" i="210"/>
  <c r="C16" i="210"/>
  <c r="C15" i="210"/>
  <c r="C14" i="210"/>
  <c r="C13" i="210"/>
  <c r="C12" i="210"/>
  <c r="C11" i="210"/>
  <c r="C10" i="210"/>
  <c r="C9" i="210"/>
  <c r="C8" i="210"/>
  <c r="C7" i="210"/>
  <c r="C6" i="210"/>
  <c r="C5" i="210"/>
  <c r="C4" i="210"/>
  <c r="C3" i="210"/>
  <c r="C29" i="175"/>
  <c r="C28" i="175"/>
  <c r="C27" i="175"/>
  <c r="C26" i="175"/>
  <c r="C25" i="175"/>
  <c r="C24" i="175"/>
  <c r="C23" i="175"/>
  <c r="C22" i="175"/>
  <c r="C21" i="175"/>
  <c r="C20" i="175"/>
  <c r="C19" i="175"/>
  <c r="C18" i="175"/>
  <c r="C17" i="175"/>
  <c r="C16" i="175"/>
  <c r="C15" i="175"/>
  <c r="C14" i="175"/>
  <c r="C13" i="175"/>
  <c r="C12" i="175"/>
  <c r="C11" i="175"/>
  <c r="C10" i="175"/>
  <c r="C9" i="175"/>
  <c r="C8" i="175"/>
  <c r="C7" i="175"/>
  <c r="C6" i="175"/>
  <c r="C5" i="175"/>
  <c r="C4" i="175"/>
  <c r="C3" i="175"/>
  <c r="C5" i="174"/>
  <c r="C6" i="174"/>
  <c r="C7" i="174"/>
  <c r="C8" i="174"/>
  <c r="C9" i="174"/>
  <c r="C10" i="174"/>
  <c r="C11" i="174"/>
  <c r="C12" i="174"/>
  <c r="C13" i="174"/>
  <c r="C14" i="174"/>
  <c r="C15" i="174"/>
  <c r="C16" i="174"/>
  <c r="C17" i="174"/>
  <c r="C18" i="174"/>
  <c r="C19" i="174"/>
  <c r="C20" i="174"/>
  <c r="C21" i="174"/>
  <c r="C22" i="174"/>
  <c r="C23" i="174"/>
  <c r="C24" i="174"/>
  <c r="C25" i="174"/>
  <c r="C26" i="174"/>
  <c r="C27" i="174"/>
  <c r="C28" i="174"/>
  <c r="C29" i="174"/>
  <c r="C4" i="174"/>
  <c r="C3" i="174"/>
  <c r="AA37" i="176" l="1" a="1"/>
  <c r="AA37" i="176" s="1"/>
  <c r="Z37" i="176" a="1"/>
  <c r="Z37" i="176" s="1"/>
  <c r="Y37" i="176" a="1"/>
  <c r="Y37" i="176" s="1"/>
  <c r="X37" i="176" a="1"/>
  <c r="X37" i="176" s="1"/>
  <c r="W37" i="176" a="1"/>
  <c r="W37" i="176" s="1"/>
  <c r="V37" i="176" a="1"/>
  <c r="V37" i="176" s="1"/>
  <c r="U37" i="176" a="1"/>
  <c r="U37" i="176" s="1"/>
  <c r="T37" i="176" a="1"/>
  <c r="T37" i="176" s="1"/>
  <c r="S37" i="176" a="1"/>
  <c r="S37" i="176" s="1"/>
  <c r="R37" i="176" a="1"/>
  <c r="R37" i="176" s="1"/>
  <c r="Q37" i="176" a="1"/>
  <c r="Q37" i="176" s="1"/>
  <c r="P37" i="176" a="1"/>
  <c r="P37" i="176" s="1"/>
  <c r="O37" i="176" a="1"/>
  <c r="O37" i="176" s="1"/>
  <c r="N37" i="176" a="1"/>
  <c r="N37" i="176" s="1"/>
  <c r="M37" i="176" a="1"/>
  <c r="M37" i="176" s="1"/>
  <c r="L37" i="176" a="1"/>
  <c r="L37" i="176" s="1"/>
  <c r="K37" i="176" a="1"/>
  <c r="K37" i="176" s="1"/>
  <c r="J37" i="176" a="1"/>
  <c r="J37" i="176" s="1"/>
  <c r="I37" i="176" a="1"/>
  <c r="I37" i="176" s="1"/>
  <c r="H37" i="176" a="1"/>
  <c r="H37" i="176" s="1"/>
  <c r="G37" i="176" a="1"/>
  <c r="G37" i="176" s="1"/>
  <c r="F37" i="176" a="1"/>
  <c r="F37" i="176" s="1"/>
  <c r="E37" i="176" a="1"/>
  <c r="E37" i="176" s="1"/>
  <c r="D37" i="176" a="1"/>
  <c r="D37" i="176" s="1"/>
  <c r="AA36" i="176" a="1"/>
  <c r="AA36" i="176" s="1"/>
  <c r="Z36" i="176" a="1"/>
  <c r="Z36" i="176" s="1"/>
  <c r="Y36" i="176" a="1"/>
  <c r="Y36" i="176" s="1"/>
  <c r="X36" i="176" a="1"/>
  <c r="X36" i="176" s="1"/>
  <c r="W36" i="176" a="1"/>
  <c r="W36" i="176" s="1"/>
  <c r="V36" i="176" a="1"/>
  <c r="V36" i="176" s="1"/>
  <c r="U36" i="176" a="1"/>
  <c r="U36" i="176" s="1"/>
  <c r="T36" i="176"/>
  <c r="T36" i="176" a="1"/>
  <c r="S36" i="176" a="1"/>
  <c r="S36" i="176" s="1"/>
  <c r="R36" i="176" a="1"/>
  <c r="R36" i="176" s="1"/>
  <c r="Q36" i="176"/>
  <c r="Q36" i="176" a="1"/>
  <c r="P36" i="176" a="1"/>
  <c r="P36" i="176" s="1"/>
  <c r="O36" i="176" a="1"/>
  <c r="O36" i="176" s="1"/>
  <c r="N36" i="176"/>
  <c r="N36" i="176" a="1"/>
  <c r="M36" i="176" a="1"/>
  <c r="M36" i="176" s="1"/>
  <c r="L36" i="176" a="1"/>
  <c r="L36" i="176" s="1"/>
  <c r="K36" i="176" a="1"/>
  <c r="K36" i="176" s="1"/>
  <c r="J36" i="176" a="1"/>
  <c r="J36" i="176" s="1"/>
  <c r="I36" i="176" a="1"/>
  <c r="I36" i="176" s="1"/>
  <c r="H36" i="176" a="1"/>
  <c r="H36" i="176" s="1"/>
  <c r="G36" i="176" a="1"/>
  <c r="G36" i="176" s="1"/>
  <c r="F36" i="176" a="1"/>
  <c r="F36" i="176" s="1"/>
  <c r="E36" i="176" a="1"/>
  <c r="E36" i="176" s="1"/>
  <c r="D36" i="176" a="1"/>
  <c r="D36" i="176" s="1"/>
  <c r="AA35" i="176" a="1"/>
  <c r="AA35" i="176" s="1"/>
  <c r="Z35" i="176" a="1"/>
  <c r="Z35" i="176" s="1"/>
  <c r="Y35" i="176" a="1"/>
  <c r="Y35" i="176" s="1"/>
  <c r="X35" i="176" a="1"/>
  <c r="X35" i="176" s="1"/>
  <c r="W35" i="176" a="1"/>
  <c r="W35" i="176" s="1"/>
  <c r="V35" i="176" a="1"/>
  <c r="V35" i="176" s="1"/>
  <c r="U35" i="176" a="1"/>
  <c r="U35" i="176" s="1"/>
  <c r="T35" i="176" a="1"/>
  <c r="T35" i="176" s="1"/>
  <c r="S35" i="176" a="1"/>
  <c r="S35" i="176" s="1"/>
  <c r="R35" i="176" a="1"/>
  <c r="R35" i="176" s="1"/>
  <c r="Q35" i="176" a="1"/>
  <c r="Q35" i="176" s="1"/>
  <c r="P35" i="176" a="1"/>
  <c r="P35" i="176" s="1"/>
  <c r="O35" i="176" a="1"/>
  <c r="O35" i="176" s="1"/>
  <c r="N35" i="176" a="1"/>
  <c r="N35" i="176" s="1"/>
  <c r="M35" i="176" a="1"/>
  <c r="M35" i="176" s="1"/>
  <c r="L35" i="176" a="1"/>
  <c r="L35" i="176" s="1"/>
  <c r="K35" i="176" a="1"/>
  <c r="K35" i="176" s="1"/>
  <c r="J35" i="176" a="1"/>
  <c r="J35" i="176" s="1"/>
  <c r="I35" i="176" a="1"/>
  <c r="I35" i="176" s="1"/>
  <c r="H35" i="176" a="1"/>
  <c r="H35" i="176" s="1"/>
  <c r="G35" i="176" a="1"/>
  <c r="G35" i="176" s="1"/>
  <c r="F35" i="176" a="1"/>
  <c r="F35" i="176" s="1"/>
  <c r="E35" i="176" a="1"/>
  <c r="E35" i="176" s="1"/>
  <c r="D35" i="176" a="1"/>
  <c r="D35" i="176" s="1"/>
  <c r="AA34" i="176" a="1"/>
  <c r="AA34" i="176" s="1"/>
  <c r="Z34" i="176"/>
  <c r="Z34" i="176" a="1"/>
  <c r="Y34" i="176" a="1"/>
  <c r="Y34" i="176" s="1"/>
  <c r="X34" i="176" a="1"/>
  <c r="X34" i="176" s="1"/>
  <c r="W34" i="176" a="1"/>
  <c r="W34" i="176" s="1"/>
  <c r="V34" i="176" a="1"/>
  <c r="V34" i="176" s="1"/>
  <c r="U34" i="176" a="1"/>
  <c r="U34" i="176" s="1"/>
  <c r="T34" i="176" a="1"/>
  <c r="T34" i="176" s="1"/>
  <c r="S34" i="176" a="1"/>
  <c r="S34" i="176" s="1"/>
  <c r="R34" i="176" a="1"/>
  <c r="R34" i="176" s="1"/>
  <c r="Q34" i="176" a="1"/>
  <c r="Q34" i="176" s="1"/>
  <c r="P34" i="176" a="1"/>
  <c r="P34" i="176" s="1"/>
  <c r="O34" i="176" a="1"/>
  <c r="O34" i="176" s="1"/>
  <c r="N34" i="176"/>
  <c r="N34" i="176" a="1"/>
  <c r="M34" i="176" a="1"/>
  <c r="M34" i="176" s="1"/>
  <c r="L34" i="176" a="1"/>
  <c r="L34" i="176" s="1"/>
  <c r="K34" i="176" a="1"/>
  <c r="K34" i="176" s="1"/>
  <c r="J34" i="176" a="1"/>
  <c r="J34" i="176" s="1"/>
  <c r="I34" i="176" a="1"/>
  <c r="I34" i="176" s="1"/>
  <c r="H34" i="176"/>
  <c r="H34" i="176" a="1"/>
  <c r="G34" i="176" a="1"/>
  <c r="G34" i="176" s="1"/>
  <c r="F34" i="176" a="1"/>
  <c r="F34" i="176" s="1"/>
  <c r="E34" i="176" a="1"/>
  <c r="E34" i="176" s="1"/>
  <c r="D34" i="176" a="1"/>
  <c r="D34" i="176" s="1"/>
  <c r="AA33" i="176" a="1"/>
  <c r="AA33" i="176" s="1"/>
  <c r="Z33" i="176"/>
  <c r="Z33" i="176" a="1"/>
  <c r="Y33" i="176" a="1"/>
  <c r="Y33" i="176" s="1"/>
  <c r="X33" i="176" a="1"/>
  <c r="X33" i="176" s="1"/>
  <c r="W33" i="176" a="1"/>
  <c r="W33" i="176" s="1"/>
  <c r="V33" i="176" a="1"/>
  <c r="V33" i="176" s="1"/>
  <c r="U33" i="176" a="1"/>
  <c r="U33" i="176" s="1"/>
  <c r="T33" i="176" a="1"/>
  <c r="T33" i="176" s="1"/>
  <c r="S33" i="176" a="1"/>
  <c r="S33" i="176" s="1"/>
  <c r="R33" i="176" a="1"/>
  <c r="R33" i="176" s="1"/>
  <c r="Q33" i="176" a="1"/>
  <c r="Q33" i="176" s="1"/>
  <c r="P33" i="176" a="1"/>
  <c r="P33" i="176" s="1"/>
  <c r="O33" i="176" a="1"/>
  <c r="O33" i="176" s="1"/>
  <c r="N33" i="176"/>
  <c r="N33" i="176" a="1"/>
  <c r="M33" i="176" a="1"/>
  <c r="M33" i="176" s="1"/>
  <c r="L33" i="176" a="1"/>
  <c r="L33" i="176" s="1"/>
  <c r="K33" i="176" a="1"/>
  <c r="K33" i="176" s="1"/>
  <c r="J33" i="176" a="1"/>
  <c r="J33" i="176" s="1"/>
  <c r="I33" i="176" a="1"/>
  <c r="I33" i="176" s="1"/>
  <c r="H33" i="176" a="1"/>
  <c r="H33" i="176" s="1"/>
  <c r="G33" i="176" a="1"/>
  <c r="G33" i="176" s="1"/>
  <c r="F33" i="176" a="1"/>
  <c r="F33" i="176" s="1"/>
  <c r="E33" i="176" a="1"/>
  <c r="E33" i="176" s="1"/>
  <c r="D33" i="176" a="1"/>
  <c r="D33" i="176" s="1"/>
  <c r="AA32" i="176" a="1"/>
  <c r="AA32" i="176" s="1"/>
  <c r="Z32" i="176" a="1"/>
  <c r="Z32" i="176" s="1"/>
  <c r="Y32" i="176" a="1"/>
  <c r="Y32" i="176" s="1"/>
  <c r="X32" i="176" a="1"/>
  <c r="X32" i="176" s="1"/>
  <c r="W32" i="176" a="1"/>
  <c r="W32" i="176" s="1"/>
  <c r="V32" i="176" a="1"/>
  <c r="V32" i="176" s="1"/>
  <c r="U32" i="176" a="1"/>
  <c r="U32" i="176" s="1"/>
  <c r="T32" i="176" a="1"/>
  <c r="T32" i="176" s="1"/>
  <c r="S32" i="176" a="1"/>
  <c r="S32" i="176" s="1"/>
  <c r="R32" i="176" a="1"/>
  <c r="R32" i="176" s="1"/>
  <c r="Q32" i="176" a="1"/>
  <c r="Q32" i="176" s="1"/>
  <c r="P32" i="176" a="1"/>
  <c r="P32" i="176" s="1"/>
  <c r="O32" i="176" a="1"/>
  <c r="O32" i="176" s="1"/>
  <c r="N32" i="176" a="1"/>
  <c r="N32" i="176" s="1"/>
  <c r="M32" i="176" a="1"/>
  <c r="M32" i="176" s="1"/>
  <c r="L32" i="176" a="1"/>
  <c r="L32" i="176" s="1"/>
  <c r="K32" i="176" a="1"/>
  <c r="K32" i="176" s="1"/>
  <c r="J32" i="176" a="1"/>
  <c r="J32" i="176" s="1"/>
  <c r="I32" i="176" a="1"/>
  <c r="I32" i="176" s="1"/>
  <c r="H32" i="176" a="1"/>
  <c r="H32" i="176" s="1"/>
  <c r="G32" i="176" a="1"/>
  <c r="G32" i="176" s="1"/>
  <c r="F32" i="176" a="1"/>
  <c r="F32" i="176" s="1"/>
  <c r="E32" i="176" a="1"/>
  <c r="E32" i="176" s="1"/>
  <c r="D32" i="176" a="1"/>
  <c r="D32" i="176" s="1"/>
  <c r="AA31" i="176" a="1"/>
  <c r="AA31" i="176" s="1"/>
  <c r="Z31" i="176"/>
  <c r="Z31" i="176" a="1"/>
  <c r="Y31" i="176" a="1"/>
  <c r="Y31" i="176" s="1"/>
  <c r="X31" i="176" a="1"/>
  <c r="X31" i="176" s="1"/>
  <c r="W31" i="176" a="1"/>
  <c r="W31" i="176" s="1"/>
  <c r="V31" i="176" a="1"/>
  <c r="V31" i="176" s="1"/>
  <c r="U31" i="176" a="1"/>
  <c r="U31" i="176" s="1"/>
  <c r="T31" i="176" a="1"/>
  <c r="T31" i="176" s="1"/>
  <c r="S31" i="176" a="1"/>
  <c r="S31" i="176" s="1"/>
  <c r="R31" i="176" a="1"/>
  <c r="R31" i="176" s="1"/>
  <c r="Q31" i="176" a="1"/>
  <c r="Q31" i="176" s="1"/>
  <c r="P31" i="176" a="1"/>
  <c r="P31" i="176" s="1"/>
  <c r="O31" i="176" a="1"/>
  <c r="O31" i="176" s="1"/>
  <c r="N31" i="176"/>
  <c r="N31" i="176" a="1"/>
  <c r="M31" i="176" a="1"/>
  <c r="M31" i="176" s="1"/>
  <c r="L31" i="176" a="1"/>
  <c r="L31" i="176" s="1"/>
  <c r="K31" i="176" a="1"/>
  <c r="K31" i="176" s="1"/>
  <c r="J31" i="176" a="1"/>
  <c r="J31" i="176" s="1"/>
  <c r="I31" i="176" a="1"/>
  <c r="I31" i="176" s="1"/>
  <c r="H31" i="176"/>
  <c r="H31" i="176" a="1"/>
  <c r="G31" i="176" a="1"/>
  <c r="G31" i="176" s="1"/>
  <c r="F31" i="176" a="1"/>
  <c r="F31" i="176" s="1"/>
  <c r="E31" i="176" a="1"/>
  <c r="E31" i="176" s="1"/>
  <c r="D31" i="176" a="1"/>
  <c r="D31" i="176" s="1"/>
  <c r="AA37" i="177" a="1"/>
  <c r="AA37" i="177" s="1"/>
  <c r="Z37" i="177"/>
  <c r="Z37" i="177" a="1"/>
  <c r="Y37" i="177" a="1"/>
  <c r="Y37" i="177" s="1"/>
  <c r="X37" i="177" a="1"/>
  <c r="X37" i="177" s="1"/>
  <c r="W37" i="177" a="1"/>
  <c r="W37" i="177" s="1"/>
  <c r="V37" i="177" a="1"/>
  <c r="V37" i="177" s="1"/>
  <c r="U37" i="177" a="1"/>
  <c r="U37" i="177" s="1"/>
  <c r="T37" i="177" a="1"/>
  <c r="T37" i="177" s="1"/>
  <c r="S37" i="177" a="1"/>
  <c r="S37" i="177" s="1"/>
  <c r="R37" i="177" a="1"/>
  <c r="R37" i="177" s="1"/>
  <c r="Q37" i="177" a="1"/>
  <c r="Q37" i="177" s="1"/>
  <c r="P37" i="177" a="1"/>
  <c r="P37" i="177" s="1"/>
  <c r="O37" i="177" a="1"/>
  <c r="O37" i="177" s="1"/>
  <c r="N37" i="177"/>
  <c r="N37" i="177" a="1"/>
  <c r="M37" i="177" a="1"/>
  <c r="M37" i="177" s="1"/>
  <c r="L37" i="177" a="1"/>
  <c r="L37" i="177" s="1"/>
  <c r="K37" i="177" a="1"/>
  <c r="K37" i="177" s="1"/>
  <c r="J37" i="177" a="1"/>
  <c r="J37" i="177" s="1"/>
  <c r="I37" i="177" a="1"/>
  <c r="I37" i="177" s="1"/>
  <c r="H37" i="177" a="1"/>
  <c r="H37" i="177" s="1"/>
  <c r="G37" i="177" a="1"/>
  <c r="G37" i="177" s="1"/>
  <c r="F37" i="177" a="1"/>
  <c r="F37" i="177" s="1"/>
  <c r="E37" i="177" a="1"/>
  <c r="E37" i="177" s="1"/>
  <c r="D37" i="177" a="1"/>
  <c r="D37" i="177" s="1"/>
  <c r="AA36" i="177" a="1"/>
  <c r="AA36" i="177" s="1"/>
  <c r="Z36" i="177" a="1"/>
  <c r="Z36" i="177" s="1"/>
  <c r="Y36" i="177" a="1"/>
  <c r="Y36" i="177" s="1"/>
  <c r="X36" i="177" a="1"/>
  <c r="X36" i="177" s="1"/>
  <c r="W36" i="177" a="1"/>
  <c r="W36" i="177" s="1"/>
  <c r="V36" i="177" a="1"/>
  <c r="V36" i="177" s="1"/>
  <c r="U36" i="177" a="1"/>
  <c r="U36" i="177" s="1"/>
  <c r="T36" i="177" a="1"/>
  <c r="T36" i="177" s="1"/>
  <c r="S36" i="177" a="1"/>
  <c r="S36" i="177" s="1"/>
  <c r="R36" i="177" a="1"/>
  <c r="R36" i="177" s="1"/>
  <c r="Q36" i="177" a="1"/>
  <c r="Q36" i="177" s="1"/>
  <c r="P36" i="177" a="1"/>
  <c r="P36" i="177" s="1"/>
  <c r="O36" i="177" a="1"/>
  <c r="O36" i="177" s="1"/>
  <c r="N36" i="177" a="1"/>
  <c r="N36" i="177" s="1"/>
  <c r="M36" i="177" a="1"/>
  <c r="M36" i="177" s="1"/>
  <c r="L36" i="177" a="1"/>
  <c r="L36" i="177" s="1"/>
  <c r="K36" i="177" a="1"/>
  <c r="K36" i="177" s="1"/>
  <c r="J36" i="177" a="1"/>
  <c r="J36" i="177" s="1"/>
  <c r="I36" i="177" a="1"/>
  <c r="I36" i="177" s="1"/>
  <c r="H36" i="177" a="1"/>
  <c r="H36" i="177" s="1"/>
  <c r="G36" i="177" a="1"/>
  <c r="G36" i="177" s="1"/>
  <c r="F36" i="177" a="1"/>
  <c r="F36" i="177" s="1"/>
  <c r="E36" i="177" a="1"/>
  <c r="E36" i="177" s="1"/>
  <c r="D36" i="177" a="1"/>
  <c r="D36" i="177" s="1"/>
  <c r="AA35" i="177" a="1"/>
  <c r="AA35" i="177" s="1"/>
  <c r="Z35" i="177"/>
  <c r="Z35" i="177" a="1"/>
  <c r="Y35" i="177" a="1"/>
  <c r="Y35" i="177" s="1"/>
  <c r="X35" i="177" a="1"/>
  <c r="X35" i="177" s="1"/>
  <c r="W35" i="177" a="1"/>
  <c r="W35" i="177" s="1"/>
  <c r="V35" i="177" a="1"/>
  <c r="V35" i="177" s="1"/>
  <c r="U35" i="177" a="1"/>
  <c r="U35" i="177" s="1"/>
  <c r="T35" i="177" a="1"/>
  <c r="T35" i="177" s="1"/>
  <c r="S35" i="177" a="1"/>
  <c r="S35" i="177" s="1"/>
  <c r="R35" i="177" a="1"/>
  <c r="R35" i="177" s="1"/>
  <c r="Q35" i="177" a="1"/>
  <c r="Q35" i="177" s="1"/>
  <c r="P35" i="177" a="1"/>
  <c r="P35" i="177" s="1"/>
  <c r="O35" i="177" a="1"/>
  <c r="O35" i="177" s="1"/>
  <c r="N35" i="177"/>
  <c r="N35" i="177" a="1"/>
  <c r="M35" i="177" a="1"/>
  <c r="M35" i="177" s="1"/>
  <c r="L35" i="177" a="1"/>
  <c r="L35" i="177" s="1"/>
  <c r="K35" i="177" a="1"/>
  <c r="K35" i="177" s="1"/>
  <c r="J35" i="177" a="1"/>
  <c r="J35" i="177" s="1"/>
  <c r="I35" i="177" a="1"/>
  <c r="I35" i="177" s="1"/>
  <c r="H35" i="177"/>
  <c r="H35" i="177" a="1"/>
  <c r="G35" i="177" a="1"/>
  <c r="G35" i="177" s="1"/>
  <c r="F35" i="177" a="1"/>
  <c r="F35" i="177" s="1"/>
  <c r="E35" i="177" a="1"/>
  <c r="E35" i="177" s="1"/>
  <c r="D35" i="177" a="1"/>
  <c r="D35" i="177" s="1"/>
  <c r="AA34" i="177" a="1"/>
  <c r="AA34" i="177" s="1"/>
  <c r="Z34" i="177"/>
  <c r="Z34" i="177" a="1"/>
  <c r="Y34" i="177" a="1"/>
  <c r="Y34" i="177" s="1"/>
  <c r="X34" i="177" a="1"/>
  <c r="X34" i="177" s="1"/>
  <c r="W34" i="177" a="1"/>
  <c r="W34" i="177" s="1"/>
  <c r="V34" i="177" a="1"/>
  <c r="V34" i="177" s="1"/>
  <c r="U34" i="177" a="1"/>
  <c r="U34" i="177" s="1"/>
  <c r="T34" i="177" a="1"/>
  <c r="T34" i="177" s="1"/>
  <c r="S34" i="177" a="1"/>
  <c r="S34" i="177" s="1"/>
  <c r="R34" i="177" a="1"/>
  <c r="R34" i="177" s="1"/>
  <c r="Q34" i="177" a="1"/>
  <c r="Q34" i="177" s="1"/>
  <c r="P34" i="177" a="1"/>
  <c r="P34" i="177" s="1"/>
  <c r="O34" i="177" a="1"/>
  <c r="O34" i="177" s="1"/>
  <c r="N34" i="177"/>
  <c r="N34" i="177" a="1"/>
  <c r="M34" i="177" a="1"/>
  <c r="M34" i="177" s="1"/>
  <c r="L34" i="177" a="1"/>
  <c r="L34" i="177" s="1"/>
  <c r="K34" i="177" a="1"/>
  <c r="K34" i="177" s="1"/>
  <c r="J34" i="177" a="1"/>
  <c r="J34" i="177" s="1"/>
  <c r="I34" i="177" a="1"/>
  <c r="I34" i="177" s="1"/>
  <c r="H34" i="177" a="1"/>
  <c r="H34" i="177" s="1"/>
  <c r="G34" i="177" a="1"/>
  <c r="G34" i="177" s="1"/>
  <c r="F34" i="177" a="1"/>
  <c r="F34" i="177" s="1"/>
  <c r="E34" i="177" a="1"/>
  <c r="E34" i="177" s="1"/>
  <c r="D34" i="177" a="1"/>
  <c r="D34" i="177" s="1"/>
  <c r="AA33" i="177" a="1"/>
  <c r="AA33" i="177" s="1"/>
  <c r="Z33" i="177" a="1"/>
  <c r="Z33" i="177" s="1"/>
  <c r="Y33" i="177" a="1"/>
  <c r="Y33" i="177" s="1"/>
  <c r="X33" i="177" a="1"/>
  <c r="X33" i="177" s="1"/>
  <c r="W33" i="177" a="1"/>
  <c r="W33" i="177" s="1"/>
  <c r="V33" i="177" a="1"/>
  <c r="V33" i="177" s="1"/>
  <c r="U33" i="177" a="1"/>
  <c r="U33" i="177" s="1"/>
  <c r="T33" i="177" a="1"/>
  <c r="T33" i="177" s="1"/>
  <c r="S33" i="177" a="1"/>
  <c r="S33" i="177" s="1"/>
  <c r="R33" i="177" a="1"/>
  <c r="R33" i="177" s="1"/>
  <c r="Q33" i="177" a="1"/>
  <c r="Q33" i="177" s="1"/>
  <c r="P33" i="177" a="1"/>
  <c r="P33" i="177" s="1"/>
  <c r="O33" i="177" a="1"/>
  <c r="O33" i="177" s="1"/>
  <c r="N33" i="177" a="1"/>
  <c r="N33" i="177" s="1"/>
  <c r="M33" i="177" a="1"/>
  <c r="M33" i="177" s="1"/>
  <c r="L33" i="177" a="1"/>
  <c r="L33" i="177" s="1"/>
  <c r="K33" i="177" a="1"/>
  <c r="K33" i="177" s="1"/>
  <c r="J33" i="177" a="1"/>
  <c r="J33" i="177" s="1"/>
  <c r="I33" i="177" a="1"/>
  <c r="I33" i="177" s="1"/>
  <c r="H33" i="177" a="1"/>
  <c r="H33" i="177" s="1"/>
  <c r="G33" i="177" a="1"/>
  <c r="G33" i="177" s="1"/>
  <c r="F33" i="177" a="1"/>
  <c r="F33" i="177" s="1"/>
  <c r="E33" i="177" a="1"/>
  <c r="E33" i="177" s="1"/>
  <c r="D33" i="177" a="1"/>
  <c r="D33" i="177" s="1"/>
  <c r="AA32" i="177" a="1"/>
  <c r="AA32" i="177" s="1"/>
  <c r="Z32" i="177"/>
  <c r="Z32" i="177" a="1"/>
  <c r="Y32" i="177" a="1"/>
  <c r="Y32" i="177" s="1"/>
  <c r="X32" i="177" a="1"/>
  <c r="X32" i="177" s="1"/>
  <c r="W32" i="177" a="1"/>
  <c r="W32" i="177" s="1"/>
  <c r="V32" i="177" a="1"/>
  <c r="V32" i="177" s="1"/>
  <c r="U32" i="177" a="1"/>
  <c r="U32" i="177" s="1"/>
  <c r="T32" i="177" a="1"/>
  <c r="T32" i="177" s="1"/>
  <c r="S32" i="177" a="1"/>
  <c r="S32" i="177" s="1"/>
  <c r="R32" i="177" a="1"/>
  <c r="R32" i="177" s="1"/>
  <c r="Q32" i="177" a="1"/>
  <c r="Q32" i="177" s="1"/>
  <c r="P32" i="177" a="1"/>
  <c r="P32" i="177" s="1"/>
  <c r="O32" i="177" a="1"/>
  <c r="O32" i="177" s="1"/>
  <c r="N32" i="177"/>
  <c r="N32" i="177" a="1"/>
  <c r="M32" i="177" a="1"/>
  <c r="M32" i="177" s="1"/>
  <c r="L32" i="177" a="1"/>
  <c r="L32" i="177" s="1"/>
  <c r="K32" i="177" a="1"/>
  <c r="K32" i="177" s="1"/>
  <c r="J32" i="177" a="1"/>
  <c r="J32" i="177" s="1"/>
  <c r="I32" i="177" a="1"/>
  <c r="I32" i="177" s="1"/>
  <c r="H32" i="177"/>
  <c r="H32" i="177" a="1"/>
  <c r="G32" i="177" a="1"/>
  <c r="G32" i="177" s="1"/>
  <c r="F32" i="177" a="1"/>
  <c r="F32" i="177" s="1"/>
  <c r="E32" i="177" a="1"/>
  <c r="E32" i="177" s="1"/>
  <c r="D32" i="177" a="1"/>
  <c r="D32" i="177" s="1"/>
  <c r="AA31" i="177" a="1"/>
  <c r="AA31" i="177" s="1"/>
  <c r="Z31" i="177"/>
  <c r="Z31" i="177" a="1"/>
  <c r="Y31" i="177" a="1"/>
  <c r="Y31" i="177" s="1"/>
  <c r="X31" i="177" a="1"/>
  <c r="X31" i="177" s="1"/>
  <c r="W31" i="177" a="1"/>
  <c r="W31" i="177" s="1"/>
  <c r="V31" i="177" a="1"/>
  <c r="V31" i="177" s="1"/>
  <c r="U31" i="177" a="1"/>
  <c r="U31" i="177" s="1"/>
  <c r="T31" i="177" a="1"/>
  <c r="T31" i="177" s="1"/>
  <c r="S31" i="177" a="1"/>
  <c r="S31" i="177" s="1"/>
  <c r="R31" i="177" a="1"/>
  <c r="R31" i="177" s="1"/>
  <c r="Q31" i="177" a="1"/>
  <c r="Q31" i="177" s="1"/>
  <c r="P31" i="177" a="1"/>
  <c r="P31" i="177" s="1"/>
  <c r="O31" i="177" a="1"/>
  <c r="O31" i="177" s="1"/>
  <c r="N31" i="177"/>
  <c r="N31" i="177" a="1"/>
  <c r="M31" i="177" a="1"/>
  <c r="M31" i="177" s="1"/>
  <c r="L31" i="177" a="1"/>
  <c r="L31" i="177" s="1"/>
  <c r="K31" i="177" a="1"/>
  <c r="K31" i="177" s="1"/>
  <c r="J31" i="177" a="1"/>
  <c r="J31" i="177" s="1"/>
  <c r="I31" i="177" a="1"/>
  <c r="I31" i="177" s="1"/>
  <c r="H31" i="177" a="1"/>
  <c r="H31" i="177" s="1"/>
  <c r="G31" i="177" a="1"/>
  <c r="G31" i="177" s="1"/>
  <c r="F31" i="177" a="1"/>
  <c r="F31" i="177" s="1"/>
  <c r="E31" i="177" a="1"/>
  <c r="E31" i="177" s="1"/>
  <c r="D31" i="177" a="1"/>
  <c r="D31" i="177" s="1"/>
  <c r="AA37" i="178" a="1"/>
  <c r="AA37" i="178" s="1"/>
  <c r="Z37" i="178" a="1"/>
  <c r="Z37" i="178" s="1"/>
  <c r="Y37" i="178" a="1"/>
  <c r="Y37" i="178" s="1"/>
  <c r="X37" i="178" a="1"/>
  <c r="X37" i="178" s="1"/>
  <c r="W37" i="178" a="1"/>
  <c r="W37" i="178" s="1"/>
  <c r="V37" i="178" a="1"/>
  <c r="V37" i="178" s="1"/>
  <c r="U37" i="178" a="1"/>
  <c r="U37" i="178" s="1"/>
  <c r="T37" i="178" a="1"/>
  <c r="T37" i="178" s="1"/>
  <c r="S37" i="178" a="1"/>
  <c r="S37" i="178" s="1"/>
  <c r="R37" i="178" a="1"/>
  <c r="R37" i="178" s="1"/>
  <c r="Q37" i="178" a="1"/>
  <c r="Q37" i="178" s="1"/>
  <c r="P37" i="178" a="1"/>
  <c r="P37" i="178" s="1"/>
  <c r="O37" i="178" a="1"/>
  <c r="O37" i="178" s="1"/>
  <c r="N37" i="178" a="1"/>
  <c r="N37" i="178" s="1"/>
  <c r="M37" i="178" a="1"/>
  <c r="M37" i="178" s="1"/>
  <c r="L37" i="178" a="1"/>
  <c r="L37" i="178" s="1"/>
  <c r="K37" i="178" a="1"/>
  <c r="K37" i="178" s="1"/>
  <c r="J37" i="178" a="1"/>
  <c r="J37" i="178" s="1"/>
  <c r="I37" i="178" a="1"/>
  <c r="I37" i="178" s="1"/>
  <c r="H37" i="178" a="1"/>
  <c r="H37" i="178" s="1"/>
  <c r="G37" i="178" a="1"/>
  <c r="G37" i="178" s="1"/>
  <c r="F37" i="178" a="1"/>
  <c r="F37" i="178" s="1"/>
  <c r="E37" i="178" a="1"/>
  <c r="E37" i="178" s="1"/>
  <c r="D37" i="178" a="1"/>
  <c r="D37" i="178" s="1"/>
  <c r="AA36" i="178" a="1"/>
  <c r="AA36" i="178" s="1"/>
  <c r="Z36" i="178"/>
  <c r="Z36" i="178" a="1"/>
  <c r="Y36" i="178" a="1"/>
  <c r="Y36" i="178" s="1"/>
  <c r="X36" i="178" a="1"/>
  <c r="X36" i="178" s="1"/>
  <c r="W36" i="178" a="1"/>
  <c r="W36" i="178" s="1"/>
  <c r="V36" i="178" a="1"/>
  <c r="V36" i="178" s="1"/>
  <c r="U36" i="178" a="1"/>
  <c r="U36" i="178" s="1"/>
  <c r="T36" i="178" a="1"/>
  <c r="T36" i="178" s="1"/>
  <c r="S36" i="178" a="1"/>
  <c r="S36" i="178" s="1"/>
  <c r="R36" i="178" a="1"/>
  <c r="R36" i="178" s="1"/>
  <c r="Q36" i="178" a="1"/>
  <c r="Q36" i="178" s="1"/>
  <c r="P36" i="178" a="1"/>
  <c r="P36" i="178" s="1"/>
  <c r="O36" i="178" a="1"/>
  <c r="O36" i="178" s="1"/>
  <c r="N36" i="178"/>
  <c r="N36" i="178" a="1"/>
  <c r="M36" i="178" a="1"/>
  <c r="M36" i="178" s="1"/>
  <c r="L36" i="178" a="1"/>
  <c r="L36" i="178" s="1"/>
  <c r="K36" i="178" a="1"/>
  <c r="K36" i="178" s="1"/>
  <c r="J36" i="178" a="1"/>
  <c r="J36" i="178" s="1"/>
  <c r="I36" i="178" a="1"/>
  <c r="I36" i="178" s="1"/>
  <c r="H36" i="178"/>
  <c r="H36" i="178" a="1"/>
  <c r="G36" i="178" a="1"/>
  <c r="G36" i="178" s="1"/>
  <c r="F36" i="178" a="1"/>
  <c r="F36" i="178" s="1"/>
  <c r="E36" i="178" a="1"/>
  <c r="E36" i="178" s="1"/>
  <c r="D36" i="178" a="1"/>
  <c r="D36" i="178" s="1"/>
  <c r="AA35" i="178" a="1"/>
  <c r="AA35" i="178" s="1"/>
  <c r="Z35" i="178"/>
  <c r="Z35" i="178" a="1"/>
  <c r="Y35" i="178" a="1"/>
  <c r="Y35" i="178" s="1"/>
  <c r="X35" i="178" a="1"/>
  <c r="X35" i="178" s="1"/>
  <c r="W35" i="178" a="1"/>
  <c r="W35" i="178" s="1"/>
  <c r="V35" i="178" a="1"/>
  <c r="V35" i="178" s="1"/>
  <c r="U35" i="178" a="1"/>
  <c r="U35" i="178" s="1"/>
  <c r="T35" i="178" a="1"/>
  <c r="T35" i="178" s="1"/>
  <c r="S35" i="178" a="1"/>
  <c r="S35" i="178" s="1"/>
  <c r="R35" i="178" a="1"/>
  <c r="R35" i="178" s="1"/>
  <c r="Q35" i="178" a="1"/>
  <c r="Q35" i="178" s="1"/>
  <c r="P35" i="178" a="1"/>
  <c r="P35" i="178" s="1"/>
  <c r="O35" i="178" a="1"/>
  <c r="O35" i="178" s="1"/>
  <c r="N35" i="178"/>
  <c r="N35" i="178" a="1"/>
  <c r="M35" i="178" a="1"/>
  <c r="M35" i="178" s="1"/>
  <c r="L35" i="178" a="1"/>
  <c r="L35" i="178" s="1"/>
  <c r="K35" i="178" a="1"/>
  <c r="K35" i="178" s="1"/>
  <c r="J35" i="178" a="1"/>
  <c r="J35" i="178" s="1"/>
  <c r="I35" i="178" a="1"/>
  <c r="I35" i="178" s="1"/>
  <c r="H35" i="178" a="1"/>
  <c r="H35" i="178" s="1"/>
  <c r="G35" i="178" a="1"/>
  <c r="G35" i="178" s="1"/>
  <c r="F35" i="178" a="1"/>
  <c r="F35" i="178" s="1"/>
  <c r="E35" i="178" a="1"/>
  <c r="E35" i="178" s="1"/>
  <c r="D35" i="178" a="1"/>
  <c r="D35" i="178" s="1"/>
  <c r="AA34" i="178" a="1"/>
  <c r="AA34" i="178" s="1"/>
  <c r="Z34" i="178" a="1"/>
  <c r="Z34" i="178" s="1"/>
  <c r="Y34" i="178" a="1"/>
  <c r="Y34" i="178" s="1"/>
  <c r="X34" i="178" a="1"/>
  <c r="X34" i="178" s="1"/>
  <c r="W34" i="178" a="1"/>
  <c r="W34" i="178" s="1"/>
  <c r="V34" i="178" a="1"/>
  <c r="V34" i="178" s="1"/>
  <c r="U34" i="178" a="1"/>
  <c r="U34" i="178" s="1"/>
  <c r="T34" i="178" a="1"/>
  <c r="T34" i="178" s="1"/>
  <c r="S34" i="178" a="1"/>
  <c r="S34" i="178" s="1"/>
  <c r="R34" i="178" a="1"/>
  <c r="R34" i="178" s="1"/>
  <c r="Q34" i="178" a="1"/>
  <c r="Q34" i="178" s="1"/>
  <c r="P34" i="178" a="1"/>
  <c r="P34" i="178" s="1"/>
  <c r="O34" i="178" a="1"/>
  <c r="O34" i="178" s="1"/>
  <c r="N34" i="178" a="1"/>
  <c r="N34" i="178" s="1"/>
  <c r="M34" i="178" a="1"/>
  <c r="M34" i="178" s="1"/>
  <c r="L34" i="178" a="1"/>
  <c r="L34" i="178" s="1"/>
  <c r="K34" i="178" a="1"/>
  <c r="K34" i="178" s="1"/>
  <c r="J34" i="178" a="1"/>
  <c r="J34" i="178" s="1"/>
  <c r="I34" i="178" a="1"/>
  <c r="I34" i="178" s="1"/>
  <c r="H34" i="178" a="1"/>
  <c r="H34" i="178" s="1"/>
  <c r="G34" i="178" a="1"/>
  <c r="G34" i="178" s="1"/>
  <c r="F34" i="178" a="1"/>
  <c r="F34" i="178" s="1"/>
  <c r="E34" i="178" a="1"/>
  <c r="E34" i="178" s="1"/>
  <c r="D34" i="178" a="1"/>
  <c r="D34" i="178" s="1"/>
  <c r="AA33" i="178" a="1"/>
  <c r="AA33" i="178" s="1"/>
  <c r="Z33" i="178"/>
  <c r="Z33" i="178" a="1"/>
  <c r="Y33" i="178" a="1"/>
  <c r="Y33" i="178" s="1"/>
  <c r="X33" i="178" a="1"/>
  <c r="X33" i="178" s="1"/>
  <c r="W33" i="178" a="1"/>
  <c r="W33" i="178" s="1"/>
  <c r="V33" i="178" a="1"/>
  <c r="V33" i="178" s="1"/>
  <c r="U33" i="178" a="1"/>
  <c r="U33" i="178" s="1"/>
  <c r="T33" i="178" a="1"/>
  <c r="T33" i="178" s="1"/>
  <c r="S33" i="178" a="1"/>
  <c r="S33" i="178" s="1"/>
  <c r="R33" i="178" a="1"/>
  <c r="R33" i="178" s="1"/>
  <c r="Q33" i="178" a="1"/>
  <c r="Q33" i="178" s="1"/>
  <c r="P33" i="178" a="1"/>
  <c r="P33" i="178" s="1"/>
  <c r="O33" i="178" a="1"/>
  <c r="O33" i="178" s="1"/>
  <c r="N33" i="178"/>
  <c r="N33" i="178" a="1"/>
  <c r="M33" i="178" a="1"/>
  <c r="M33" i="178" s="1"/>
  <c r="L33" i="178" a="1"/>
  <c r="L33" i="178" s="1"/>
  <c r="K33" i="178" a="1"/>
  <c r="K33" i="178" s="1"/>
  <c r="J33" i="178" a="1"/>
  <c r="J33" i="178" s="1"/>
  <c r="I33" i="178" a="1"/>
  <c r="I33" i="178" s="1"/>
  <c r="H33" i="178"/>
  <c r="H33" i="178" a="1"/>
  <c r="G33" i="178" a="1"/>
  <c r="G33" i="178" s="1"/>
  <c r="F33" i="178" a="1"/>
  <c r="F33" i="178" s="1"/>
  <c r="E33" i="178" a="1"/>
  <c r="E33" i="178" s="1"/>
  <c r="D33" i="178" a="1"/>
  <c r="D33" i="178" s="1"/>
  <c r="AA32" i="178" a="1"/>
  <c r="AA32" i="178" s="1"/>
  <c r="Z32" i="178"/>
  <c r="Z32" i="178" a="1"/>
  <c r="Y32" i="178" a="1"/>
  <c r="Y32" i="178" s="1"/>
  <c r="X32" i="178" a="1"/>
  <c r="X32" i="178" s="1"/>
  <c r="W32" i="178" a="1"/>
  <c r="W32" i="178" s="1"/>
  <c r="V32" i="178" a="1"/>
  <c r="V32" i="178" s="1"/>
  <c r="U32" i="178" a="1"/>
  <c r="U32" i="178" s="1"/>
  <c r="T32" i="178" a="1"/>
  <c r="T32" i="178" s="1"/>
  <c r="S32" i="178" a="1"/>
  <c r="S32" i="178" s="1"/>
  <c r="R32" i="178" a="1"/>
  <c r="R32" i="178" s="1"/>
  <c r="Q32" i="178" a="1"/>
  <c r="Q32" i="178" s="1"/>
  <c r="P32" i="178" a="1"/>
  <c r="P32" i="178" s="1"/>
  <c r="O32" i="178" a="1"/>
  <c r="O32" i="178" s="1"/>
  <c r="N32" i="178"/>
  <c r="N32" i="178" a="1"/>
  <c r="M32" i="178" a="1"/>
  <c r="M32" i="178" s="1"/>
  <c r="L32" i="178" a="1"/>
  <c r="L32" i="178" s="1"/>
  <c r="K32" i="178" a="1"/>
  <c r="K32" i="178" s="1"/>
  <c r="J32" i="178" a="1"/>
  <c r="J32" i="178" s="1"/>
  <c r="I32" i="178" a="1"/>
  <c r="I32" i="178" s="1"/>
  <c r="H32" i="178" a="1"/>
  <c r="H32" i="178" s="1"/>
  <c r="G32" i="178" a="1"/>
  <c r="G32" i="178" s="1"/>
  <c r="F32" i="178" a="1"/>
  <c r="F32" i="178" s="1"/>
  <c r="E32" i="178" a="1"/>
  <c r="E32" i="178" s="1"/>
  <c r="D32" i="178" a="1"/>
  <c r="D32" i="178" s="1"/>
  <c r="AA31" i="178" a="1"/>
  <c r="AA31" i="178" s="1"/>
  <c r="Z31" i="178" a="1"/>
  <c r="Z31" i="178" s="1"/>
  <c r="Y31" i="178" a="1"/>
  <c r="Y31" i="178" s="1"/>
  <c r="X31" i="178" a="1"/>
  <c r="X31" i="178" s="1"/>
  <c r="W31" i="178" a="1"/>
  <c r="W31" i="178" s="1"/>
  <c r="V31" i="178" a="1"/>
  <c r="V31" i="178" s="1"/>
  <c r="U31" i="178" a="1"/>
  <c r="U31" i="178" s="1"/>
  <c r="T31" i="178" a="1"/>
  <c r="T31" i="178" s="1"/>
  <c r="S31" i="178" a="1"/>
  <c r="S31" i="178" s="1"/>
  <c r="R31" i="178" a="1"/>
  <c r="R31" i="178" s="1"/>
  <c r="Q31" i="178" a="1"/>
  <c r="Q31" i="178" s="1"/>
  <c r="P31" i="178" a="1"/>
  <c r="P31" i="178" s="1"/>
  <c r="O31" i="178" a="1"/>
  <c r="O31" i="178" s="1"/>
  <c r="N31" i="178" a="1"/>
  <c r="N31" i="178" s="1"/>
  <c r="M31" i="178" a="1"/>
  <c r="M31" i="178" s="1"/>
  <c r="L31" i="178" a="1"/>
  <c r="L31" i="178" s="1"/>
  <c r="K31" i="178" a="1"/>
  <c r="K31" i="178" s="1"/>
  <c r="J31" i="178" a="1"/>
  <c r="J31" i="178" s="1"/>
  <c r="I31" i="178" a="1"/>
  <c r="I31" i="178" s="1"/>
  <c r="H31" i="178" a="1"/>
  <c r="H31" i="178" s="1"/>
  <c r="G31" i="178" a="1"/>
  <c r="G31" i="178" s="1"/>
  <c r="F31" i="178" a="1"/>
  <c r="F31" i="178" s="1"/>
  <c r="E31" i="178" a="1"/>
  <c r="E31" i="178" s="1"/>
  <c r="D31" i="178" a="1"/>
  <c r="D31" i="178" s="1"/>
  <c r="AA37" i="179" a="1"/>
  <c r="AA37" i="179" s="1"/>
  <c r="Z37" i="179"/>
  <c r="Z37" i="179" a="1"/>
  <c r="Y37" i="179" a="1"/>
  <c r="Y37" i="179" s="1"/>
  <c r="X37" i="179" a="1"/>
  <c r="X37" i="179" s="1"/>
  <c r="W37" i="179" a="1"/>
  <c r="W37" i="179" s="1"/>
  <c r="V37" i="179" a="1"/>
  <c r="V37" i="179" s="1"/>
  <c r="U37" i="179" a="1"/>
  <c r="U37" i="179" s="1"/>
  <c r="T37" i="179" a="1"/>
  <c r="T37" i="179" s="1"/>
  <c r="S37" i="179" a="1"/>
  <c r="S37" i="179" s="1"/>
  <c r="R37" i="179" a="1"/>
  <c r="R37" i="179" s="1"/>
  <c r="Q37" i="179" a="1"/>
  <c r="Q37" i="179" s="1"/>
  <c r="P37" i="179" a="1"/>
  <c r="P37" i="179" s="1"/>
  <c r="O37" i="179" a="1"/>
  <c r="O37" i="179" s="1"/>
  <c r="N37" i="179"/>
  <c r="N37" i="179" a="1"/>
  <c r="M37" i="179" a="1"/>
  <c r="M37" i="179" s="1"/>
  <c r="L37" i="179" a="1"/>
  <c r="L37" i="179" s="1"/>
  <c r="K37" i="179"/>
  <c r="K37" i="179" a="1"/>
  <c r="J37" i="179" a="1"/>
  <c r="J37" i="179" s="1"/>
  <c r="I37" i="179" a="1"/>
  <c r="I37" i="179" s="1"/>
  <c r="H37" i="179" a="1"/>
  <c r="H37" i="179" s="1"/>
  <c r="F37" i="179" a="1"/>
  <c r="F37" i="179" s="1"/>
  <c r="E37" i="179"/>
  <c r="E37" i="179" a="1"/>
  <c r="D37" i="179" a="1"/>
  <c r="D37" i="179" s="1"/>
  <c r="AA36" i="179" a="1"/>
  <c r="AA36" i="179" s="1"/>
  <c r="Z36" i="179" a="1"/>
  <c r="Z36" i="179" s="1"/>
  <c r="Y36" i="179" a="1"/>
  <c r="Y36" i="179" s="1"/>
  <c r="X36" i="179" a="1"/>
  <c r="X36" i="179" s="1"/>
  <c r="W36" i="179"/>
  <c r="W36" i="179" a="1"/>
  <c r="V36" i="179"/>
  <c r="V36" i="179" a="1"/>
  <c r="U36" i="179" a="1"/>
  <c r="U36" i="179" s="1"/>
  <c r="T36" i="179" a="1"/>
  <c r="T36" i="179" s="1"/>
  <c r="S36" i="179" a="1"/>
  <c r="S36" i="179" s="1"/>
  <c r="R36" i="179"/>
  <c r="R36" i="179" a="1"/>
  <c r="Q36" i="179" a="1"/>
  <c r="Q36" i="179" s="1"/>
  <c r="P36" i="179" a="1"/>
  <c r="P36" i="179" s="1"/>
  <c r="O36" i="179" a="1"/>
  <c r="O36" i="179" s="1"/>
  <c r="N36" i="179"/>
  <c r="N36" i="179" a="1"/>
  <c r="M36" i="179" a="1"/>
  <c r="M36" i="179" s="1"/>
  <c r="L36" i="179" a="1"/>
  <c r="L36" i="179" s="1"/>
  <c r="K36" i="179" a="1"/>
  <c r="K36" i="179" s="1"/>
  <c r="J36" i="179" a="1"/>
  <c r="J36" i="179" s="1"/>
  <c r="I36" i="179" a="1"/>
  <c r="I36" i="179" s="1"/>
  <c r="H36" i="179" a="1"/>
  <c r="H36" i="179" s="1"/>
  <c r="F36" i="179" a="1"/>
  <c r="F36" i="179" s="1"/>
  <c r="E36" i="179" a="1"/>
  <c r="E36" i="179" s="1"/>
  <c r="D36" i="179" a="1"/>
  <c r="D36" i="179" s="1"/>
  <c r="AA35" i="179" a="1"/>
  <c r="AA35" i="179" s="1"/>
  <c r="Z35" i="179"/>
  <c r="Z35" i="179" a="1"/>
  <c r="Y35" i="179" a="1"/>
  <c r="Y35" i="179" s="1"/>
  <c r="X35" i="179" a="1"/>
  <c r="X35" i="179" s="1"/>
  <c r="W35" i="179"/>
  <c r="W35" i="179" a="1"/>
  <c r="V35" i="179" a="1"/>
  <c r="V35" i="179" s="1"/>
  <c r="U35" i="179" a="1"/>
  <c r="U35" i="179" s="1"/>
  <c r="T35" i="179"/>
  <c r="T35" i="179" a="1"/>
  <c r="S35" i="179" a="1"/>
  <c r="S35" i="179" s="1"/>
  <c r="R35" i="179"/>
  <c r="R35" i="179" a="1"/>
  <c r="Q35" i="179" a="1"/>
  <c r="Q35" i="179" s="1"/>
  <c r="P35" i="179"/>
  <c r="P35" i="179" a="1"/>
  <c r="O35" i="179" a="1"/>
  <c r="O35" i="179" s="1"/>
  <c r="N35" i="179" a="1"/>
  <c r="N35" i="179" s="1"/>
  <c r="M35" i="179" a="1"/>
  <c r="M35" i="179" s="1"/>
  <c r="L35" i="179" a="1"/>
  <c r="L35" i="179" s="1"/>
  <c r="K35" i="179" a="1"/>
  <c r="K35" i="179" s="1"/>
  <c r="J35" i="179" a="1"/>
  <c r="J35" i="179" s="1"/>
  <c r="I35" i="179" a="1"/>
  <c r="I35" i="179" s="1"/>
  <c r="H35" i="179" a="1"/>
  <c r="H35" i="179" s="1"/>
  <c r="F35" i="179" a="1"/>
  <c r="F35" i="179" s="1"/>
  <c r="E35" i="179" a="1"/>
  <c r="E35" i="179" s="1"/>
  <c r="D35" i="179" a="1"/>
  <c r="D35" i="179" s="1"/>
  <c r="AA34" i="179" a="1"/>
  <c r="AA34" i="179" s="1"/>
  <c r="Z34" i="179" a="1"/>
  <c r="Z34" i="179" s="1"/>
  <c r="Y34" i="179" a="1"/>
  <c r="Y34" i="179" s="1"/>
  <c r="X34" i="179"/>
  <c r="X34" i="179" a="1"/>
  <c r="W34" i="179" a="1"/>
  <c r="W34" i="179" s="1"/>
  <c r="V34" i="179" a="1"/>
  <c r="V34" i="179" s="1"/>
  <c r="U34" i="179" a="1"/>
  <c r="U34" i="179" s="1"/>
  <c r="T34" i="179"/>
  <c r="T34" i="179" a="1"/>
  <c r="S34" i="179" a="1"/>
  <c r="S34" i="179" s="1"/>
  <c r="R34" i="179"/>
  <c r="R34" i="179" a="1"/>
  <c r="Q34" i="179" a="1"/>
  <c r="Q34" i="179" s="1"/>
  <c r="P34" i="179"/>
  <c r="P34" i="179" a="1"/>
  <c r="O34" i="179" a="1"/>
  <c r="O34" i="179" s="1"/>
  <c r="N34" i="179" a="1"/>
  <c r="N34" i="179" s="1"/>
  <c r="M34" i="179" a="1"/>
  <c r="M34" i="179" s="1"/>
  <c r="L34" i="179"/>
  <c r="L34" i="179" a="1"/>
  <c r="K34" i="179"/>
  <c r="K34" i="179" a="1"/>
  <c r="J34" i="179" a="1"/>
  <c r="J34" i="179" s="1"/>
  <c r="I34" i="179" a="1"/>
  <c r="I34" i="179" s="1"/>
  <c r="H34" i="179" a="1"/>
  <c r="H34" i="179" s="1"/>
  <c r="F34" i="179" a="1"/>
  <c r="F34" i="179" s="1"/>
  <c r="E34" i="179" a="1"/>
  <c r="E34" i="179" s="1"/>
  <c r="D34" i="179" a="1"/>
  <c r="D34" i="179" s="1"/>
  <c r="AA33" i="179" a="1"/>
  <c r="AA33" i="179" s="1"/>
  <c r="Z33" i="179" a="1"/>
  <c r="Z33" i="179" s="1"/>
  <c r="Y33" i="179" a="1"/>
  <c r="Y33" i="179" s="1"/>
  <c r="X33" i="179" a="1"/>
  <c r="X33" i="179" s="1"/>
  <c r="W33" i="179"/>
  <c r="W33" i="179" a="1"/>
  <c r="V33" i="179" a="1"/>
  <c r="V33" i="179" s="1"/>
  <c r="U33" i="179" a="1"/>
  <c r="U33" i="179" s="1"/>
  <c r="T33" i="179"/>
  <c r="T33" i="179" a="1"/>
  <c r="S33" i="179" a="1"/>
  <c r="S33" i="179" s="1"/>
  <c r="R33" i="179"/>
  <c r="R33" i="179" a="1"/>
  <c r="Q33" i="179" a="1"/>
  <c r="Q33" i="179" s="1"/>
  <c r="P33" i="179"/>
  <c r="P33" i="179" a="1"/>
  <c r="O33" i="179" a="1"/>
  <c r="O33" i="179" s="1"/>
  <c r="N33" i="179" a="1"/>
  <c r="N33" i="179" s="1"/>
  <c r="M33" i="179" a="1"/>
  <c r="M33" i="179" s="1"/>
  <c r="L33" i="179" a="1"/>
  <c r="L33" i="179" s="1"/>
  <c r="K33" i="179" a="1"/>
  <c r="K33" i="179" s="1"/>
  <c r="J33" i="179"/>
  <c r="J33" i="179" a="1"/>
  <c r="I33" i="179" a="1"/>
  <c r="I33" i="179" s="1"/>
  <c r="H33" i="179" a="1"/>
  <c r="H33" i="179" s="1"/>
  <c r="F33" i="179" a="1"/>
  <c r="F33" i="179" s="1"/>
  <c r="E33" i="179"/>
  <c r="E33" i="179" a="1"/>
  <c r="D33" i="179" a="1"/>
  <c r="D33" i="179" s="1"/>
  <c r="AA32" i="179" a="1"/>
  <c r="AA32" i="179" s="1"/>
  <c r="Z32" i="179"/>
  <c r="Z32" i="179" a="1"/>
  <c r="Y32" i="179" a="1"/>
  <c r="Y32" i="179" s="1"/>
  <c r="X32" i="179" a="1"/>
  <c r="X32" i="179" s="1"/>
  <c r="W32" i="179" a="1"/>
  <c r="W32" i="179" s="1"/>
  <c r="V32" i="179" a="1"/>
  <c r="V32" i="179" s="1"/>
  <c r="U32" i="179" a="1"/>
  <c r="U32" i="179" s="1"/>
  <c r="T32" i="179" a="1"/>
  <c r="T32" i="179" s="1"/>
  <c r="S32" i="179" a="1"/>
  <c r="S32" i="179" s="1"/>
  <c r="R32" i="179"/>
  <c r="R32" i="179" a="1"/>
  <c r="Q32" i="179" a="1"/>
  <c r="Q32" i="179" s="1"/>
  <c r="P32" i="179" a="1"/>
  <c r="P32" i="179" s="1"/>
  <c r="O32" i="179" a="1"/>
  <c r="O32" i="179" s="1"/>
  <c r="N32" i="179"/>
  <c r="N32" i="179" a="1"/>
  <c r="M32" i="179"/>
  <c r="M32" i="179" a="1"/>
  <c r="L32" i="179" a="1"/>
  <c r="L32" i="179" s="1"/>
  <c r="K32" i="179" a="1"/>
  <c r="K32" i="179" s="1"/>
  <c r="J32" i="179"/>
  <c r="J32" i="179" a="1"/>
  <c r="I32" i="179" a="1"/>
  <c r="I32" i="179" s="1"/>
  <c r="H32" i="179" a="1"/>
  <c r="H32" i="179" s="1"/>
  <c r="F32" i="179" a="1"/>
  <c r="F32" i="179" s="1"/>
  <c r="E32" i="179"/>
  <c r="E32" i="179" a="1"/>
  <c r="D32" i="179" a="1"/>
  <c r="D32" i="179" s="1"/>
  <c r="AA31" i="179" a="1"/>
  <c r="AA31" i="179" s="1"/>
  <c r="Z31" i="179" a="1"/>
  <c r="Z31" i="179" s="1"/>
  <c r="Y31" i="179"/>
  <c r="Y31" i="179" a="1"/>
  <c r="X31" i="179" a="1"/>
  <c r="X31" i="179" s="1"/>
  <c r="W31" i="179" a="1"/>
  <c r="W31" i="179" s="1"/>
  <c r="V31" i="179" a="1"/>
  <c r="V31" i="179" s="1"/>
  <c r="U31" i="179" a="1"/>
  <c r="U31" i="179" s="1"/>
  <c r="T31" i="179" a="1"/>
  <c r="T31" i="179" s="1"/>
  <c r="S31" i="179" a="1"/>
  <c r="S31" i="179" s="1"/>
  <c r="R31" i="179"/>
  <c r="R31" i="179" a="1"/>
  <c r="Q31" i="179" a="1"/>
  <c r="Q31" i="179" s="1"/>
  <c r="P31" i="179" a="1"/>
  <c r="P31" i="179" s="1"/>
  <c r="O31" i="179" a="1"/>
  <c r="O31" i="179" s="1"/>
  <c r="N31" i="179" a="1"/>
  <c r="N31" i="179" s="1"/>
  <c r="M31" i="179" a="1"/>
  <c r="M31" i="179" s="1"/>
  <c r="L31" i="179" a="1"/>
  <c r="L31" i="179" s="1"/>
  <c r="K31" i="179" a="1"/>
  <c r="K31" i="179" s="1"/>
  <c r="J31" i="179"/>
  <c r="J31" i="179" a="1"/>
  <c r="I31" i="179" a="1"/>
  <c r="I31" i="179" s="1"/>
  <c r="H31" i="179" a="1"/>
  <c r="H31" i="179" s="1"/>
  <c r="F31" i="179" a="1"/>
  <c r="F31" i="179" s="1"/>
  <c r="E31" i="179"/>
  <c r="E31" i="179" a="1"/>
  <c r="D31" i="179" a="1"/>
  <c r="D31" i="179" s="1"/>
  <c r="AA37" i="180" a="1"/>
  <c r="AA37" i="180" s="1"/>
  <c r="Z37" i="180" a="1"/>
  <c r="Z37" i="180" s="1"/>
  <c r="Y37" i="180" a="1"/>
  <c r="Y37" i="180" s="1"/>
  <c r="X37" i="180" a="1"/>
  <c r="X37" i="180" s="1"/>
  <c r="W37" i="180"/>
  <c r="W37" i="180" a="1"/>
  <c r="V37" i="180" a="1"/>
  <c r="V37" i="180" s="1"/>
  <c r="U37" i="180" a="1"/>
  <c r="U37" i="180" s="1"/>
  <c r="T37" i="180" a="1"/>
  <c r="T37" i="180" s="1"/>
  <c r="S37" i="180" a="1"/>
  <c r="S37" i="180" s="1"/>
  <c r="R37" i="180"/>
  <c r="R37" i="180" a="1"/>
  <c r="Q37" i="180" a="1"/>
  <c r="Q37" i="180" s="1"/>
  <c r="P37" i="180" a="1"/>
  <c r="P37" i="180" s="1"/>
  <c r="O37" i="180" a="1"/>
  <c r="O37" i="180" s="1"/>
  <c r="N37" i="180" a="1"/>
  <c r="N37" i="180" s="1"/>
  <c r="M37" i="180" a="1"/>
  <c r="M37" i="180" s="1"/>
  <c r="L37" i="180" a="1"/>
  <c r="L37" i="180" s="1"/>
  <c r="K37" i="180" a="1"/>
  <c r="K37" i="180" s="1"/>
  <c r="J37" i="180"/>
  <c r="J37" i="180" a="1"/>
  <c r="I37" i="180" a="1"/>
  <c r="I37" i="180" s="1"/>
  <c r="H37" i="180" a="1"/>
  <c r="H37" i="180" s="1"/>
  <c r="F37" i="180" a="1"/>
  <c r="F37" i="180" s="1"/>
  <c r="E37" i="180" a="1"/>
  <c r="E37" i="180" s="1"/>
  <c r="D37" i="180" a="1"/>
  <c r="D37" i="180" s="1"/>
  <c r="AA36" i="180" a="1"/>
  <c r="AA36" i="180" s="1"/>
  <c r="Z36" i="180" a="1"/>
  <c r="Z36" i="180" s="1"/>
  <c r="Y36" i="180" a="1"/>
  <c r="Y36" i="180" s="1"/>
  <c r="X36" i="180" a="1"/>
  <c r="X36" i="180" s="1"/>
  <c r="W36" i="180"/>
  <c r="W36" i="180" a="1"/>
  <c r="V36" i="180" a="1"/>
  <c r="V36" i="180" s="1"/>
  <c r="U36" i="180" a="1"/>
  <c r="U36" i="180" s="1"/>
  <c r="T36" i="180"/>
  <c r="T36" i="180" a="1"/>
  <c r="S36" i="180" a="1"/>
  <c r="S36" i="180" s="1"/>
  <c r="R36" i="180" a="1"/>
  <c r="R36" i="180" s="1"/>
  <c r="Q36" i="180" a="1"/>
  <c r="Q36" i="180" s="1"/>
  <c r="P36" i="180" a="1"/>
  <c r="P36" i="180" s="1"/>
  <c r="O36" i="180" a="1"/>
  <c r="O36" i="180" s="1"/>
  <c r="N36" i="180" a="1"/>
  <c r="N36" i="180" s="1"/>
  <c r="M36" i="180" a="1"/>
  <c r="M36" i="180" s="1"/>
  <c r="L36" i="180" a="1"/>
  <c r="L36" i="180" s="1"/>
  <c r="K36" i="180" a="1"/>
  <c r="K36" i="180" s="1"/>
  <c r="J36" i="180"/>
  <c r="J36" i="180" a="1"/>
  <c r="I36" i="180" a="1"/>
  <c r="I36" i="180" s="1"/>
  <c r="H36" i="180" a="1"/>
  <c r="H36" i="180" s="1"/>
  <c r="F36" i="180" a="1"/>
  <c r="F36" i="180" s="1"/>
  <c r="E36" i="180" a="1"/>
  <c r="E36" i="180" s="1"/>
  <c r="D36" i="180" a="1"/>
  <c r="D36" i="180" s="1"/>
  <c r="AA35" i="180" a="1"/>
  <c r="AA35" i="180" s="1"/>
  <c r="Z35" i="180" a="1"/>
  <c r="Z35" i="180" s="1"/>
  <c r="Y35" i="180"/>
  <c r="Y35" i="180" a="1"/>
  <c r="X35" i="180" a="1"/>
  <c r="X35" i="180" s="1"/>
  <c r="W35" i="180"/>
  <c r="W35" i="180" a="1"/>
  <c r="V35" i="180" a="1"/>
  <c r="V35" i="180" s="1"/>
  <c r="U35" i="180" a="1"/>
  <c r="U35" i="180" s="1"/>
  <c r="T35" i="180"/>
  <c r="T35" i="180" a="1"/>
  <c r="S35" i="180" a="1"/>
  <c r="S35" i="180" s="1"/>
  <c r="R35" i="180" a="1"/>
  <c r="R35" i="180" s="1"/>
  <c r="Q35" i="180" a="1"/>
  <c r="Q35" i="180" s="1"/>
  <c r="P35" i="180" a="1"/>
  <c r="P35" i="180" s="1"/>
  <c r="O35" i="180" a="1"/>
  <c r="O35" i="180" s="1"/>
  <c r="N35" i="180" a="1"/>
  <c r="N35" i="180" s="1"/>
  <c r="M35" i="180" a="1"/>
  <c r="M35" i="180" s="1"/>
  <c r="L35" i="180"/>
  <c r="L35" i="180" a="1"/>
  <c r="K35" i="180"/>
  <c r="K35" i="180" a="1"/>
  <c r="J35" i="180"/>
  <c r="J35" i="180" a="1"/>
  <c r="I35" i="180" a="1"/>
  <c r="I35" i="180" s="1"/>
  <c r="H35" i="180" a="1"/>
  <c r="H35" i="180" s="1"/>
  <c r="F35" i="180" a="1"/>
  <c r="F35" i="180" s="1"/>
  <c r="E35" i="180" a="1"/>
  <c r="E35" i="180" s="1"/>
  <c r="D35" i="180" a="1"/>
  <c r="D35" i="180" s="1"/>
  <c r="AA34" i="180" a="1"/>
  <c r="AA34" i="180" s="1"/>
  <c r="Z34" i="180" a="1"/>
  <c r="Z34" i="180" s="1"/>
  <c r="Y34" i="180"/>
  <c r="Y34" i="180" a="1"/>
  <c r="X34" i="180" a="1"/>
  <c r="X34" i="180" s="1"/>
  <c r="W34" i="180"/>
  <c r="W34" i="180" a="1"/>
  <c r="V34" i="180" a="1"/>
  <c r="V34" i="180" s="1"/>
  <c r="U34" i="180" a="1"/>
  <c r="U34" i="180" s="1"/>
  <c r="T34" i="180"/>
  <c r="T34" i="180" a="1"/>
  <c r="S34" i="180" a="1"/>
  <c r="S34" i="180" s="1"/>
  <c r="R34" i="180" a="1"/>
  <c r="R34" i="180" s="1"/>
  <c r="Q34" i="180"/>
  <c r="Q34" i="180" a="1"/>
  <c r="P34" i="180" a="1"/>
  <c r="P34" i="180" s="1"/>
  <c r="O34" i="180" a="1"/>
  <c r="O34" i="180" s="1"/>
  <c r="N34" i="180"/>
  <c r="N34" i="180" a="1"/>
  <c r="M34" i="180" a="1"/>
  <c r="M34" i="180" s="1"/>
  <c r="L34" i="180" a="1"/>
  <c r="L34" i="180" s="1"/>
  <c r="K34" i="180" a="1"/>
  <c r="K34" i="180" s="1"/>
  <c r="J34" i="180"/>
  <c r="J34" i="180" a="1"/>
  <c r="I34" i="180" a="1"/>
  <c r="I34" i="180" s="1"/>
  <c r="H34" i="180" a="1"/>
  <c r="H34" i="180" s="1"/>
  <c r="F34" i="180" a="1"/>
  <c r="F34" i="180" s="1"/>
  <c r="E34" i="180" a="1"/>
  <c r="E34" i="180" s="1"/>
  <c r="D34" i="180" a="1"/>
  <c r="D34" i="180" s="1"/>
  <c r="AA33" i="180" a="1"/>
  <c r="AA33" i="180" s="1"/>
  <c r="Z33" i="180" a="1"/>
  <c r="Z33" i="180" s="1"/>
  <c r="Y33" i="180" a="1"/>
  <c r="Y33" i="180" s="1"/>
  <c r="X33" i="180" a="1"/>
  <c r="X33" i="180" s="1"/>
  <c r="W33" i="180" a="1"/>
  <c r="W33" i="180" s="1"/>
  <c r="V33" i="180" a="1"/>
  <c r="V33" i="180" s="1"/>
  <c r="U33" i="180" a="1"/>
  <c r="U33" i="180" s="1"/>
  <c r="T33" i="180"/>
  <c r="T33" i="180" a="1"/>
  <c r="S33" i="180" a="1"/>
  <c r="S33" i="180" s="1"/>
  <c r="R33" i="180" a="1"/>
  <c r="R33" i="180" s="1"/>
  <c r="Q33" i="180" a="1"/>
  <c r="Q33" i="180" s="1"/>
  <c r="P33" i="180" a="1"/>
  <c r="P33" i="180" s="1"/>
  <c r="O33" i="180" a="1"/>
  <c r="O33" i="180" s="1"/>
  <c r="N33" i="180" a="1"/>
  <c r="N33" i="180" s="1"/>
  <c r="M33" i="180" a="1"/>
  <c r="M33" i="180" s="1"/>
  <c r="L33" i="180" a="1"/>
  <c r="L33" i="180" s="1"/>
  <c r="K33" i="180" a="1"/>
  <c r="K33" i="180" s="1"/>
  <c r="J33" i="180" a="1"/>
  <c r="J33" i="180" s="1"/>
  <c r="I33" i="180" a="1"/>
  <c r="I33" i="180" s="1"/>
  <c r="H33" i="180" a="1"/>
  <c r="H33" i="180" s="1"/>
  <c r="F33" i="180" a="1"/>
  <c r="F33" i="180" s="1"/>
  <c r="E33" i="180" a="1"/>
  <c r="E33" i="180" s="1"/>
  <c r="D33" i="180" a="1"/>
  <c r="D33" i="180" s="1"/>
  <c r="AA32" i="180" a="1"/>
  <c r="AA32" i="180" s="1"/>
  <c r="Z32" i="180" a="1"/>
  <c r="Z32" i="180" s="1"/>
  <c r="Y32" i="180" a="1"/>
  <c r="Y32" i="180" s="1"/>
  <c r="X32" i="180" a="1"/>
  <c r="X32" i="180" s="1"/>
  <c r="W32" i="180" a="1"/>
  <c r="W32" i="180" s="1"/>
  <c r="V32" i="180"/>
  <c r="V32" i="180" a="1"/>
  <c r="U32" i="180" a="1"/>
  <c r="U32" i="180" s="1"/>
  <c r="T32" i="180" a="1"/>
  <c r="T32" i="180" s="1"/>
  <c r="S32" i="180" a="1"/>
  <c r="S32" i="180" s="1"/>
  <c r="R32" i="180"/>
  <c r="R32" i="180" a="1"/>
  <c r="Q32" i="180" a="1"/>
  <c r="Q32" i="180" s="1"/>
  <c r="P32" i="180" a="1"/>
  <c r="P32" i="180" s="1"/>
  <c r="O32" i="180"/>
  <c r="O32" i="180" a="1"/>
  <c r="N32" i="180"/>
  <c r="N32" i="180" a="1"/>
  <c r="M32" i="180" a="1"/>
  <c r="M32" i="180" s="1"/>
  <c r="L32" i="180"/>
  <c r="L32" i="180" a="1"/>
  <c r="K32" i="180" a="1"/>
  <c r="K32" i="180" s="1"/>
  <c r="J32" i="180" a="1"/>
  <c r="J32" i="180" s="1"/>
  <c r="I32" i="180" a="1"/>
  <c r="I32" i="180" s="1"/>
  <c r="H32" i="180" a="1"/>
  <c r="H32" i="180" s="1"/>
  <c r="F32" i="180" a="1"/>
  <c r="F32" i="180" s="1"/>
  <c r="E32" i="180" a="1"/>
  <c r="E32" i="180" s="1"/>
  <c r="D32" i="180" a="1"/>
  <c r="D32" i="180" s="1"/>
  <c r="AA31" i="180" a="1"/>
  <c r="AA31" i="180" s="1"/>
  <c r="Z31" i="180" a="1"/>
  <c r="Z31" i="180" s="1"/>
  <c r="Y31" i="180" a="1"/>
  <c r="Y31" i="180" s="1"/>
  <c r="X31" i="180" a="1"/>
  <c r="X31" i="180" s="1"/>
  <c r="W31" i="180" a="1"/>
  <c r="W31" i="180" s="1"/>
  <c r="V31" i="180" a="1"/>
  <c r="V31" i="180" s="1"/>
  <c r="U31" i="180" a="1"/>
  <c r="U31" i="180" s="1"/>
  <c r="T31" i="180" a="1"/>
  <c r="T31" i="180" s="1"/>
  <c r="S31" i="180" a="1"/>
  <c r="S31" i="180" s="1"/>
  <c r="R31" i="180" a="1"/>
  <c r="R31" i="180" s="1"/>
  <c r="Q31" i="180" a="1"/>
  <c r="Q31" i="180" s="1"/>
  <c r="P31" i="180" a="1"/>
  <c r="P31" i="180" s="1"/>
  <c r="O31" i="180"/>
  <c r="O31" i="180" a="1"/>
  <c r="N31" i="180" a="1"/>
  <c r="N31" i="180" s="1"/>
  <c r="M31" i="180" a="1"/>
  <c r="M31" i="180" s="1"/>
  <c r="L31" i="180" a="1"/>
  <c r="L31" i="180" s="1"/>
  <c r="K31" i="180" a="1"/>
  <c r="K31" i="180" s="1"/>
  <c r="J31" i="180" a="1"/>
  <c r="J31" i="180" s="1"/>
  <c r="I31" i="180" a="1"/>
  <c r="I31" i="180" s="1"/>
  <c r="H31" i="180" a="1"/>
  <c r="H31" i="180" s="1"/>
  <c r="F31" i="180"/>
  <c r="F31" i="180" a="1"/>
  <c r="E31" i="180" a="1"/>
  <c r="E31" i="180" s="1"/>
  <c r="D31" i="180" a="1"/>
  <c r="D31" i="180" s="1"/>
  <c r="AA37" i="181"/>
  <c r="AA37" i="181" a="1"/>
  <c r="Z37" i="181"/>
  <c r="Z37" i="181" a="1"/>
  <c r="Y37" i="181" a="1"/>
  <c r="Y37" i="181" s="1"/>
  <c r="X37" i="181" a="1"/>
  <c r="X37" i="181" s="1"/>
  <c r="W37" i="181" a="1"/>
  <c r="W37" i="181" s="1"/>
  <c r="V37" i="181" a="1"/>
  <c r="V37" i="181" s="1"/>
  <c r="U37" i="181" a="1"/>
  <c r="U37" i="181" s="1"/>
  <c r="T37" i="181" a="1"/>
  <c r="T37" i="181" s="1"/>
  <c r="S37" i="181" a="1"/>
  <c r="S37" i="181" s="1"/>
  <c r="R37" i="181" a="1"/>
  <c r="R37" i="181" s="1"/>
  <c r="Q37" i="181" a="1"/>
  <c r="Q37" i="181" s="1"/>
  <c r="P37" i="181" a="1"/>
  <c r="P37" i="181" s="1"/>
  <c r="O37" i="181" a="1"/>
  <c r="O37" i="181" s="1"/>
  <c r="N37" i="181" a="1"/>
  <c r="N37" i="181" s="1"/>
  <c r="M37" i="181"/>
  <c r="M37" i="181" a="1"/>
  <c r="L37" i="181" a="1"/>
  <c r="L37" i="181" s="1"/>
  <c r="K37" i="181" a="1"/>
  <c r="K37" i="181" s="1"/>
  <c r="J37" i="181"/>
  <c r="J37" i="181" a="1"/>
  <c r="I37" i="181"/>
  <c r="I37" i="181" a="1"/>
  <c r="H37" i="181" a="1"/>
  <c r="H37" i="181" s="1"/>
  <c r="F37" i="181" a="1"/>
  <c r="F37" i="181" s="1"/>
  <c r="E37" i="181" a="1"/>
  <c r="E37" i="181" s="1"/>
  <c r="D37" i="181" a="1"/>
  <c r="D37" i="181" s="1"/>
  <c r="AA36" i="181" a="1"/>
  <c r="AA36" i="181" s="1"/>
  <c r="Z36" i="181"/>
  <c r="Z36" i="181" a="1"/>
  <c r="Y36" i="181" a="1"/>
  <c r="Y36" i="181" s="1"/>
  <c r="X36" i="181"/>
  <c r="X36" i="181" a="1"/>
  <c r="W36" i="181" a="1"/>
  <c r="W36" i="181" s="1"/>
  <c r="V36" i="181" a="1"/>
  <c r="V36" i="181" s="1"/>
  <c r="U36" i="181" a="1"/>
  <c r="U36" i="181" s="1"/>
  <c r="T36" i="181" a="1"/>
  <c r="T36" i="181" s="1"/>
  <c r="S36" i="181" a="1"/>
  <c r="S36" i="181" s="1"/>
  <c r="R36" i="181"/>
  <c r="R36" i="181" a="1"/>
  <c r="Q36" i="181" a="1"/>
  <c r="Q36" i="181" s="1"/>
  <c r="P36" i="181" a="1"/>
  <c r="P36" i="181" s="1"/>
  <c r="O36" i="181" a="1"/>
  <c r="O36" i="181" s="1"/>
  <c r="N36" i="181" a="1"/>
  <c r="N36" i="181" s="1"/>
  <c r="M36" i="181"/>
  <c r="M36" i="181" a="1"/>
  <c r="L36" i="181"/>
  <c r="L36" i="181" a="1"/>
  <c r="K36" i="181" a="1"/>
  <c r="K36" i="181" s="1"/>
  <c r="J36" i="181" a="1"/>
  <c r="J36" i="181" s="1"/>
  <c r="I36" i="181" a="1"/>
  <c r="I36" i="181" s="1"/>
  <c r="H36" i="181"/>
  <c r="H36" i="181" a="1"/>
  <c r="F36" i="181" a="1"/>
  <c r="F36" i="181" s="1"/>
  <c r="E36" i="181" a="1"/>
  <c r="E36" i="181" s="1"/>
  <c r="D36" i="181" a="1"/>
  <c r="D36" i="181" s="1"/>
  <c r="AA35" i="181" a="1"/>
  <c r="AA35" i="181" s="1"/>
  <c r="Z35" i="181" a="1"/>
  <c r="Z35" i="181" s="1"/>
  <c r="Y35" i="181" a="1"/>
  <c r="Y35" i="181" s="1"/>
  <c r="X35" i="181"/>
  <c r="X35" i="181" a="1"/>
  <c r="W35" i="181" a="1"/>
  <c r="W35" i="181" s="1"/>
  <c r="V35" i="181" a="1"/>
  <c r="V35" i="181" s="1"/>
  <c r="U35" i="181" a="1"/>
  <c r="U35" i="181" s="1"/>
  <c r="T35" i="181" a="1"/>
  <c r="T35" i="181" s="1"/>
  <c r="S35" i="181" a="1"/>
  <c r="S35" i="181" s="1"/>
  <c r="R35" i="181" a="1"/>
  <c r="R35" i="181" s="1"/>
  <c r="Q35" i="181" a="1"/>
  <c r="Q35" i="181" s="1"/>
  <c r="P35" i="181" a="1"/>
  <c r="P35" i="181" s="1"/>
  <c r="O35" i="181" a="1"/>
  <c r="O35" i="181" s="1"/>
  <c r="N35" i="181" a="1"/>
  <c r="N35" i="181" s="1"/>
  <c r="M35" i="181" a="1"/>
  <c r="M35" i="181" s="1"/>
  <c r="L35" i="181" a="1"/>
  <c r="L35" i="181" s="1"/>
  <c r="K35" i="181" a="1"/>
  <c r="K35" i="181" s="1"/>
  <c r="J35" i="181" a="1"/>
  <c r="J35" i="181" s="1"/>
  <c r="I35" i="181" a="1"/>
  <c r="I35" i="181" s="1"/>
  <c r="H35" i="181" a="1"/>
  <c r="H35" i="181" s="1"/>
  <c r="F35" i="181"/>
  <c r="F35" i="181" a="1"/>
  <c r="E35" i="181" a="1"/>
  <c r="E35" i="181" s="1"/>
  <c r="D35" i="181" a="1"/>
  <c r="D35" i="181" s="1"/>
  <c r="AA34" i="181" a="1"/>
  <c r="AA34" i="181" s="1"/>
  <c r="Z34" i="181"/>
  <c r="Z34" i="181" a="1"/>
  <c r="Y34" i="181" a="1"/>
  <c r="Y34" i="181" s="1"/>
  <c r="X34" i="181" a="1"/>
  <c r="X34" i="181" s="1"/>
  <c r="W34" i="181" a="1"/>
  <c r="W34" i="181" s="1"/>
  <c r="V34" i="181" a="1"/>
  <c r="V34" i="181" s="1"/>
  <c r="U34" i="181" a="1"/>
  <c r="U34" i="181" s="1"/>
  <c r="T34" i="181"/>
  <c r="T34" i="181" a="1"/>
  <c r="S34" i="181" a="1"/>
  <c r="S34" i="181" s="1"/>
  <c r="R34" i="181"/>
  <c r="R34" i="181" a="1"/>
  <c r="Q34" i="181" a="1"/>
  <c r="Q34" i="181" s="1"/>
  <c r="P34" i="181" a="1"/>
  <c r="P34" i="181" s="1"/>
  <c r="O34" i="181" a="1"/>
  <c r="O34" i="181" s="1"/>
  <c r="N34" i="181" a="1"/>
  <c r="N34" i="181" s="1"/>
  <c r="M34" i="181" a="1"/>
  <c r="M34" i="181" s="1"/>
  <c r="L34" i="181" a="1"/>
  <c r="L34" i="181" s="1"/>
  <c r="K34" i="181" a="1"/>
  <c r="K34" i="181" s="1"/>
  <c r="J34" i="181" a="1"/>
  <c r="J34" i="181" s="1"/>
  <c r="I34" i="181"/>
  <c r="I34" i="181" a="1"/>
  <c r="H34" i="181" a="1"/>
  <c r="H34" i="181" s="1"/>
  <c r="F34" i="181" a="1"/>
  <c r="F34" i="181" s="1"/>
  <c r="E34" i="181" a="1"/>
  <c r="E34" i="181" s="1"/>
  <c r="D34" i="181" a="1"/>
  <c r="D34" i="181" s="1"/>
  <c r="AA33" i="181" a="1"/>
  <c r="AA33" i="181" s="1"/>
  <c r="Z33" i="181" a="1"/>
  <c r="Z33" i="181" s="1"/>
  <c r="Y33" i="181" a="1"/>
  <c r="Y33" i="181" s="1"/>
  <c r="X33" i="181"/>
  <c r="X33" i="181" a="1"/>
  <c r="W33" i="181" a="1"/>
  <c r="W33" i="181" s="1"/>
  <c r="V33" i="181" a="1"/>
  <c r="V33" i="181" s="1"/>
  <c r="U33" i="181" a="1"/>
  <c r="U33" i="181" s="1"/>
  <c r="T33" i="181" a="1"/>
  <c r="T33" i="181" s="1"/>
  <c r="S33" i="181" a="1"/>
  <c r="S33" i="181" s="1"/>
  <c r="R33" i="181" a="1"/>
  <c r="R33" i="181" s="1"/>
  <c r="Q33" i="181" a="1"/>
  <c r="Q33" i="181" s="1"/>
  <c r="P33" i="181" a="1"/>
  <c r="P33" i="181" s="1"/>
  <c r="O33" i="181" a="1"/>
  <c r="O33" i="181" s="1"/>
  <c r="N33" i="181" a="1"/>
  <c r="N33" i="181" s="1"/>
  <c r="M33" i="181"/>
  <c r="M33" i="181" a="1"/>
  <c r="L33" i="181" a="1"/>
  <c r="L33" i="181" s="1"/>
  <c r="K33" i="181" a="1"/>
  <c r="K33" i="181" s="1"/>
  <c r="J33" i="181" a="1"/>
  <c r="J33" i="181" s="1"/>
  <c r="I33" i="181" a="1"/>
  <c r="I33" i="181" s="1"/>
  <c r="H33" i="181"/>
  <c r="H33" i="181" a="1"/>
  <c r="F33" i="181" a="1"/>
  <c r="F33" i="181" s="1"/>
  <c r="E33" i="181" a="1"/>
  <c r="E33" i="181" s="1"/>
  <c r="D33" i="181" a="1"/>
  <c r="D33" i="181" s="1"/>
  <c r="AA32" i="181" a="1"/>
  <c r="AA32" i="181" s="1"/>
  <c r="Z32" i="181" a="1"/>
  <c r="Z32" i="181" s="1"/>
  <c r="Y32" i="181" a="1"/>
  <c r="Y32" i="181" s="1"/>
  <c r="X32" i="181" a="1"/>
  <c r="X32" i="181" s="1"/>
  <c r="W32" i="181" a="1"/>
  <c r="W32" i="181" s="1"/>
  <c r="V32" i="181" a="1"/>
  <c r="V32" i="181" s="1"/>
  <c r="U32" i="181" a="1"/>
  <c r="U32" i="181" s="1"/>
  <c r="T32" i="181" a="1"/>
  <c r="T32" i="181" s="1"/>
  <c r="S32" i="181" a="1"/>
  <c r="S32" i="181" s="1"/>
  <c r="R32" i="181" a="1"/>
  <c r="R32" i="181" s="1"/>
  <c r="Q32" i="181" a="1"/>
  <c r="Q32" i="181" s="1"/>
  <c r="P32" i="181" a="1"/>
  <c r="P32" i="181" s="1"/>
  <c r="O32" i="181"/>
  <c r="O32" i="181" a="1"/>
  <c r="N32" i="181" a="1"/>
  <c r="N32" i="181" s="1"/>
  <c r="M32" i="181" a="1"/>
  <c r="M32" i="181" s="1"/>
  <c r="L32" i="181" a="1"/>
  <c r="L32" i="181" s="1"/>
  <c r="K32" i="181" a="1"/>
  <c r="K32" i="181" s="1"/>
  <c r="J32" i="181" a="1"/>
  <c r="J32" i="181" s="1"/>
  <c r="I32" i="181" a="1"/>
  <c r="I32" i="181" s="1"/>
  <c r="H32" i="181" a="1"/>
  <c r="H32" i="181" s="1"/>
  <c r="F32" i="181"/>
  <c r="F32" i="181" a="1"/>
  <c r="E32" i="181" a="1"/>
  <c r="E32" i="181" s="1"/>
  <c r="D32" i="181"/>
  <c r="D32" i="181" a="1"/>
  <c r="AA31" i="181" a="1"/>
  <c r="AA31" i="181" s="1"/>
  <c r="Z31" i="181" a="1"/>
  <c r="Z31" i="181" s="1"/>
  <c r="Y31" i="181" a="1"/>
  <c r="Y31" i="181" s="1"/>
  <c r="X31" i="181" a="1"/>
  <c r="X31" i="181" s="1"/>
  <c r="W31" i="181" a="1"/>
  <c r="W31" i="181" s="1"/>
  <c r="V31" i="181" a="1"/>
  <c r="V31" i="181" s="1"/>
  <c r="U31" i="181" a="1"/>
  <c r="U31" i="181" s="1"/>
  <c r="T31" i="181" a="1"/>
  <c r="T31" i="181" s="1"/>
  <c r="S31" i="181" a="1"/>
  <c r="S31" i="181" s="1"/>
  <c r="R31" i="181" a="1"/>
  <c r="R31" i="181" s="1"/>
  <c r="Q31" i="181" a="1"/>
  <c r="Q31" i="181" s="1"/>
  <c r="P31" i="181" a="1"/>
  <c r="P31" i="181" s="1"/>
  <c r="O31" i="181" a="1"/>
  <c r="O31" i="181" s="1"/>
  <c r="N31" i="181" a="1"/>
  <c r="N31" i="181" s="1"/>
  <c r="M31" i="181" a="1"/>
  <c r="M31" i="181" s="1"/>
  <c r="L31" i="181" a="1"/>
  <c r="L31" i="181" s="1"/>
  <c r="K31" i="181" a="1"/>
  <c r="K31" i="181" s="1"/>
  <c r="J31" i="181"/>
  <c r="J31" i="181" a="1"/>
  <c r="I31" i="181"/>
  <c r="I31" i="181" a="1"/>
  <c r="H31" i="181" a="1"/>
  <c r="H31" i="181" s="1"/>
  <c r="F31" i="181" a="1"/>
  <c r="F31" i="181" s="1"/>
  <c r="E31" i="181" a="1"/>
  <c r="E31" i="181" s="1"/>
  <c r="D31" i="181" a="1"/>
  <c r="D31" i="181" s="1"/>
  <c r="AA37" i="182" a="1"/>
  <c r="AA37" i="182" s="1"/>
  <c r="Z37" i="182" a="1"/>
  <c r="Z37" i="182" s="1"/>
  <c r="Y37" i="182" a="1"/>
  <c r="Y37" i="182" s="1"/>
  <c r="X37" i="182"/>
  <c r="X37" i="182" a="1"/>
  <c r="W37" i="182" a="1"/>
  <c r="W37" i="182" s="1"/>
  <c r="V37" i="182" a="1"/>
  <c r="V37" i="182" s="1"/>
  <c r="U37" i="182" a="1"/>
  <c r="U37" i="182" s="1"/>
  <c r="T37" i="182"/>
  <c r="T37" i="182" a="1"/>
  <c r="S37" i="182" a="1"/>
  <c r="S37" i="182" s="1"/>
  <c r="R37" i="182"/>
  <c r="R37" i="182" a="1"/>
  <c r="Q37" i="182" a="1"/>
  <c r="Q37" i="182" s="1"/>
  <c r="P37" i="182" a="1"/>
  <c r="P37" i="182" s="1"/>
  <c r="O37" i="182" a="1"/>
  <c r="O37" i="182" s="1"/>
  <c r="N37" i="182" a="1"/>
  <c r="N37" i="182" s="1"/>
  <c r="M37" i="182"/>
  <c r="M37" i="182" a="1"/>
  <c r="L37" i="182" a="1"/>
  <c r="L37" i="182" s="1"/>
  <c r="K37" i="182" a="1"/>
  <c r="K37" i="182" s="1"/>
  <c r="J37" i="182" a="1"/>
  <c r="J37" i="182" s="1"/>
  <c r="I37" i="182" a="1"/>
  <c r="I37" i="182" s="1"/>
  <c r="H37" i="182" a="1"/>
  <c r="H37" i="182" s="1"/>
  <c r="F37" i="182" a="1"/>
  <c r="F37" i="182" s="1"/>
  <c r="E37" i="182" a="1"/>
  <c r="E37" i="182" s="1"/>
  <c r="D37" i="182" a="1"/>
  <c r="D37" i="182" s="1"/>
  <c r="AA36" i="182" a="1"/>
  <c r="AA36" i="182" s="1"/>
  <c r="Z36" i="182" a="1"/>
  <c r="Z36" i="182" s="1"/>
  <c r="Y36" i="182" a="1"/>
  <c r="Y36" i="182" s="1"/>
  <c r="X36" i="182"/>
  <c r="X36" i="182" a="1"/>
  <c r="W36" i="182" a="1"/>
  <c r="W36" i="182" s="1"/>
  <c r="V36" i="182" a="1"/>
  <c r="V36" i="182" s="1"/>
  <c r="U36" i="182" a="1"/>
  <c r="U36" i="182" s="1"/>
  <c r="T36" i="182"/>
  <c r="T36" i="182" a="1"/>
  <c r="S36" i="182" a="1"/>
  <c r="S36" i="182" s="1"/>
  <c r="R36" i="182"/>
  <c r="R36" i="182" a="1"/>
  <c r="Q36" i="182" a="1"/>
  <c r="Q36" i="182" s="1"/>
  <c r="P36" i="182" a="1"/>
  <c r="P36" i="182" s="1"/>
  <c r="O36" i="182"/>
  <c r="O36" i="182" a="1"/>
  <c r="N36" i="182" a="1"/>
  <c r="N36" i="182" s="1"/>
  <c r="M36" i="182" a="1"/>
  <c r="M36" i="182" s="1"/>
  <c r="L36" i="182" a="1"/>
  <c r="L36" i="182" s="1"/>
  <c r="K36" i="182" a="1"/>
  <c r="K36" i="182" s="1"/>
  <c r="J36" i="182" a="1"/>
  <c r="J36" i="182" s="1"/>
  <c r="I36" i="182" a="1"/>
  <c r="I36" i="182" s="1"/>
  <c r="H36" i="182" a="1"/>
  <c r="H36" i="182" s="1"/>
  <c r="F36" i="182" a="1"/>
  <c r="F36" i="182" s="1"/>
  <c r="E36" i="182" a="1"/>
  <c r="E36" i="182" s="1"/>
  <c r="D36" i="182"/>
  <c r="D36" i="182" a="1"/>
  <c r="AA35" i="182" a="1"/>
  <c r="AA35" i="182" s="1"/>
  <c r="Z35" i="182" a="1"/>
  <c r="Z35" i="182" s="1"/>
  <c r="Y35" i="182" a="1"/>
  <c r="Y35" i="182" s="1"/>
  <c r="X35" i="182" a="1"/>
  <c r="X35" i="182" s="1"/>
  <c r="W35" i="182" a="1"/>
  <c r="W35" i="182" s="1"/>
  <c r="V35" i="182"/>
  <c r="V35" i="182" a="1"/>
  <c r="U35" i="182" a="1"/>
  <c r="U35" i="182" s="1"/>
  <c r="T35" i="182" a="1"/>
  <c r="T35" i="182" s="1"/>
  <c r="S35" i="182" a="1"/>
  <c r="S35" i="182" s="1"/>
  <c r="R35" i="182"/>
  <c r="R35" i="182" a="1"/>
  <c r="Q35" i="182" a="1"/>
  <c r="Q35" i="182" s="1"/>
  <c r="P35" i="182" a="1"/>
  <c r="P35" i="182" s="1"/>
  <c r="O35" i="182"/>
  <c r="O35" i="182" a="1"/>
  <c r="N35" i="182" a="1"/>
  <c r="N35" i="182" s="1"/>
  <c r="M35" i="182" a="1"/>
  <c r="M35" i="182" s="1"/>
  <c r="L35" i="182" a="1"/>
  <c r="L35" i="182" s="1"/>
  <c r="K35" i="182" a="1"/>
  <c r="K35" i="182" s="1"/>
  <c r="J35" i="182" a="1"/>
  <c r="J35" i="182" s="1"/>
  <c r="I35" i="182" a="1"/>
  <c r="I35" i="182" s="1"/>
  <c r="H35" i="182" a="1"/>
  <c r="H35" i="182" s="1"/>
  <c r="F35" i="182" a="1"/>
  <c r="F35" i="182" s="1"/>
  <c r="E35" i="182" a="1"/>
  <c r="E35" i="182" s="1"/>
  <c r="D35" i="182" a="1"/>
  <c r="D35" i="182" s="1"/>
  <c r="AA34" i="182" a="1"/>
  <c r="AA34" i="182" s="1"/>
  <c r="Z34" i="182" a="1"/>
  <c r="Z34" i="182" s="1"/>
  <c r="Y34" i="182" a="1"/>
  <c r="Y34" i="182" s="1"/>
  <c r="X34" i="182"/>
  <c r="X34" i="182" a="1"/>
  <c r="W34" i="182" a="1"/>
  <c r="W34" i="182" s="1"/>
  <c r="V34" i="182"/>
  <c r="V34" i="182" a="1"/>
  <c r="U34" i="182" a="1"/>
  <c r="U34" i="182" s="1"/>
  <c r="T34" i="182" a="1"/>
  <c r="T34" i="182" s="1"/>
  <c r="S34" i="182" a="1"/>
  <c r="S34" i="182" s="1"/>
  <c r="R34" i="182"/>
  <c r="R34" i="182" a="1"/>
  <c r="Q34" i="182" a="1"/>
  <c r="Q34" i="182" s="1"/>
  <c r="P34" i="182" a="1"/>
  <c r="P34" i="182" s="1"/>
  <c r="O34" i="182" a="1"/>
  <c r="O34" i="182" s="1"/>
  <c r="N34" i="182" a="1"/>
  <c r="N34" i="182" s="1"/>
  <c r="M34" i="182"/>
  <c r="M34" i="182" a="1"/>
  <c r="L34" i="182" a="1"/>
  <c r="L34" i="182" s="1"/>
  <c r="K34" i="182" a="1"/>
  <c r="K34" i="182" s="1"/>
  <c r="J34" i="182" a="1"/>
  <c r="J34" i="182" s="1"/>
  <c r="I34" i="182" a="1"/>
  <c r="I34" i="182" s="1"/>
  <c r="H34" i="182" a="1"/>
  <c r="H34" i="182" s="1"/>
  <c r="F34" i="182" a="1"/>
  <c r="F34" i="182" s="1"/>
  <c r="E34" i="182" a="1"/>
  <c r="E34" i="182" s="1"/>
  <c r="D34" i="182" a="1"/>
  <c r="D34" i="182" s="1"/>
  <c r="AA33" i="182" a="1"/>
  <c r="AA33" i="182" s="1"/>
  <c r="Z33" i="182" a="1"/>
  <c r="Z33" i="182" s="1"/>
  <c r="Y33" i="182" a="1"/>
  <c r="Y33" i="182" s="1"/>
  <c r="X33" i="182"/>
  <c r="X33" i="182" a="1"/>
  <c r="W33" i="182" a="1"/>
  <c r="W33" i="182" s="1"/>
  <c r="V33" i="182" a="1"/>
  <c r="V33" i="182" s="1"/>
  <c r="U33" i="182" a="1"/>
  <c r="U33" i="182" s="1"/>
  <c r="T33" i="182"/>
  <c r="T33" i="182" a="1"/>
  <c r="S33" i="182" a="1"/>
  <c r="S33" i="182" s="1"/>
  <c r="R33" i="182" a="1"/>
  <c r="R33" i="182" s="1"/>
  <c r="Q33" i="182" a="1"/>
  <c r="Q33" i="182" s="1"/>
  <c r="P33" i="182" a="1"/>
  <c r="P33" i="182" s="1"/>
  <c r="O33" i="182" a="1"/>
  <c r="O33" i="182" s="1"/>
  <c r="N33" i="182" a="1"/>
  <c r="N33" i="182" s="1"/>
  <c r="M33" i="182" a="1"/>
  <c r="M33" i="182" s="1"/>
  <c r="L33" i="182" a="1"/>
  <c r="L33" i="182" s="1"/>
  <c r="K33" i="182" a="1"/>
  <c r="K33" i="182" s="1"/>
  <c r="J33" i="182" a="1"/>
  <c r="J33" i="182" s="1"/>
  <c r="I33" i="182"/>
  <c r="I33" i="182" a="1"/>
  <c r="H33" i="182" a="1"/>
  <c r="H33" i="182" s="1"/>
  <c r="F33" i="182" a="1"/>
  <c r="F33" i="182" s="1"/>
  <c r="E33" i="182" a="1"/>
  <c r="E33" i="182" s="1"/>
  <c r="D33" i="182" a="1"/>
  <c r="D33" i="182" s="1"/>
  <c r="AA32" i="182" a="1"/>
  <c r="AA32" i="182" s="1"/>
  <c r="Z32" i="182" a="1"/>
  <c r="Z32" i="182" s="1"/>
  <c r="Y32" i="182" a="1"/>
  <c r="Y32" i="182" s="1"/>
  <c r="X32" i="182" a="1"/>
  <c r="X32" i="182" s="1"/>
  <c r="W32" i="182" a="1"/>
  <c r="W32" i="182" s="1"/>
  <c r="V32" i="182"/>
  <c r="V32" i="182" a="1"/>
  <c r="U32" i="182" a="1"/>
  <c r="U32" i="182" s="1"/>
  <c r="T32" i="182" a="1"/>
  <c r="T32" i="182" s="1"/>
  <c r="S32" i="182" a="1"/>
  <c r="S32" i="182" s="1"/>
  <c r="R32" i="182"/>
  <c r="R32" i="182" a="1"/>
  <c r="Q32" i="182" a="1"/>
  <c r="Q32" i="182" s="1"/>
  <c r="P32" i="182" a="1"/>
  <c r="P32" i="182" s="1"/>
  <c r="O32" i="182"/>
  <c r="O32" i="182" a="1"/>
  <c r="N32" i="182" a="1"/>
  <c r="N32" i="182" s="1"/>
  <c r="M32" i="182" a="1"/>
  <c r="M32" i="182" s="1"/>
  <c r="L32" i="182" a="1"/>
  <c r="L32" i="182" s="1"/>
  <c r="K32" i="182" a="1"/>
  <c r="K32" i="182" s="1"/>
  <c r="J32" i="182"/>
  <c r="J32" i="182" a="1"/>
  <c r="I32" i="182" a="1"/>
  <c r="I32" i="182" s="1"/>
  <c r="H32" i="182" a="1"/>
  <c r="H32" i="182" s="1"/>
  <c r="F32" i="182" a="1"/>
  <c r="F32" i="182" s="1"/>
  <c r="E32" i="182" a="1"/>
  <c r="E32" i="182" s="1"/>
  <c r="D32" i="182" a="1"/>
  <c r="D32" i="182" s="1"/>
  <c r="AA31" i="182" a="1"/>
  <c r="AA31" i="182" s="1"/>
  <c r="Z31" i="182" a="1"/>
  <c r="Z31" i="182" s="1"/>
  <c r="Y31" i="182"/>
  <c r="Y31" i="182" a="1"/>
  <c r="X31" i="182"/>
  <c r="X31" i="182" a="1"/>
  <c r="W31" i="182" a="1"/>
  <c r="W31" i="182" s="1"/>
  <c r="V31" i="182" a="1"/>
  <c r="V31" i="182" s="1"/>
  <c r="U31" i="182" a="1"/>
  <c r="U31" i="182" s="1"/>
  <c r="T31" i="182" a="1"/>
  <c r="T31" i="182" s="1"/>
  <c r="S31" i="182" a="1"/>
  <c r="S31" i="182" s="1"/>
  <c r="R31" i="182" a="1"/>
  <c r="R31" i="182" s="1"/>
  <c r="Q31" i="182" a="1"/>
  <c r="Q31" i="182" s="1"/>
  <c r="P31" i="182" a="1"/>
  <c r="P31" i="182" s="1"/>
  <c r="O31" i="182" a="1"/>
  <c r="O31" i="182" s="1"/>
  <c r="N31" i="182" a="1"/>
  <c r="N31" i="182" s="1"/>
  <c r="M31" i="182" a="1"/>
  <c r="M31" i="182" s="1"/>
  <c r="L31" i="182" a="1"/>
  <c r="L31" i="182" s="1"/>
  <c r="K31" i="182" a="1"/>
  <c r="K31" i="182" s="1"/>
  <c r="J31" i="182" a="1"/>
  <c r="J31" i="182" s="1"/>
  <c r="I31" i="182"/>
  <c r="I31" i="182" a="1"/>
  <c r="H31" i="182" a="1"/>
  <c r="H31" i="182" s="1"/>
  <c r="F31" i="182" a="1"/>
  <c r="F31" i="182" s="1"/>
  <c r="E31" i="182" a="1"/>
  <c r="E31" i="182" s="1"/>
  <c r="D31" i="182" a="1"/>
  <c r="D31" i="182" s="1"/>
  <c r="AA37" i="183" a="1"/>
  <c r="AA37" i="183" s="1"/>
  <c r="Z37" i="183" a="1"/>
  <c r="Z37" i="183" s="1"/>
  <c r="Y37" i="183" a="1"/>
  <c r="Y37" i="183" s="1"/>
  <c r="X37" i="183"/>
  <c r="X37" i="183" a="1"/>
  <c r="W37" i="183" a="1"/>
  <c r="W37" i="183" s="1"/>
  <c r="V37" i="183" a="1"/>
  <c r="V37" i="183" s="1"/>
  <c r="U37" i="183" a="1"/>
  <c r="U37" i="183" s="1"/>
  <c r="T37" i="183" a="1"/>
  <c r="T37" i="183" s="1"/>
  <c r="S37" i="183" a="1"/>
  <c r="S37" i="183" s="1"/>
  <c r="R37" i="183" a="1"/>
  <c r="R37" i="183" s="1"/>
  <c r="Q37" i="183" a="1"/>
  <c r="Q37" i="183" s="1"/>
  <c r="P37" i="183"/>
  <c r="P37" i="183" a="1"/>
  <c r="O37" i="183"/>
  <c r="O37" i="183" a="1"/>
  <c r="N37" i="183" a="1"/>
  <c r="N37" i="183" s="1"/>
  <c r="M37" i="183" a="1"/>
  <c r="M37" i="183" s="1"/>
  <c r="L37" i="183" a="1"/>
  <c r="L37" i="183" s="1"/>
  <c r="K37" i="183" a="1"/>
  <c r="K37" i="183" s="1"/>
  <c r="J37" i="183" a="1"/>
  <c r="J37" i="183" s="1"/>
  <c r="I37" i="183" a="1"/>
  <c r="I37" i="183" s="1"/>
  <c r="H37" i="183" a="1"/>
  <c r="H37" i="183" s="1"/>
  <c r="F37" i="183" a="1"/>
  <c r="F37" i="183" s="1"/>
  <c r="E37" i="183" a="1"/>
  <c r="E37" i="183" s="1"/>
  <c r="D37" i="183"/>
  <c r="D37" i="183" a="1"/>
  <c r="AA36" i="183"/>
  <c r="AA36" i="183" a="1"/>
  <c r="Z36" i="183"/>
  <c r="Z36" i="183" a="1"/>
  <c r="Y36" i="183" a="1"/>
  <c r="Y36" i="183" s="1"/>
  <c r="X36" i="183" a="1"/>
  <c r="X36" i="183" s="1"/>
  <c r="W36" i="183" a="1"/>
  <c r="W36" i="183" s="1"/>
  <c r="V36" i="183" a="1"/>
  <c r="V36" i="183" s="1"/>
  <c r="U36" i="183" a="1"/>
  <c r="U36" i="183" s="1"/>
  <c r="T36" i="183" a="1"/>
  <c r="T36" i="183" s="1"/>
  <c r="S36" i="183" a="1"/>
  <c r="S36" i="183" s="1"/>
  <c r="R36" i="183"/>
  <c r="R36" i="183" a="1"/>
  <c r="Q36" i="183" a="1"/>
  <c r="Q36" i="183" s="1"/>
  <c r="P36" i="183" a="1"/>
  <c r="P36" i="183" s="1"/>
  <c r="O36" i="183" a="1"/>
  <c r="O36" i="183" s="1"/>
  <c r="N36" i="183"/>
  <c r="N36" i="183" a="1"/>
  <c r="M36" i="183"/>
  <c r="M36" i="183" a="1"/>
  <c r="L36" i="183" a="1"/>
  <c r="L36" i="183" s="1"/>
  <c r="K36" i="183" a="1"/>
  <c r="K36" i="183" s="1"/>
  <c r="J36" i="183"/>
  <c r="J36" i="183" a="1"/>
  <c r="I36" i="183"/>
  <c r="I36" i="183" a="1"/>
  <c r="H36" i="183" a="1"/>
  <c r="H36" i="183" s="1"/>
  <c r="F36" i="183" a="1"/>
  <c r="F36" i="183" s="1"/>
  <c r="E36" i="183" a="1"/>
  <c r="E36" i="183" s="1"/>
  <c r="D36" i="183" a="1"/>
  <c r="D36" i="183" s="1"/>
  <c r="AA35" i="183" a="1"/>
  <c r="AA35" i="183" s="1"/>
  <c r="Z35" i="183"/>
  <c r="Z35" i="183" a="1"/>
  <c r="Y35" i="183"/>
  <c r="Y35" i="183" a="1"/>
  <c r="X35" i="183"/>
  <c r="X35" i="183" a="1"/>
  <c r="W35" i="183" a="1"/>
  <c r="W35" i="183" s="1"/>
  <c r="V35" i="183"/>
  <c r="V35" i="183" a="1"/>
  <c r="U35" i="183" a="1"/>
  <c r="U35" i="183" s="1"/>
  <c r="T35" i="183" a="1"/>
  <c r="T35" i="183" s="1"/>
  <c r="S35" i="183" a="1"/>
  <c r="S35" i="183" s="1"/>
  <c r="R35" i="183" a="1"/>
  <c r="R35" i="183" s="1"/>
  <c r="Q35" i="183" a="1"/>
  <c r="Q35" i="183" s="1"/>
  <c r="P35" i="183" a="1"/>
  <c r="P35" i="183" s="1"/>
  <c r="O35" i="183" a="1"/>
  <c r="O35" i="183" s="1"/>
  <c r="N35" i="183" a="1"/>
  <c r="N35" i="183" s="1"/>
  <c r="M35" i="183"/>
  <c r="M35" i="183" a="1"/>
  <c r="L35" i="183" a="1"/>
  <c r="L35" i="183" s="1"/>
  <c r="K35" i="183" a="1"/>
  <c r="K35" i="183" s="1"/>
  <c r="J35" i="183" a="1"/>
  <c r="J35" i="183" s="1"/>
  <c r="I35" i="183" a="1"/>
  <c r="I35" i="183" s="1"/>
  <c r="H35" i="183" a="1"/>
  <c r="H35" i="183" s="1"/>
  <c r="F35" i="183" a="1"/>
  <c r="F35" i="183" s="1"/>
  <c r="E35" i="183" a="1"/>
  <c r="E35" i="183" s="1"/>
  <c r="D35" i="183" a="1"/>
  <c r="D35" i="183" s="1"/>
  <c r="AA34" i="183" a="1"/>
  <c r="AA34" i="183" s="1"/>
  <c r="Z34" i="183" a="1"/>
  <c r="Z34" i="183" s="1"/>
  <c r="Y34" i="183" a="1"/>
  <c r="Y34" i="183" s="1"/>
  <c r="X34" i="183"/>
  <c r="X34" i="183" a="1"/>
  <c r="W34" i="183" a="1"/>
  <c r="W34" i="183" s="1"/>
  <c r="V34" i="183" a="1"/>
  <c r="V34" i="183" s="1"/>
  <c r="U34" i="183" a="1"/>
  <c r="U34" i="183" s="1"/>
  <c r="T34" i="183"/>
  <c r="T34" i="183" a="1"/>
  <c r="S34" i="183"/>
  <c r="S34" i="183" a="1"/>
  <c r="R34" i="183"/>
  <c r="R34" i="183" a="1"/>
  <c r="Q34" i="183" a="1"/>
  <c r="Q34" i="183" s="1"/>
  <c r="P34" i="183" a="1"/>
  <c r="P34" i="183" s="1"/>
  <c r="O34" i="183" a="1"/>
  <c r="O34" i="183" s="1"/>
  <c r="N34" i="183" a="1"/>
  <c r="N34" i="183" s="1"/>
  <c r="M34" i="183" a="1"/>
  <c r="M34" i="183" s="1"/>
  <c r="L34" i="183" a="1"/>
  <c r="L34" i="183" s="1"/>
  <c r="K34" i="183" a="1"/>
  <c r="K34" i="183" s="1"/>
  <c r="J34" i="183" a="1"/>
  <c r="J34" i="183" s="1"/>
  <c r="I34" i="183"/>
  <c r="I34" i="183" a="1"/>
  <c r="H34" i="183" a="1"/>
  <c r="H34" i="183" s="1"/>
  <c r="F34" i="183" a="1"/>
  <c r="F34" i="183" s="1"/>
  <c r="E34" i="183" a="1"/>
  <c r="E34" i="183" s="1"/>
  <c r="D34" i="183"/>
  <c r="D34" i="183" a="1"/>
  <c r="AA33" i="183" a="1"/>
  <c r="AA33" i="183" s="1"/>
  <c r="Z33" i="183" a="1"/>
  <c r="Z33" i="183" s="1"/>
  <c r="Y33" i="183" a="1"/>
  <c r="Y33" i="183" s="1"/>
  <c r="X33" i="183" a="1"/>
  <c r="X33" i="183" s="1"/>
  <c r="W33" i="183" a="1"/>
  <c r="W33" i="183" s="1"/>
  <c r="V33" i="183"/>
  <c r="V33" i="183" a="1"/>
  <c r="U33" i="183" a="1"/>
  <c r="U33" i="183" s="1"/>
  <c r="T33" i="183"/>
  <c r="T33" i="183" a="1"/>
  <c r="S33" i="183" a="1"/>
  <c r="S33" i="183" s="1"/>
  <c r="R33" i="183"/>
  <c r="R33" i="183" a="1"/>
  <c r="Q33" i="183" a="1"/>
  <c r="Q33" i="183" s="1"/>
  <c r="P33" i="183" a="1"/>
  <c r="P33" i="183" s="1"/>
  <c r="O33" i="183"/>
  <c r="O33" i="183" a="1"/>
  <c r="N33" i="183" a="1"/>
  <c r="N33" i="183" s="1"/>
  <c r="M33" i="183" a="1"/>
  <c r="M33" i="183" s="1"/>
  <c r="L33" i="183" a="1"/>
  <c r="L33" i="183" s="1"/>
  <c r="K33" i="183" a="1"/>
  <c r="K33" i="183" s="1"/>
  <c r="J33" i="183" a="1"/>
  <c r="J33" i="183" s="1"/>
  <c r="I33" i="183" a="1"/>
  <c r="I33" i="183" s="1"/>
  <c r="H33" i="183" a="1"/>
  <c r="H33" i="183" s="1"/>
  <c r="F33" i="183" a="1"/>
  <c r="F33" i="183" s="1"/>
  <c r="E33" i="183" a="1"/>
  <c r="E33" i="183" s="1"/>
  <c r="D33" i="183" a="1"/>
  <c r="D33" i="183" s="1"/>
  <c r="AA32" i="183" a="1"/>
  <c r="AA32" i="183" s="1"/>
  <c r="Z32" i="183"/>
  <c r="Z32" i="183" a="1"/>
  <c r="Y32" i="183" a="1"/>
  <c r="Y32" i="183" s="1"/>
  <c r="X32" i="183" a="1"/>
  <c r="X32" i="183" s="1"/>
  <c r="W32" i="183" a="1"/>
  <c r="W32" i="183" s="1"/>
  <c r="V32" i="183"/>
  <c r="V32" i="183" a="1"/>
  <c r="U32" i="183"/>
  <c r="U32" i="183" a="1"/>
  <c r="T32" i="183" a="1"/>
  <c r="T32" i="183" s="1"/>
  <c r="S32" i="183" a="1"/>
  <c r="S32" i="183" s="1"/>
  <c r="R32" i="183" a="1"/>
  <c r="R32" i="183" s="1"/>
  <c r="Q32" i="183" a="1"/>
  <c r="Q32" i="183" s="1"/>
  <c r="P32" i="183" a="1"/>
  <c r="P32" i="183" s="1"/>
  <c r="O32" i="183" a="1"/>
  <c r="O32" i="183" s="1"/>
  <c r="N32" i="183" a="1"/>
  <c r="N32" i="183" s="1"/>
  <c r="M32" i="183"/>
  <c r="M32" i="183" a="1"/>
  <c r="L32" i="183" a="1"/>
  <c r="L32" i="183" s="1"/>
  <c r="K32" i="183" a="1"/>
  <c r="K32" i="183" s="1"/>
  <c r="J32" i="183" a="1"/>
  <c r="J32" i="183" s="1"/>
  <c r="I32" i="183"/>
  <c r="I32" i="183" a="1"/>
  <c r="H32" i="183" a="1"/>
  <c r="H32" i="183" s="1"/>
  <c r="F32" i="183" a="1"/>
  <c r="F32" i="183" s="1"/>
  <c r="E32" i="183" a="1"/>
  <c r="E32" i="183" s="1"/>
  <c r="D32" i="183" a="1"/>
  <c r="D32" i="183" s="1"/>
  <c r="AA31" i="183" a="1"/>
  <c r="AA31" i="183" s="1"/>
  <c r="Z31" i="183" a="1"/>
  <c r="Z31" i="183" s="1"/>
  <c r="Y31" i="183" a="1"/>
  <c r="Y31" i="183" s="1"/>
  <c r="X31" i="183"/>
  <c r="X31" i="183" a="1"/>
  <c r="W31" i="183" a="1"/>
  <c r="W31" i="183" s="1"/>
  <c r="V31" i="183" a="1"/>
  <c r="V31" i="183" s="1"/>
  <c r="U31" i="183" a="1"/>
  <c r="U31" i="183" s="1"/>
  <c r="T31" i="183"/>
  <c r="T31" i="183" a="1"/>
  <c r="S31" i="183"/>
  <c r="S31" i="183" a="1"/>
  <c r="R31" i="183" a="1"/>
  <c r="R31" i="183" s="1"/>
  <c r="Q31" i="183" a="1"/>
  <c r="Q31" i="183" s="1"/>
  <c r="P31" i="183" a="1"/>
  <c r="P31" i="183" s="1"/>
  <c r="O31" i="183" a="1"/>
  <c r="O31" i="183" s="1"/>
  <c r="N31" i="183" a="1"/>
  <c r="N31" i="183" s="1"/>
  <c r="M31" i="183" a="1"/>
  <c r="M31" i="183" s="1"/>
  <c r="L31" i="183" a="1"/>
  <c r="L31" i="183" s="1"/>
  <c r="K31" i="183" a="1"/>
  <c r="K31" i="183" s="1"/>
  <c r="J31" i="183" a="1"/>
  <c r="J31" i="183" s="1"/>
  <c r="I31" i="183" a="1"/>
  <c r="I31" i="183" s="1"/>
  <c r="H31" i="183" a="1"/>
  <c r="H31" i="183" s="1"/>
  <c r="F31" i="183" a="1"/>
  <c r="F31" i="183" s="1"/>
  <c r="E31" i="183" a="1"/>
  <c r="E31" i="183" s="1"/>
  <c r="D31" i="183"/>
  <c r="D31" i="183" a="1"/>
  <c r="AA37" i="184" a="1"/>
  <c r="AA37" i="184" s="1"/>
  <c r="Z37" i="184" a="1"/>
  <c r="Z37" i="184" s="1"/>
  <c r="Y37" i="184" a="1"/>
  <c r="Y37" i="184" s="1"/>
  <c r="X37" i="184" a="1"/>
  <c r="X37" i="184" s="1"/>
  <c r="W37" i="184" a="1"/>
  <c r="W37" i="184" s="1"/>
  <c r="V37" i="184"/>
  <c r="V37" i="184" a="1"/>
  <c r="U37" i="184" a="1"/>
  <c r="U37" i="184" s="1"/>
  <c r="T37" i="184"/>
  <c r="T37" i="184" a="1"/>
  <c r="S37" i="184" a="1"/>
  <c r="S37" i="184" s="1"/>
  <c r="R37" i="184"/>
  <c r="R37" i="184" a="1"/>
  <c r="Q37" i="184" a="1"/>
  <c r="Q37" i="184" s="1"/>
  <c r="P37" i="184" a="1"/>
  <c r="P37" i="184" s="1"/>
  <c r="O37" i="184"/>
  <c r="O37" i="184" a="1"/>
  <c r="N37" i="184" a="1"/>
  <c r="N37" i="184" s="1"/>
  <c r="M37" i="184" a="1"/>
  <c r="M37" i="184" s="1"/>
  <c r="L37" i="184" a="1"/>
  <c r="L37" i="184" s="1"/>
  <c r="K37" i="184" a="1"/>
  <c r="K37" i="184" s="1"/>
  <c r="J37" i="184" a="1"/>
  <c r="J37" i="184" s="1"/>
  <c r="I37" i="184" a="1"/>
  <c r="I37" i="184" s="1"/>
  <c r="H37" i="184" a="1"/>
  <c r="H37" i="184" s="1"/>
  <c r="F37" i="184" a="1"/>
  <c r="F37" i="184" s="1"/>
  <c r="E37" i="184" a="1"/>
  <c r="E37" i="184" s="1"/>
  <c r="D37" i="184" a="1"/>
  <c r="D37" i="184" s="1"/>
  <c r="AA36" i="184" a="1"/>
  <c r="AA36" i="184" s="1"/>
  <c r="Z36" i="184"/>
  <c r="Z36" i="184" a="1"/>
  <c r="Y36" i="184" a="1"/>
  <c r="Y36" i="184" s="1"/>
  <c r="X36" i="184" a="1"/>
  <c r="X36" i="184" s="1"/>
  <c r="W36" i="184" a="1"/>
  <c r="W36" i="184" s="1"/>
  <c r="V36" i="184"/>
  <c r="V36" i="184" a="1"/>
  <c r="U36" i="184"/>
  <c r="U36" i="184" a="1"/>
  <c r="T36" i="184"/>
  <c r="T36" i="184" a="1"/>
  <c r="S36" i="184" a="1"/>
  <c r="S36" i="184" s="1"/>
  <c r="R36" i="184" a="1"/>
  <c r="R36" i="184" s="1"/>
  <c r="Q36" i="184" a="1"/>
  <c r="Q36" i="184" s="1"/>
  <c r="P36" i="184" a="1"/>
  <c r="P36" i="184" s="1"/>
  <c r="O36" i="184" a="1"/>
  <c r="O36" i="184" s="1"/>
  <c r="N36" i="184" a="1"/>
  <c r="N36" i="184" s="1"/>
  <c r="M36" i="184" a="1"/>
  <c r="M36" i="184" s="1"/>
  <c r="L36" i="184" a="1"/>
  <c r="L36" i="184" s="1"/>
  <c r="K36" i="184" a="1"/>
  <c r="K36" i="184" s="1"/>
  <c r="J36" i="184" a="1"/>
  <c r="J36" i="184" s="1"/>
  <c r="I36" i="184"/>
  <c r="I36" i="184" a="1"/>
  <c r="H36" i="184"/>
  <c r="H36" i="184" a="1"/>
  <c r="F36" i="184" a="1"/>
  <c r="F36" i="184" s="1"/>
  <c r="E36" i="184" a="1"/>
  <c r="E36" i="184" s="1"/>
  <c r="D36" i="184"/>
  <c r="D36" i="184" a="1"/>
  <c r="AA35" i="184" a="1"/>
  <c r="AA35" i="184" s="1"/>
  <c r="Z35" i="184" a="1"/>
  <c r="Z35" i="184" s="1"/>
  <c r="Y35" i="184" a="1"/>
  <c r="Y35" i="184" s="1"/>
  <c r="X35" i="184" a="1"/>
  <c r="X35" i="184" s="1"/>
  <c r="W35" i="184" a="1"/>
  <c r="W35" i="184" s="1"/>
  <c r="V35" i="184" a="1"/>
  <c r="V35" i="184" s="1"/>
  <c r="U35" i="184" a="1"/>
  <c r="U35" i="184" s="1"/>
  <c r="T35" i="184" a="1"/>
  <c r="T35" i="184" s="1"/>
  <c r="S35" i="184" a="1"/>
  <c r="S35" i="184" s="1"/>
  <c r="R35" i="184"/>
  <c r="R35" i="184" a="1"/>
  <c r="Q35" i="184" a="1"/>
  <c r="Q35" i="184" s="1"/>
  <c r="P35" i="184"/>
  <c r="P35" i="184" a="1"/>
  <c r="O35" i="184" a="1"/>
  <c r="O35" i="184" s="1"/>
  <c r="N35" i="184" a="1"/>
  <c r="N35" i="184" s="1"/>
  <c r="M35" i="184" a="1"/>
  <c r="M35" i="184" s="1"/>
  <c r="L35" i="184" a="1"/>
  <c r="L35" i="184" s="1"/>
  <c r="K35" i="184" a="1"/>
  <c r="K35" i="184" s="1"/>
  <c r="J35" i="184" a="1"/>
  <c r="J35" i="184" s="1"/>
  <c r="I35" i="184" a="1"/>
  <c r="I35" i="184" s="1"/>
  <c r="H35" i="184" a="1"/>
  <c r="H35" i="184" s="1"/>
  <c r="F35" i="184" a="1"/>
  <c r="F35" i="184" s="1"/>
  <c r="E35" i="184" a="1"/>
  <c r="E35" i="184" s="1"/>
  <c r="D35" i="184" a="1"/>
  <c r="D35" i="184" s="1"/>
  <c r="AA34" i="184" a="1"/>
  <c r="AA34" i="184" s="1"/>
  <c r="Z34" i="184" a="1"/>
  <c r="Z34" i="184" s="1"/>
  <c r="Y34" i="184" a="1"/>
  <c r="Y34" i="184" s="1"/>
  <c r="X34" i="184" a="1"/>
  <c r="X34" i="184" s="1"/>
  <c r="W34" i="184" a="1"/>
  <c r="W34" i="184" s="1"/>
  <c r="V34" i="184" a="1"/>
  <c r="V34" i="184" s="1"/>
  <c r="U34" i="184" a="1"/>
  <c r="U34" i="184" s="1"/>
  <c r="T34" i="184" a="1"/>
  <c r="T34" i="184" s="1"/>
  <c r="S34" i="184" a="1"/>
  <c r="S34" i="184" s="1"/>
  <c r="R34" i="184"/>
  <c r="R34" i="184" a="1"/>
  <c r="Q34" i="184" a="1"/>
  <c r="Q34" i="184" s="1"/>
  <c r="P34" i="184" a="1"/>
  <c r="P34" i="184" s="1"/>
  <c r="O34" i="184"/>
  <c r="O34" i="184" a="1"/>
  <c r="N34" i="184" a="1"/>
  <c r="N34" i="184" s="1"/>
  <c r="M34" i="184"/>
  <c r="M34" i="184" a="1"/>
  <c r="L34" i="184" a="1"/>
  <c r="L34" i="184" s="1"/>
  <c r="K34" i="184" a="1"/>
  <c r="K34" i="184" s="1"/>
  <c r="J34" i="184"/>
  <c r="J34" i="184" a="1"/>
  <c r="I34" i="184" a="1"/>
  <c r="I34" i="184" s="1"/>
  <c r="H34" i="184" a="1"/>
  <c r="H34" i="184" s="1"/>
  <c r="F34" i="184" a="1"/>
  <c r="F34" i="184" s="1"/>
  <c r="E34" i="184" a="1"/>
  <c r="E34" i="184" s="1"/>
  <c r="D34" i="184" a="1"/>
  <c r="D34" i="184" s="1"/>
  <c r="AA33" i="184" a="1"/>
  <c r="AA33" i="184" s="1"/>
  <c r="Z33" i="184" a="1"/>
  <c r="Z33" i="184" s="1"/>
  <c r="Y33" i="184" a="1"/>
  <c r="Y33" i="184" s="1"/>
  <c r="X33" i="184" a="1"/>
  <c r="X33" i="184" s="1"/>
  <c r="W33" i="184" a="1"/>
  <c r="W33" i="184" s="1"/>
  <c r="V33" i="184" a="1"/>
  <c r="V33" i="184" s="1"/>
  <c r="U33" i="184"/>
  <c r="U33" i="184" a="1"/>
  <c r="T33" i="184"/>
  <c r="T33" i="184" a="1"/>
  <c r="S33" i="184" a="1"/>
  <c r="S33" i="184" s="1"/>
  <c r="R33" i="184" a="1"/>
  <c r="R33" i="184" s="1"/>
  <c r="Q33" i="184" a="1"/>
  <c r="Q33" i="184" s="1"/>
  <c r="P33" i="184" a="1"/>
  <c r="P33" i="184" s="1"/>
  <c r="O33" i="184" a="1"/>
  <c r="O33" i="184" s="1"/>
  <c r="N33" i="184" a="1"/>
  <c r="N33" i="184" s="1"/>
  <c r="M33" i="184"/>
  <c r="M33" i="184" a="1"/>
  <c r="L33" i="184" a="1"/>
  <c r="L33" i="184" s="1"/>
  <c r="K33" i="184" a="1"/>
  <c r="K33" i="184" s="1"/>
  <c r="J33" i="184" a="1"/>
  <c r="J33" i="184" s="1"/>
  <c r="I33" i="184" a="1"/>
  <c r="I33" i="184" s="1"/>
  <c r="H33" i="184" a="1"/>
  <c r="H33" i="184" s="1"/>
  <c r="F33" i="184" a="1"/>
  <c r="F33" i="184" s="1"/>
  <c r="E33" i="184" a="1"/>
  <c r="E33" i="184" s="1"/>
  <c r="D33" i="184" a="1"/>
  <c r="D33" i="184" s="1"/>
  <c r="AA32" i="184" a="1"/>
  <c r="AA32" i="184" s="1"/>
  <c r="Z32" i="184" a="1"/>
  <c r="Z32" i="184" s="1"/>
  <c r="Y32" i="184" a="1"/>
  <c r="Y32" i="184" s="1"/>
  <c r="X32" i="184"/>
  <c r="X32" i="184" a="1"/>
  <c r="W32" i="184" a="1"/>
  <c r="W32" i="184" s="1"/>
  <c r="V32" i="184" a="1"/>
  <c r="V32" i="184" s="1"/>
  <c r="U32" i="184" a="1"/>
  <c r="U32" i="184" s="1"/>
  <c r="T32" i="184"/>
  <c r="T32" i="184" a="1"/>
  <c r="S32" i="184" a="1"/>
  <c r="S32" i="184" s="1"/>
  <c r="R32" i="184" a="1"/>
  <c r="R32" i="184" s="1"/>
  <c r="Q32" i="184" a="1"/>
  <c r="Q32" i="184" s="1"/>
  <c r="P32" i="184" a="1"/>
  <c r="P32" i="184" s="1"/>
  <c r="O32" i="184"/>
  <c r="O32" i="184" a="1"/>
  <c r="N32" i="184" a="1"/>
  <c r="N32" i="184" s="1"/>
  <c r="M32" i="184" a="1"/>
  <c r="M32" i="184" s="1"/>
  <c r="L32" i="184" a="1"/>
  <c r="L32" i="184" s="1"/>
  <c r="K32" i="184" a="1"/>
  <c r="K32" i="184" s="1"/>
  <c r="J32" i="184" a="1"/>
  <c r="J32" i="184" s="1"/>
  <c r="I32" i="184" a="1"/>
  <c r="I32" i="184" s="1"/>
  <c r="H32" i="184" a="1"/>
  <c r="H32" i="184" s="1"/>
  <c r="F32" i="184"/>
  <c r="F32" i="184" a="1"/>
  <c r="E32" i="184" a="1"/>
  <c r="E32" i="184" s="1"/>
  <c r="D32" i="184"/>
  <c r="D32" i="184" a="1"/>
  <c r="AA31" i="184" a="1"/>
  <c r="AA31" i="184" s="1"/>
  <c r="Z31" i="184" a="1"/>
  <c r="Z31" i="184" s="1"/>
  <c r="Y31" i="184" a="1"/>
  <c r="Y31" i="184" s="1"/>
  <c r="X31" i="184" a="1"/>
  <c r="X31" i="184" s="1"/>
  <c r="W31" i="184" a="1"/>
  <c r="W31" i="184" s="1"/>
  <c r="V31" i="184"/>
  <c r="V31" i="184" a="1"/>
  <c r="U31" i="184" a="1"/>
  <c r="U31" i="184" s="1"/>
  <c r="T31" i="184"/>
  <c r="T31" i="184" a="1"/>
  <c r="S31" i="184" a="1"/>
  <c r="S31" i="184" s="1"/>
  <c r="R31" i="184"/>
  <c r="R31" i="184" a="1"/>
  <c r="Q31" i="184" a="1"/>
  <c r="Q31" i="184" s="1"/>
  <c r="P31" i="184" a="1"/>
  <c r="P31" i="184" s="1"/>
  <c r="O31" i="184" a="1"/>
  <c r="O31" i="184" s="1"/>
  <c r="N31" i="184"/>
  <c r="N31" i="184" a="1"/>
  <c r="M31" i="184" a="1"/>
  <c r="M31" i="184" s="1"/>
  <c r="L31" i="184" a="1"/>
  <c r="L31" i="184" s="1"/>
  <c r="K31" i="184" a="1"/>
  <c r="K31" i="184" s="1"/>
  <c r="J31" i="184"/>
  <c r="J31" i="184" a="1"/>
  <c r="I31" i="184"/>
  <c r="I31" i="184" a="1"/>
  <c r="H31" i="184" a="1"/>
  <c r="H31" i="184" s="1"/>
  <c r="F31" i="184" a="1"/>
  <c r="F31" i="184" s="1"/>
  <c r="E31" i="184" a="1"/>
  <c r="E31" i="184" s="1"/>
  <c r="D31" i="184" a="1"/>
  <c r="D31" i="184" s="1"/>
  <c r="AA37" i="185" a="1"/>
  <c r="AA37" i="185" s="1"/>
  <c r="Z37" i="185" a="1"/>
  <c r="Z37" i="185" s="1"/>
  <c r="Y37" i="185" a="1"/>
  <c r="Y37" i="185" s="1"/>
  <c r="X37" i="185" a="1"/>
  <c r="X37" i="185" s="1"/>
  <c r="W37" i="185" a="1"/>
  <c r="W37" i="185" s="1"/>
  <c r="V37" i="185"/>
  <c r="V37" i="185" a="1"/>
  <c r="U37" i="185" a="1"/>
  <c r="U37" i="185" s="1"/>
  <c r="T37" i="185"/>
  <c r="T37" i="185" a="1"/>
  <c r="S37" i="185" a="1"/>
  <c r="S37" i="185" s="1"/>
  <c r="R37" i="185" a="1"/>
  <c r="R37" i="185" s="1"/>
  <c r="Q37" i="185" a="1"/>
  <c r="Q37" i="185" s="1"/>
  <c r="P37" i="185" a="1"/>
  <c r="P37" i="185" s="1"/>
  <c r="O37" i="185" a="1"/>
  <c r="O37" i="185" s="1"/>
  <c r="N37" i="185" a="1"/>
  <c r="N37" i="185" s="1"/>
  <c r="M37" i="185" a="1"/>
  <c r="M37" i="185" s="1"/>
  <c r="L37" i="185"/>
  <c r="L37" i="185" a="1"/>
  <c r="K37" i="185" a="1"/>
  <c r="K37" i="185" s="1"/>
  <c r="J37" i="185" a="1"/>
  <c r="J37" i="185" s="1"/>
  <c r="I37" i="185" a="1"/>
  <c r="I37" i="185" s="1"/>
  <c r="H37" i="185" a="1"/>
  <c r="H37" i="185" s="1"/>
  <c r="F37" i="185" a="1"/>
  <c r="F37" i="185" s="1"/>
  <c r="E37" i="185" a="1"/>
  <c r="E37" i="185" s="1"/>
  <c r="D37" i="185"/>
  <c r="D37" i="185" a="1"/>
  <c r="AA36" i="185" a="1"/>
  <c r="AA36" i="185" s="1"/>
  <c r="Z36" i="185" a="1"/>
  <c r="Z36" i="185" s="1"/>
  <c r="Y36" i="185" a="1"/>
  <c r="Y36" i="185" s="1"/>
  <c r="X36" i="185"/>
  <c r="X36" i="185" a="1"/>
  <c r="W36" i="185" a="1"/>
  <c r="W36" i="185" s="1"/>
  <c r="V36" i="185" a="1"/>
  <c r="V36" i="185" s="1"/>
  <c r="U36" i="185" a="1"/>
  <c r="U36" i="185" s="1"/>
  <c r="T36" i="185" a="1"/>
  <c r="T36" i="185" s="1"/>
  <c r="S36" i="185"/>
  <c r="S36" i="185" a="1"/>
  <c r="R36" i="185"/>
  <c r="R36" i="185" a="1"/>
  <c r="Q36" i="185" a="1"/>
  <c r="Q36" i="185" s="1"/>
  <c r="P36" i="185" a="1"/>
  <c r="P36" i="185" s="1"/>
  <c r="O36" i="185" a="1"/>
  <c r="O36" i="185" s="1"/>
  <c r="N36" i="185" a="1"/>
  <c r="N36" i="185" s="1"/>
  <c r="M36" i="185" a="1"/>
  <c r="M36" i="185" s="1"/>
  <c r="L36" i="185" a="1"/>
  <c r="L36" i="185" s="1"/>
  <c r="K36" i="185" a="1"/>
  <c r="K36" i="185" s="1"/>
  <c r="J36" i="185" a="1"/>
  <c r="J36" i="185" s="1"/>
  <c r="I36" i="185" a="1"/>
  <c r="I36" i="185" s="1"/>
  <c r="H36" i="185" a="1"/>
  <c r="H36" i="185" s="1"/>
  <c r="F36" i="185"/>
  <c r="F36" i="185" a="1"/>
  <c r="E36" i="185" a="1"/>
  <c r="E36" i="185" s="1"/>
  <c r="D36" i="185" a="1"/>
  <c r="D36" i="185" s="1"/>
  <c r="AA35" i="185"/>
  <c r="AA35" i="185" a="1"/>
  <c r="Z35" i="185" a="1"/>
  <c r="Z35" i="185" s="1"/>
  <c r="Y35" i="185" a="1"/>
  <c r="Y35" i="185" s="1"/>
  <c r="X35" i="185" a="1"/>
  <c r="X35" i="185" s="1"/>
  <c r="W35" i="185" a="1"/>
  <c r="W35" i="185" s="1"/>
  <c r="V35" i="185" a="1"/>
  <c r="V35" i="185" s="1"/>
  <c r="U35" i="185" a="1"/>
  <c r="U35" i="185" s="1"/>
  <c r="T35" i="185" a="1"/>
  <c r="T35" i="185" s="1"/>
  <c r="S35" i="185" a="1"/>
  <c r="S35" i="185" s="1"/>
  <c r="R35" i="185"/>
  <c r="R35" i="185" a="1"/>
  <c r="Q35" i="185" a="1"/>
  <c r="Q35" i="185" s="1"/>
  <c r="P35" i="185" a="1"/>
  <c r="P35" i="185" s="1"/>
  <c r="O35" i="185"/>
  <c r="O35" i="185" a="1"/>
  <c r="N35" i="185" a="1"/>
  <c r="N35" i="185" s="1"/>
  <c r="M35" i="185"/>
  <c r="M35" i="185" a="1"/>
  <c r="L35" i="185" a="1"/>
  <c r="L35" i="185" s="1"/>
  <c r="K35" i="185" a="1"/>
  <c r="K35" i="185" s="1"/>
  <c r="J35" i="185"/>
  <c r="J35" i="185" a="1"/>
  <c r="I35" i="185"/>
  <c r="I35" i="185" a="1"/>
  <c r="H35" i="185" a="1"/>
  <c r="H35" i="185" s="1"/>
  <c r="F35" i="185" a="1"/>
  <c r="F35" i="185" s="1"/>
  <c r="E35" i="185" a="1"/>
  <c r="E35" i="185" s="1"/>
  <c r="D35" i="185" a="1"/>
  <c r="D35" i="185" s="1"/>
  <c r="AA34" i="185" a="1"/>
  <c r="AA34" i="185" s="1"/>
  <c r="Z34" i="185"/>
  <c r="Z34" i="185" a="1"/>
  <c r="Y34" i="185" a="1"/>
  <c r="Y34" i="185" s="1"/>
  <c r="X34" i="185" a="1"/>
  <c r="X34" i="185" s="1"/>
  <c r="W34" i="185" a="1"/>
  <c r="W34" i="185" s="1"/>
  <c r="V34" i="185" a="1"/>
  <c r="V34" i="185" s="1"/>
  <c r="U34" i="185"/>
  <c r="U34" i="185" a="1"/>
  <c r="T34" i="185" a="1"/>
  <c r="T34" i="185" s="1"/>
  <c r="S34" i="185" a="1"/>
  <c r="S34" i="185" s="1"/>
  <c r="R34" i="185" a="1"/>
  <c r="R34" i="185" s="1"/>
  <c r="Q34" i="185" a="1"/>
  <c r="Q34" i="185" s="1"/>
  <c r="P34" i="185" a="1"/>
  <c r="P34" i="185" s="1"/>
  <c r="O34" i="185" a="1"/>
  <c r="O34" i="185" s="1"/>
  <c r="N34" i="185" a="1"/>
  <c r="N34" i="185" s="1"/>
  <c r="M34" i="185" a="1"/>
  <c r="M34" i="185" s="1"/>
  <c r="L34" i="185" a="1"/>
  <c r="L34" i="185" s="1"/>
  <c r="K34" i="185" a="1"/>
  <c r="K34" i="185" s="1"/>
  <c r="J34" i="185" a="1"/>
  <c r="J34" i="185" s="1"/>
  <c r="I34" i="185" a="1"/>
  <c r="I34" i="185" s="1"/>
  <c r="H34" i="185" a="1"/>
  <c r="H34" i="185" s="1"/>
  <c r="F34" i="185" a="1"/>
  <c r="F34" i="185" s="1"/>
  <c r="E34" i="185" a="1"/>
  <c r="E34" i="185" s="1"/>
  <c r="D34" i="185" a="1"/>
  <c r="D34" i="185" s="1"/>
  <c r="AA33" i="185" a="1"/>
  <c r="AA33" i="185" s="1"/>
  <c r="Z33" i="185" a="1"/>
  <c r="Z33" i="185" s="1"/>
  <c r="Y33" i="185" a="1"/>
  <c r="Y33" i="185" s="1"/>
  <c r="X33" i="185"/>
  <c r="X33" i="185" a="1"/>
  <c r="W33" i="185" a="1"/>
  <c r="W33" i="185" s="1"/>
  <c r="V33" i="185" a="1"/>
  <c r="V33" i="185" s="1"/>
  <c r="U33" i="185" a="1"/>
  <c r="U33" i="185" s="1"/>
  <c r="T33" i="185"/>
  <c r="T33" i="185" a="1"/>
  <c r="S33" i="185" a="1"/>
  <c r="S33" i="185" s="1"/>
  <c r="R33" i="185"/>
  <c r="R33" i="185" a="1"/>
  <c r="Q33" i="185" a="1"/>
  <c r="Q33" i="185" s="1"/>
  <c r="P33" i="185" a="1"/>
  <c r="P33" i="185" s="1"/>
  <c r="O33" i="185" a="1"/>
  <c r="O33" i="185" s="1"/>
  <c r="N33" i="185" a="1"/>
  <c r="N33" i="185" s="1"/>
  <c r="M33" i="185" a="1"/>
  <c r="M33" i="185" s="1"/>
  <c r="L33" i="185" a="1"/>
  <c r="L33" i="185" s="1"/>
  <c r="K33" i="185" a="1"/>
  <c r="K33" i="185" s="1"/>
  <c r="J33" i="185" a="1"/>
  <c r="J33" i="185" s="1"/>
  <c r="I33" i="185"/>
  <c r="I33" i="185" a="1"/>
  <c r="H33" i="185" a="1"/>
  <c r="H33" i="185" s="1"/>
  <c r="F33" i="185" a="1"/>
  <c r="F33" i="185" s="1"/>
  <c r="E33" i="185" a="1"/>
  <c r="E33" i="185" s="1"/>
  <c r="D33" i="185"/>
  <c r="D33" i="185" a="1"/>
  <c r="AA32" i="185" a="1"/>
  <c r="AA32" i="185" s="1"/>
  <c r="Z32" i="185"/>
  <c r="Z32" i="185" a="1"/>
  <c r="Y32" i="185" a="1"/>
  <c r="Y32" i="185" s="1"/>
  <c r="X32" i="185" a="1"/>
  <c r="X32" i="185" s="1"/>
  <c r="W32" i="185" a="1"/>
  <c r="W32" i="185" s="1"/>
  <c r="V32" i="185"/>
  <c r="V32" i="185" a="1"/>
  <c r="U32" i="185" a="1"/>
  <c r="U32" i="185" s="1"/>
  <c r="T32" i="185" a="1"/>
  <c r="T32" i="185" s="1"/>
  <c r="S32" i="185" a="1"/>
  <c r="S32" i="185" s="1"/>
  <c r="R32" i="185" a="1"/>
  <c r="R32" i="185" s="1"/>
  <c r="Q32" i="185" a="1"/>
  <c r="Q32" i="185" s="1"/>
  <c r="P32" i="185" a="1"/>
  <c r="P32" i="185" s="1"/>
  <c r="O32" i="185"/>
  <c r="O32" i="185" a="1"/>
  <c r="N32" i="185"/>
  <c r="N32" i="185" a="1"/>
  <c r="M32" i="185" a="1"/>
  <c r="M32" i="185" s="1"/>
  <c r="L32" i="185" a="1"/>
  <c r="L32" i="185" s="1"/>
  <c r="K32" i="185" a="1"/>
  <c r="K32" i="185" s="1"/>
  <c r="J32" i="185" a="1"/>
  <c r="J32" i="185" s="1"/>
  <c r="I32" i="185"/>
  <c r="I32" i="185" a="1"/>
  <c r="H32" i="185" a="1"/>
  <c r="H32" i="185" s="1"/>
  <c r="F32" i="185" a="1"/>
  <c r="F32" i="185" s="1"/>
  <c r="E32" i="185" a="1"/>
  <c r="E32" i="185" s="1"/>
  <c r="D32" i="185" a="1"/>
  <c r="D32" i="185" s="1"/>
  <c r="AA31" i="185" a="1"/>
  <c r="AA31" i="185" s="1"/>
  <c r="Z31" i="185"/>
  <c r="Z31" i="185" a="1"/>
  <c r="Y31" i="185" a="1"/>
  <c r="Y31" i="185" s="1"/>
  <c r="X31" i="185"/>
  <c r="X31" i="185" a="1"/>
  <c r="W31" i="185" a="1"/>
  <c r="W31" i="185" s="1"/>
  <c r="V31" i="185" a="1"/>
  <c r="V31" i="185" s="1"/>
  <c r="U31" i="185" a="1"/>
  <c r="U31" i="185" s="1"/>
  <c r="T31" i="185" a="1"/>
  <c r="T31" i="185" s="1"/>
  <c r="S31" i="185" a="1"/>
  <c r="S31" i="185" s="1"/>
  <c r="R31" i="185" a="1"/>
  <c r="R31" i="185" s="1"/>
  <c r="Q31" i="185" a="1"/>
  <c r="Q31" i="185" s="1"/>
  <c r="P31" i="185" a="1"/>
  <c r="P31" i="185" s="1"/>
  <c r="O31" i="185" a="1"/>
  <c r="O31" i="185" s="1"/>
  <c r="N31" i="185" a="1"/>
  <c r="N31" i="185" s="1"/>
  <c r="M31" i="185" a="1"/>
  <c r="M31" i="185" s="1"/>
  <c r="L31" i="185" a="1"/>
  <c r="L31" i="185" s="1"/>
  <c r="K31" i="185" a="1"/>
  <c r="K31" i="185" s="1"/>
  <c r="J31" i="185" a="1"/>
  <c r="J31" i="185" s="1"/>
  <c r="I31" i="185" a="1"/>
  <c r="I31" i="185" s="1"/>
  <c r="H31" i="185"/>
  <c r="H31" i="185" a="1"/>
  <c r="F31" i="185" a="1"/>
  <c r="F31" i="185" s="1"/>
  <c r="E31" i="185" a="1"/>
  <c r="E31" i="185" s="1"/>
  <c r="D31" i="185" a="1"/>
  <c r="D31" i="185" s="1"/>
  <c r="AA37" i="186" a="1"/>
  <c r="AA37" i="186" s="1"/>
  <c r="Z37" i="186" a="1"/>
  <c r="Z37" i="186" s="1"/>
  <c r="Y37" i="186" a="1"/>
  <c r="Y37" i="186" s="1"/>
  <c r="X37" i="186" a="1"/>
  <c r="X37" i="186" s="1"/>
  <c r="W37" i="186" a="1"/>
  <c r="W37" i="186" s="1"/>
  <c r="V37" i="186" a="1"/>
  <c r="V37" i="186" s="1"/>
  <c r="U37" i="186" a="1"/>
  <c r="U37" i="186" s="1"/>
  <c r="T37" i="186" a="1"/>
  <c r="T37" i="186" s="1"/>
  <c r="S37" i="186" a="1"/>
  <c r="S37" i="186" s="1"/>
  <c r="R37" i="186" a="1"/>
  <c r="R37" i="186" s="1"/>
  <c r="Q37" i="186" a="1"/>
  <c r="Q37" i="186" s="1"/>
  <c r="P37" i="186"/>
  <c r="P37" i="186" a="1"/>
  <c r="O37" i="186" a="1"/>
  <c r="O37" i="186" s="1"/>
  <c r="N37" i="186"/>
  <c r="N37" i="186" a="1"/>
  <c r="M37" i="186" a="1"/>
  <c r="M37" i="186" s="1"/>
  <c r="L37" i="186" a="1"/>
  <c r="L37" i="186" s="1"/>
  <c r="K37" i="186" a="1"/>
  <c r="K37" i="186" s="1"/>
  <c r="J37" i="186" a="1"/>
  <c r="J37" i="186" s="1"/>
  <c r="I37" i="186"/>
  <c r="I37" i="186" a="1"/>
  <c r="H37" i="186" a="1"/>
  <c r="H37" i="186" s="1"/>
  <c r="F37" i="186" a="1"/>
  <c r="F37" i="186" s="1"/>
  <c r="E37" i="186" a="1"/>
  <c r="E37" i="186" s="1"/>
  <c r="D37" i="186" a="1"/>
  <c r="D37" i="186" s="1"/>
  <c r="AA36" i="186" a="1"/>
  <c r="AA36" i="186" s="1"/>
  <c r="Z36" i="186" a="1"/>
  <c r="Z36" i="186" s="1"/>
  <c r="Y36" i="186"/>
  <c r="Y36" i="186" a="1"/>
  <c r="X36" i="186" a="1"/>
  <c r="X36" i="186" s="1"/>
  <c r="W36" i="186"/>
  <c r="W36" i="186" a="1"/>
  <c r="V36" i="186" a="1"/>
  <c r="V36" i="186" s="1"/>
  <c r="U36" i="186" a="1"/>
  <c r="U36" i="186" s="1"/>
  <c r="T36" i="186" a="1"/>
  <c r="T36" i="186" s="1"/>
  <c r="S36" i="186" a="1"/>
  <c r="S36" i="186" s="1"/>
  <c r="R36" i="186" a="1"/>
  <c r="R36" i="186" s="1"/>
  <c r="Q36" i="186" a="1"/>
  <c r="Q36" i="186" s="1"/>
  <c r="P36" i="186" a="1"/>
  <c r="P36" i="186" s="1"/>
  <c r="O36" i="186" a="1"/>
  <c r="O36" i="186" s="1"/>
  <c r="N36" i="186"/>
  <c r="N36" i="186" a="1"/>
  <c r="M36" i="186" a="1"/>
  <c r="M36" i="186" s="1"/>
  <c r="L36" i="186" a="1"/>
  <c r="L36" i="186" s="1"/>
  <c r="K36" i="186" a="1"/>
  <c r="K36" i="186" s="1"/>
  <c r="J36" i="186" a="1"/>
  <c r="J36" i="186" s="1"/>
  <c r="I36" i="186" a="1"/>
  <c r="I36" i="186" s="1"/>
  <c r="H36" i="186" a="1"/>
  <c r="H36" i="186" s="1"/>
  <c r="F36" i="186" a="1"/>
  <c r="F36" i="186" s="1"/>
  <c r="E36" i="186"/>
  <c r="E36" i="186" a="1"/>
  <c r="D36" i="186" a="1"/>
  <c r="D36" i="186" s="1"/>
  <c r="AA35" i="186" a="1"/>
  <c r="AA35" i="186" s="1"/>
  <c r="Z35" i="186"/>
  <c r="Z35" i="186" a="1"/>
  <c r="Y35" i="186" a="1"/>
  <c r="Y35" i="186" s="1"/>
  <c r="X35" i="186" a="1"/>
  <c r="X35" i="186" s="1"/>
  <c r="W35" i="186"/>
  <c r="W35" i="186" a="1"/>
  <c r="V35" i="186" a="1"/>
  <c r="V35" i="186" s="1"/>
  <c r="U35" i="186"/>
  <c r="U35" i="186" a="1"/>
  <c r="T35" i="186" a="1"/>
  <c r="T35" i="186" s="1"/>
  <c r="S35" i="186" a="1"/>
  <c r="S35" i="186" s="1"/>
  <c r="R35" i="186" a="1"/>
  <c r="R35" i="186" s="1"/>
  <c r="Q35" i="186" a="1"/>
  <c r="Q35" i="186" s="1"/>
  <c r="P35" i="186" a="1"/>
  <c r="P35" i="186" s="1"/>
  <c r="O35" i="186" a="1"/>
  <c r="O35" i="186" s="1"/>
  <c r="N35" i="186" a="1"/>
  <c r="N35" i="186" s="1"/>
  <c r="M35" i="186" a="1"/>
  <c r="M35" i="186" s="1"/>
  <c r="L35" i="186" a="1"/>
  <c r="L35" i="186" s="1"/>
  <c r="K35" i="186" a="1"/>
  <c r="K35" i="186" s="1"/>
  <c r="J35" i="186" a="1"/>
  <c r="J35" i="186" s="1"/>
  <c r="I35" i="186" a="1"/>
  <c r="I35" i="186" s="1"/>
  <c r="H35" i="186" a="1"/>
  <c r="H35" i="186" s="1"/>
  <c r="F35" i="186" a="1"/>
  <c r="F35" i="186" s="1"/>
  <c r="E35" i="186" a="1"/>
  <c r="E35" i="186" s="1"/>
  <c r="D35" i="186" a="1"/>
  <c r="D35" i="186" s="1"/>
  <c r="AA34" i="186" a="1"/>
  <c r="AA34" i="186" s="1"/>
  <c r="Z34" i="186" a="1"/>
  <c r="Z34" i="186" s="1"/>
  <c r="Y34" i="186" a="1"/>
  <c r="Y34" i="186" s="1"/>
  <c r="X34" i="186" a="1"/>
  <c r="X34" i="186" s="1"/>
  <c r="W34" i="186" a="1"/>
  <c r="W34" i="186" s="1"/>
  <c r="V34" i="186" a="1"/>
  <c r="V34" i="186" s="1"/>
  <c r="U34" i="186"/>
  <c r="U34" i="186" a="1"/>
  <c r="T34" i="186" a="1"/>
  <c r="T34" i="186" s="1"/>
  <c r="S34" i="186"/>
  <c r="S34" i="186" a="1"/>
  <c r="R34" i="186" a="1"/>
  <c r="R34" i="186" s="1"/>
  <c r="Q34" i="186" a="1"/>
  <c r="Q34" i="186" s="1"/>
  <c r="P34" i="186" a="1"/>
  <c r="P34" i="186" s="1"/>
  <c r="O34" i="186" a="1"/>
  <c r="O34" i="186" s="1"/>
  <c r="N34" i="186"/>
  <c r="N34" i="186" a="1"/>
  <c r="M34" i="186" a="1"/>
  <c r="M34" i="186" s="1"/>
  <c r="L34" i="186" a="1"/>
  <c r="L34" i="186" s="1"/>
  <c r="K34" i="186" a="1"/>
  <c r="K34" i="186" s="1"/>
  <c r="J34" i="186" a="1"/>
  <c r="J34" i="186" s="1"/>
  <c r="I34" i="186"/>
  <c r="I34" i="186" a="1"/>
  <c r="H34" i="186"/>
  <c r="H34" i="186" a="1"/>
  <c r="F34" i="186" a="1"/>
  <c r="F34" i="186" s="1"/>
  <c r="E34" i="186" a="1"/>
  <c r="E34" i="186" s="1"/>
  <c r="D34" i="186"/>
  <c r="D34" i="186" a="1"/>
  <c r="AA33" i="186"/>
  <c r="AA33" i="186" a="1"/>
  <c r="Z33" i="186" a="1"/>
  <c r="Z33" i="186" s="1"/>
  <c r="Y33" i="186"/>
  <c r="Y33" i="186" a="1"/>
  <c r="X33" i="186" a="1"/>
  <c r="X33" i="186" s="1"/>
  <c r="W33" i="186" a="1"/>
  <c r="W33" i="186" s="1"/>
  <c r="V33" i="186" a="1"/>
  <c r="V33" i="186" s="1"/>
  <c r="U33" i="186" a="1"/>
  <c r="U33" i="186" s="1"/>
  <c r="T33" i="186" a="1"/>
  <c r="T33" i="186" s="1"/>
  <c r="S33" i="186"/>
  <c r="S33" i="186" a="1"/>
  <c r="R33" i="186" a="1"/>
  <c r="R33" i="186" s="1"/>
  <c r="Q33" i="186" a="1"/>
  <c r="Q33" i="186" s="1"/>
  <c r="P33" i="186" a="1"/>
  <c r="P33" i="186" s="1"/>
  <c r="O33" i="186"/>
  <c r="O33" i="186" a="1"/>
  <c r="N33" i="186" a="1"/>
  <c r="N33" i="186" s="1"/>
  <c r="M33" i="186" a="1"/>
  <c r="M33" i="186" s="1"/>
  <c r="L33" i="186" a="1"/>
  <c r="L33" i="186" s="1"/>
  <c r="K33" i="186" a="1"/>
  <c r="K33" i="186" s="1"/>
  <c r="J33" i="186"/>
  <c r="J33" i="186" a="1"/>
  <c r="I33" i="186" a="1"/>
  <c r="I33" i="186" s="1"/>
  <c r="H33" i="186" a="1"/>
  <c r="H33" i="186" s="1"/>
  <c r="F33" i="186" a="1"/>
  <c r="F33" i="186" s="1"/>
  <c r="E33" i="186" a="1"/>
  <c r="E33" i="186" s="1"/>
  <c r="D33" i="186" a="1"/>
  <c r="D33" i="186" s="1"/>
  <c r="AA32" i="186" a="1"/>
  <c r="AA32" i="186" s="1"/>
  <c r="Z32" i="186" a="1"/>
  <c r="Z32" i="186" s="1"/>
  <c r="Y32" i="186"/>
  <c r="Y32" i="186" a="1"/>
  <c r="X32" i="186" a="1"/>
  <c r="X32" i="186" s="1"/>
  <c r="W32" i="186" a="1"/>
  <c r="W32" i="186" s="1"/>
  <c r="V32" i="186" a="1"/>
  <c r="V32" i="186" s="1"/>
  <c r="U32" i="186" a="1"/>
  <c r="U32" i="186" s="1"/>
  <c r="T32" i="186"/>
  <c r="T32" i="186" a="1"/>
  <c r="S32" i="186" a="1"/>
  <c r="S32" i="186" s="1"/>
  <c r="R32" i="186" a="1"/>
  <c r="R32" i="186" s="1"/>
  <c r="Q32" i="186"/>
  <c r="Q32" i="186" a="1"/>
  <c r="P32" i="186"/>
  <c r="P32" i="186" a="1"/>
  <c r="O32" i="186" a="1"/>
  <c r="O32" i="186" s="1"/>
  <c r="N32" i="186" a="1"/>
  <c r="N32" i="186" s="1"/>
  <c r="M32" i="186" a="1"/>
  <c r="M32" i="186" s="1"/>
  <c r="L32" i="186" a="1"/>
  <c r="L32" i="186" s="1"/>
  <c r="K32" i="186" a="1"/>
  <c r="K32" i="186" s="1"/>
  <c r="J32" i="186" a="1"/>
  <c r="J32" i="186" s="1"/>
  <c r="I32" i="186" a="1"/>
  <c r="I32" i="186" s="1"/>
  <c r="H32" i="186" a="1"/>
  <c r="H32" i="186" s="1"/>
  <c r="F32" i="186" a="1"/>
  <c r="F32" i="186" s="1"/>
  <c r="E32" i="186" a="1"/>
  <c r="E32" i="186" s="1"/>
  <c r="D32" i="186" a="1"/>
  <c r="D32" i="186" s="1"/>
  <c r="AA31" i="186" a="1"/>
  <c r="AA31" i="186" s="1"/>
  <c r="Z31" i="186" a="1"/>
  <c r="Z31" i="186" s="1"/>
  <c r="Y31" i="186" a="1"/>
  <c r="Y31" i="186" s="1"/>
  <c r="X31" i="186"/>
  <c r="X31" i="186" a="1"/>
  <c r="W31" i="186" a="1"/>
  <c r="W31" i="186" s="1"/>
  <c r="V31" i="186" a="1"/>
  <c r="V31" i="186" s="1"/>
  <c r="U31" i="186" a="1"/>
  <c r="U31" i="186" s="1"/>
  <c r="T31" i="186" a="1"/>
  <c r="T31" i="186" s="1"/>
  <c r="S31" i="186" a="1"/>
  <c r="S31" i="186" s="1"/>
  <c r="R31" i="186" a="1"/>
  <c r="R31" i="186" s="1"/>
  <c r="Q31" i="186"/>
  <c r="Q31" i="186" a="1"/>
  <c r="P31" i="186" a="1"/>
  <c r="P31" i="186" s="1"/>
  <c r="O31" i="186"/>
  <c r="O31" i="186" a="1"/>
  <c r="N31" i="186" a="1"/>
  <c r="N31" i="186" s="1"/>
  <c r="M31" i="186" a="1"/>
  <c r="M31" i="186" s="1"/>
  <c r="L31" i="186" a="1"/>
  <c r="L31" i="186" s="1"/>
  <c r="K31" i="186" a="1"/>
  <c r="K31" i="186" s="1"/>
  <c r="J31" i="186" a="1"/>
  <c r="J31" i="186" s="1"/>
  <c r="I31" i="186" a="1"/>
  <c r="I31" i="186" s="1"/>
  <c r="H31" i="186" a="1"/>
  <c r="H31" i="186" s="1"/>
  <c r="F31" i="186" a="1"/>
  <c r="F31" i="186" s="1"/>
  <c r="E31" i="186"/>
  <c r="E31" i="186" a="1"/>
  <c r="D31" i="186" a="1"/>
  <c r="D31" i="186" s="1"/>
  <c r="AA37" i="187" a="1"/>
  <c r="AA37" i="187" s="1"/>
  <c r="Z37" i="187" a="1"/>
  <c r="Z37" i="187" s="1"/>
  <c r="Y37" i="187" a="1"/>
  <c r="Y37" i="187" s="1"/>
  <c r="X37" i="187" a="1"/>
  <c r="X37" i="187" s="1"/>
  <c r="W37" i="187" a="1"/>
  <c r="W37" i="187" s="1"/>
  <c r="V37" i="187"/>
  <c r="V37" i="187" a="1"/>
  <c r="U37" i="187" a="1"/>
  <c r="U37" i="187" s="1"/>
  <c r="T37" i="187" a="1"/>
  <c r="T37" i="187" s="1"/>
  <c r="S37" i="187" a="1"/>
  <c r="S37" i="187" s="1"/>
  <c r="R37" i="187" a="1"/>
  <c r="R37" i="187" s="1"/>
  <c r="Q37" i="187" a="1"/>
  <c r="Q37" i="187" s="1"/>
  <c r="P37" i="187" a="1"/>
  <c r="P37" i="187" s="1"/>
  <c r="O37" i="187" a="1"/>
  <c r="O37" i="187" s="1"/>
  <c r="N37" i="187" a="1"/>
  <c r="N37" i="187" s="1"/>
  <c r="M37" i="187" a="1"/>
  <c r="M37" i="187" s="1"/>
  <c r="L37" i="187"/>
  <c r="L37" i="187" a="1"/>
  <c r="K37" i="187" a="1"/>
  <c r="K37" i="187" s="1"/>
  <c r="J37" i="187" a="1"/>
  <c r="J37" i="187" s="1"/>
  <c r="I37" i="187" a="1"/>
  <c r="I37" i="187" s="1"/>
  <c r="H37" i="187" a="1"/>
  <c r="H37" i="187" s="1"/>
  <c r="G37" i="187" a="1"/>
  <c r="G37" i="187" s="1"/>
  <c r="F37" i="187" a="1"/>
  <c r="F37" i="187" s="1"/>
  <c r="E37" i="187" a="1"/>
  <c r="E37" i="187" s="1"/>
  <c r="D37" i="187" a="1"/>
  <c r="D37" i="187" s="1"/>
  <c r="AA36" i="187" a="1"/>
  <c r="AA36" i="187" s="1"/>
  <c r="Z36" i="187" a="1"/>
  <c r="Z36" i="187" s="1"/>
  <c r="Y36" i="187" a="1"/>
  <c r="Y36" i="187" s="1"/>
  <c r="X36" i="187" a="1"/>
  <c r="X36" i="187" s="1"/>
  <c r="W36" i="187" a="1"/>
  <c r="W36" i="187" s="1"/>
  <c r="V36" i="187" a="1"/>
  <c r="V36" i="187" s="1"/>
  <c r="U36" i="187" a="1"/>
  <c r="U36" i="187" s="1"/>
  <c r="T36" i="187" a="1"/>
  <c r="T36" i="187" s="1"/>
  <c r="S36" i="187" a="1"/>
  <c r="S36" i="187" s="1"/>
  <c r="R36" i="187" a="1"/>
  <c r="R36" i="187" s="1"/>
  <c r="Q36" i="187" a="1"/>
  <c r="Q36" i="187" s="1"/>
  <c r="P36" i="187" a="1"/>
  <c r="P36" i="187" s="1"/>
  <c r="O36" i="187" a="1"/>
  <c r="O36" i="187" s="1"/>
  <c r="N36" i="187" a="1"/>
  <c r="N36" i="187" s="1"/>
  <c r="M36" i="187" a="1"/>
  <c r="M36" i="187" s="1"/>
  <c r="L36" i="187" a="1"/>
  <c r="L36" i="187" s="1"/>
  <c r="K36" i="187" a="1"/>
  <c r="K36" i="187" s="1"/>
  <c r="J36" i="187" a="1"/>
  <c r="J36" i="187" s="1"/>
  <c r="I36" i="187" a="1"/>
  <c r="I36" i="187" s="1"/>
  <c r="H36" i="187" a="1"/>
  <c r="H36" i="187" s="1"/>
  <c r="G36" i="187" a="1"/>
  <c r="G36" i="187" s="1"/>
  <c r="F36" i="187" a="1"/>
  <c r="F36" i="187" s="1"/>
  <c r="E36" i="187" a="1"/>
  <c r="E36" i="187" s="1"/>
  <c r="D36" i="187" a="1"/>
  <c r="D36" i="187" s="1"/>
  <c r="AA35" i="187" a="1"/>
  <c r="AA35" i="187" s="1"/>
  <c r="Z35" i="187" a="1"/>
  <c r="Z35" i="187" s="1"/>
  <c r="Y35" i="187" a="1"/>
  <c r="Y35" i="187" s="1"/>
  <c r="X35" i="187" a="1"/>
  <c r="X35" i="187" s="1"/>
  <c r="W35" i="187" a="1"/>
  <c r="W35" i="187" s="1"/>
  <c r="V35" i="187" a="1"/>
  <c r="V35" i="187" s="1"/>
  <c r="U35" i="187" a="1"/>
  <c r="U35" i="187" s="1"/>
  <c r="T35" i="187" a="1"/>
  <c r="T35" i="187" s="1"/>
  <c r="S35" i="187" a="1"/>
  <c r="S35" i="187" s="1"/>
  <c r="R35" i="187" a="1"/>
  <c r="R35" i="187" s="1"/>
  <c r="Q35" i="187" a="1"/>
  <c r="Q35" i="187" s="1"/>
  <c r="P35" i="187" a="1"/>
  <c r="P35" i="187" s="1"/>
  <c r="O35" i="187" a="1"/>
  <c r="O35" i="187" s="1"/>
  <c r="N35" i="187" a="1"/>
  <c r="N35" i="187" s="1"/>
  <c r="M35" i="187" a="1"/>
  <c r="M35" i="187" s="1"/>
  <c r="L35" i="187" a="1"/>
  <c r="L35" i="187" s="1"/>
  <c r="K35" i="187" a="1"/>
  <c r="K35" i="187" s="1"/>
  <c r="J35" i="187" a="1"/>
  <c r="J35" i="187" s="1"/>
  <c r="I35" i="187" a="1"/>
  <c r="I35" i="187" s="1"/>
  <c r="H35" i="187" a="1"/>
  <c r="H35" i="187" s="1"/>
  <c r="G35" i="187" a="1"/>
  <c r="G35" i="187" s="1"/>
  <c r="F35" i="187" a="1"/>
  <c r="F35" i="187" s="1"/>
  <c r="E35" i="187" a="1"/>
  <c r="E35" i="187" s="1"/>
  <c r="D35" i="187" a="1"/>
  <c r="D35" i="187" s="1"/>
  <c r="AA34" i="187" a="1"/>
  <c r="AA34" i="187" s="1"/>
  <c r="Z34" i="187" a="1"/>
  <c r="Z34" i="187" s="1"/>
  <c r="Y34" i="187" a="1"/>
  <c r="Y34" i="187" s="1"/>
  <c r="X34" i="187" a="1"/>
  <c r="X34" i="187" s="1"/>
  <c r="W34" i="187" a="1"/>
  <c r="W34" i="187" s="1"/>
  <c r="V34" i="187" a="1"/>
  <c r="V34" i="187" s="1"/>
  <c r="U34" i="187" a="1"/>
  <c r="U34" i="187" s="1"/>
  <c r="T34" i="187" a="1"/>
  <c r="T34" i="187" s="1"/>
  <c r="S34" i="187" a="1"/>
  <c r="S34" i="187" s="1"/>
  <c r="R34" i="187" a="1"/>
  <c r="R34" i="187" s="1"/>
  <c r="Q34" i="187" a="1"/>
  <c r="Q34" i="187" s="1"/>
  <c r="P34" i="187" a="1"/>
  <c r="P34" i="187" s="1"/>
  <c r="O34" i="187" a="1"/>
  <c r="O34" i="187" s="1"/>
  <c r="N34" i="187" a="1"/>
  <c r="N34" i="187" s="1"/>
  <c r="M34" i="187" a="1"/>
  <c r="M34" i="187" s="1"/>
  <c r="L34" i="187" a="1"/>
  <c r="L34" i="187" s="1"/>
  <c r="K34" i="187" a="1"/>
  <c r="K34" i="187" s="1"/>
  <c r="J34" i="187" a="1"/>
  <c r="J34" i="187" s="1"/>
  <c r="I34" i="187" a="1"/>
  <c r="I34" i="187" s="1"/>
  <c r="H34" i="187" a="1"/>
  <c r="H34" i="187" s="1"/>
  <c r="G34" i="187" a="1"/>
  <c r="G34" i="187" s="1"/>
  <c r="F34" i="187" a="1"/>
  <c r="F34" i="187" s="1"/>
  <c r="E34" i="187" a="1"/>
  <c r="E34" i="187" s="1"/>
  <c r="D34" i="187" a="1"/>
  <c r="D34" i="187" s="1"/>
  <c r="AA33" i="187" a="1"/>
  <c r="AA33" i="187" s="1"/>
  <c r="Z33" i="187" a="1"/>
  <c r="Z33" i="187" s="1"/>
  <c r="Y33" i="187" a="1"/>
  <c r="Y33" i="187" s="1"/>
  <c r="X33" i="187" a="1"/>
  <c r="X33" i="187" s="1"/>
  <c r="W33" i="187" a="1"/>
  <c r="W33" i="187" s="1"/>
  <c r="V33" i="187" a="1"/>
  <c r="V33" i="187" s="1"/>
  <c r="U33" i="187" a="1"/>
  <c r="U33" i="187" s="1"/>
  <c r="T33" i="187" a="1"/>
  <c r="T33" i="187" s="1"/>
  <c r="S33" i="187" a="1"/>
  <c r="S33" i="187" s="1"/>
  <c r="R33" i="187" a="1"/>
  <c r="R33" i="187" s="1"/>
  <c r="Q33" i="187" a="1"/>
  <c r="Q33" i="187" s="1"/>
  <c r="P33" i="187" a="1"/>
  <c r="P33" i="187" s="1"/>
  <c r="O33" i="187" a="1"/>
  <c r="O33" i="187" s="1"/>
  <c r="N33" i="187" a="1"/>
  <c r="N33" i="187" s="1"/>
  <c r="M33" i="187" a="1"/>
  <c r="M33" i="187" s="1"/>
  <c r="L33" i="187" a="1"/>
  <c r="L33" i="187" s="1"/>
  <c r="K33" i="187" a="1"/>
  <c r="K33" i="187" s="1"/>
  <c r="J33" i="187" a="1"/>
  <c r="J33" i="187" s="1"/>
  <c r="I33" i="187" a="1"/>
  <c r="I33" i="187" s="1"/>
  <c r="H33" i="187" a="1"/>
  <c r="H33" i="187" s="1"/>
  <c r="G33" i="187" a="1"/>
  <c r="G33" i="187" s="1"/>
  <c r="F33" i="187" a="1"/>
  <c r="F33" i="187" s="1"/>
  <c r="E33" i="187" a="1"/>
  <c r="E33" i="187" s="1"/>
  <c r="D33" i="187" a="1"/>
  <c r="D33" i="187" s="1"/>
  <c r="AA32" i="187" a="1"/>
  <c r="AA32" i="187" s="1"/>
  <c r="Z32" i="187" a="1"/>
  <c r="Z32" i="187" s="1"/>
  <c r="Y32" i="187" a="1"/>
  <c r="Y32" i="187" s="1"/>
  <c r="X32" i="187" a="1"/>
  <c r="X32" i="187" s="1"/>
  <c r="W32" i="187" a="1"/>
  <c r="W32" i="187" s="1"/>
  <c r="V32" i="187" a="1"/>
  <c r="V32" i="187" s="1"/>
  <c r="U32" i="187" a="1"/>
  <c r="U32" i="187" s="1"/>
  <c r="T32" i="187" a="1"/>
  <c r="T32" i="187" s="1"/>
  <c r="S32" i="187" a="1"/>
  <c r="S32" i="187" s="1"/>
  <c r="R32" i="187" a="1"/>
  <c r="R32" i="187" s="1"/>
  <c r="Q32" i="187" a="1"/>
  <c r="Q32" i="187" s="1"/>
  <c r="P32" i="187" a="1"/>
  <c r="P32" i="187" s="1"/>
  <c r="O32" i="187" a="1"/>
  <c r="O32" i="187" s="1"/>
  <c r="N32" i="187" a="1"/>
  <c r="N32" i="187" s="1"/>
  <c r="M32" i="187" a="1"/>
  <c r="M32" i="187" s="1"/>
  <c r="L32" i="187" a="1"/>
  <c r="L32" i="187" s="1"/>
  <c r="K32" i="187" a="1"/>
  <c r="K32" i="187" s="1"/>
  <c r="J32" i="187" a="1"/>
  <c r="J32" i="187" s="1"/>
  <c r="I32" i="187" a="1"/>
  <c r="I32" i="187" s="1"/>
  <c r="H32" i="187" a="1"/>
  <c r="H32" i="187" s="1"/>
  <c r="G32" i="187" a="1"/>
  <c r="G32" i="187" s="1"/>
  <c r="F32" i="187" a="1"/>
  <c r="F32" i="187" s="1"/>
  <c r="E32" i="187" a="1"/>
  <c r="E32" i="187" s="1"/>
  <c r="D32" i="187" a="1"/>
  <c r="D32" i="187" s="1"/>
  <c r="AA31" i="187" a="1"/>
  <c r="AA31" i="187" s="1"/>
  <c r="Z31" i="187" a="1"/>
  <c r="Z31" i="187" s="1"/>
  <c r="Y31" i="187" a="1"/>
  <c r="Y31" i="187" s="1"/>
  <c r="X31" i="187" a="1"/>
  <c r="X31" i="187" s="1"/>
  <c r="W31" i="187" a="1"/>
  <c r="W31" i="187" s="1"/>
  <c r="V31" i="187" a="1"/>
  <c r="V31" i="187" s="1"/>
  <c r="U31" i="187" a="1"/>
  <c r="U31" i="187" s="1"/>
  <c r="T31" i="187" a="1"/>
  <c r="T31" i="187" s="1"/>
  <c r="S31" i="187" a="1"/>
  <c r="S31" i="187" s="1"/>
  <c r="R31" i="187" a="1"/>
  <c r="R31" i="187" s="1"/>
  <c r="Q31" i="187" a="1"/>
  <c r="Q31" i="187" s="1"/>
  <c r="P31" i="187" a="1"/>
  <c r="P31" i="187" s="1"/>
  <c r="O31" i="187" a="1"/>
  <c r="O31" i="187" s="1"/>
  <c r="N31" i="187" a="1"/>
  <c r="N31" i="187" s="1"/>
  <c r="M31" i="187" a="1"/>
  <c r="M31" i="187" s="1"/>
  <c r="L31" i="187" a="1"/>
  <c r="L31" i="187" s="1"/>
  <c r="K31" i="187" a="1"/>
  <c r="K31" i="187" s="1"/>
  <c r="J31" i="187" a="1"/>
  <c r="J31" i="187" s="1"/>
  <c r="I31" i="187" a="1"/>
  <c r="I31" i="187" s="1"/>
  <c r="H31" i="187" a="1"/>
  <c r="H31" i="187" s="1"/>
  <c r="F31" i="187" a="1"/>
  <c r="F31" i="187" s="1"/>
  <c r="E31" i="187" a="1"/>
  <c r="E31" i="187" s="1"/>
  <c r="D31" i="187" a="1"/>
  <c r="D31" i="187" s="1"/>
  <c r="AA37" i="188" a="1"/>
  <c r="AA37" i="188" s="1"/>
  <c r="Z37" i="188" a="1"/>
  <c r="Z37" i="188" s="1"/>
  <c r="Y37" i="188" a="1"/>
  <c r="Y37" i="188" s="1"/>
  <c r="X37" i="188" a="1"/>
  <c r="X37" i="188" s="1"/>
  <c r="W37" i="188" a="1"/>
  <c r="W37" i="188" s="1"/>
  <c r="V37" i="188" a="1"/>
  <c r="V37" i="188" s="1"/>
  <c r="U37" i="188" a="1"/>
  <c r="U37" i="188" s="1"/>
  <c r="T37" i="188" a="1"/>
  <c r="T37" i="188" s="1"/>
  <c r="S37" i="188" a="1"/>
  <c r="S37" i="188" s="1"/>
  <c r="R37" i="188" a="1"/>
  <c r="R37" i="188" s="1"/>
  <c r="Q37" i="188" a="1"/>
  <c r="Q37" i="188" s="1"/>
  <c r="P37" i="188" a="1"/>
  <c r="P37" i="188" s="1"/>
  <c r="O37" i="188" a="1"/>
  <c r="O37" i="188" s="1"/>
  <c r="N37" i="188" a="1"/>
  <c r="N37" i="188" s="1"/>
  <c r="M37" i="188" a="1"/>
  <c r="M37" i="188" s="1"/>
  <c r="L37" i="188" a="1"/>
  <c r="L37" i="188" s="1"/>
  <c r="K37" i="188" a="1"/>
  <c r="K37" i="188" s="1"/>
  <c r="J37" i="188" a="1"/>
  <c r="J37" i="188" s="1"/>
  <c r="I37" i="188" a="1"/>
  <c r="I37" i="188" s="1"/>
  <c r="H37" i="188" a="1"/>
  <c r="H37" i="188" s="1"/>
  <c r="F37" i="188" a="1"/>
  <c r="F37" i="188" s="1"/>
  <c r="E37" i="188" a="1"/>
  <c r="E37" i="188" s="1"/>
  <c r="D37" i="188" a="1"/>
  <c r="D37" i="188" s="1"/>
  <c r="AA36" i="188" a="1"/>
  <c r="AA36" i="188" s="1"/>
  <c r="Z36" i="188" a="1"/>
  <c r="Z36" i="188" s="1"/>
  <c r="Y36" i="188" a="1"/>
  <c r="Y36" i="188" s="1"/>
  <c r="X36" i="188" a="1"/>
  <c r="X36" i="188" s="1"/>
  <c r="W36" i="188" a="1"/>
  <c r="W36" i="188" s="1"/>
  <c r="V36" i="188" a="1"/>
  <c r="V36" i="188" s="1"/>
  <c r="U36" i="188" a="1"/>
  <c r="U36" i="188" s="1"/>
  <c r="T36" i="188" a="1"/>
  <c r="T36" i="188" s="1"/>
  <c r="S36" i="188" a="1"/>
  <c r="S36" i="188" s="1"/>
  <c r="R36" i="188" a="1"/>
  <c r="R36" i="188" s="1"/>
  <c r="Q36" i="188" a="1"/>
  <c r="Q36" i="188" s="1"/>
  <c r="P36" i="188" a="1"/>
  <c r="P36" i="188" s="1"/>
  <c r="O36" i="188" a="1"/>
  <c r="O36" i="188" s="1"/>
  <c r="N36" i="188" a="1"/>
  <c r="N36" i="188" s="1"/>
  <c r="M36" i="188" a="1"/>
  <c r="M36" i="188" s="1"/>
  <c r="L36" i="188" a="1"/>
  <c r="L36" i="188" s="1"/>
  <c r="K36" i="188" a="1"/>
  <c r="K36" i="188" s="1"/>
  <c r="J36" i="188" a="1"/>
  <c r="J36" i="188" s="1"/>
  <c r="I36" i="188" a="1"/>
  <c r="I36" i="188" s="1"/>
  <c r="H36" i="188" a="1"/>
  <c r="H36" i="188" s="1"/>
  <c r="F36" i="188" a="1"/>
  <c r="F36" i="188" s="1"/>
  <c r="E36" i="188" a="1"/>
  <c r="E36" i="188" s="1"/>
  <c r="D36" i="188" a="1"/>
  <c r="D36" i="188" s="1"/>
  <c r="AA35" i="188" a="1"/>
  <c r="AA35" i="188" s="1"/>
  <c r="Z35" i="188" a="1"/>
  <c r="Z35" i="188" s="1"/>
  <c r="Y35" i="188" a="1"/>
  <c r="Y35" i="188" s="1"/>
  <c r="X35" i="188" a="1"/>
  <c r="X35" i="188" s="1"/>
  <c r="W35" i="188" a="1"/>
  <c r="W35" i="188" s="1"/>
  <c r="V35" i="188" a="1"/>
  <c r="V35" i="188" s="1"/>
  <c r="U35" i="188" a="1"/>
  <c r="U35" i="188" s="1"/>
  <c r="T35" i="188" a="1"/>
  <c r="T35" i="188" s="1"/>
  <c r="S35" i="188" a="1"/>
  <c r="S35" i="188" s="1"/>
  <c r="R35" i="188" a="1"/>
  <c r="R35" i="188" s="1"/>
  <c r="Q35" i="188" a="1"/>
  <c r="Q35" i="188" s="1"/>
  <c r="P35" i="188" a="1"/>
  <c r="P35" i="188" s="1"/>
  <c r="O35" i="188" a="1"/>
  <c r="O35" i="188" s="1"/>
  <c r="N35" i="188" a="1"/>
  <c r="N35" i="188" s="1"/>
  <c r="M35" i="188" a="1"/>
  <c r="M35" i="188" s="1"/>
  <c r="L35" i="188" a="1"/>
  <c r="L35" i="188" s="1"/>
  <c r="K35" i="188" a="1"/>
  <c r="K35" i="188" s="1"/>
  <c r="J35" i="188" a="1"/>
  <c r="J35" i="188" s="1"/>
  <c r="I35" i="188" a="1"/>
  <c r="I35" i="188" s="1"/>
  <c r="H35" i="188" a="1"/>
  <c r="H35" i="188" s="1"/>
  <c r="F35" i="188" a="1"/>
  <c r="F35" i="188" s="1"/>
  <c r="E35" i="188" a="1"/>
  <c r="E35" i="188" s="1"/>
  <c r="D35" i="188" a="1"/>
  <c r="D35" i="188" s="1"/>
  <c r="AA34" i="188" a="1"/>
  <c r="AA34" i="188" s="1"/>
  <c r="Z34" i="188" a="1"/>
  <c r="Z34" i="188" s="1"/>
  <c r="Y34" i="188" a="1"/>
  <c r="Y34" i="188" s="1"/>
  <c r="X34" i="188" a="1"/>
  <c r="X34" i="188" s="1"/>
  <c r="W34" i="188" a="1"/>
  <c r="W34" i="188" s="1"/>
  <c r="V34" i="188" a="1"/>
  <c r="V34" i="188" s="1"/>
  <c r="U34" i="188" a="1"/>
  <c r="U34" i="188" s="1"/>
  <c r="T34" i="188" a="1"/>
  <c r="T34" i="188" s="1"/>
  <c r="S34" i="188" a="1"/>
  <c r="S34" i="188" s="1"/>
  <c r="R34" i="188" a="1"/>
  <c r="R34" i="188" s="1"/>
  <c r="Q34" i="188" a="1"/>
  <c r="Q34" i="188" s="1"/>
  <c r="P34" i="188" a="1"/>
  <c r="P34" i="188" s="1"/>
  <c r="O34" i="188" a="1"/>
  <c r="O34" i="188" s="1"/>
  <c r="N34" i="188" a="1"/>
  <c r="N34" i="188" s="1"/>
  <c r="M34" i="188" a="1"/>
  <c r="M34" i="188" s="1"/>
  <c r="L34" i="188" a="1"/>
  <c r="L34" i="188" s="1"/>
  <c r="K34" i="188" a="1"/>
  <c r="K34" i="188" s="1"/>
  <c r="J34" i="188" a="1"/>
  <c r="J34" i="188" s="1"/>
  <c r="I34" i="188" a="1"/>
  <c r="I34" i="188" s="1"/>
  <c r="H34" i="188" a="1"/>
  <c r="H34" i="188" s="1"/>
  <c r="F34" i="188" a="1"/>
  <c r="F34" i="188" s="1"/>
  <c r="E34" i="188" a="1"/>
  <c r="E34" i="188" s="1"/>
  <c r="D34" i="188" a="1"/>
  <c r="D34" i="188" s="1"/>
  <c r="AA33" i="188" a="1"/>
  <c r="AA33" i="188" s="1"/>
  <c r="Z33" i="188" a="1"/>
  <c r="Z33" i="188" s="1"/>
  <c r="Y33" i="188" a="1"/>
  <c r="Y33" i="188" s="1"/>
  <c r="X33" i="188" a="1"/>
  <c r="X33" i="188" s="1"/>
  <c r="W33" i="188" a="1"/>
  <c r="W33" i="188" s="1"/>
  <c r="V33" i="188" a="1"/>
  <c r="V33" i="188" s="1"/>
  <c r="U33" i="188" a="1"/>
  <c r="U33" i="188" s="1"/>
  <c r="T33" i="188" a="1"/>
  <c r="T33" i="188" s="1"/>
  <c r="S33" i="188" a="1"/>
  <c r="S33" i="188" s="1"/>
  <c r="R33" i="188" a="1"/>
  <c r="R33" i="188" s="1"/>
  <c r="Q33" i="188" a="1"/>
  <c r="Q33" i="188" s="1"/>
  <c r="P33" i="188" a="1"/>
  <c r="P33" i="188" s="1"/>
  <c r="O33" i="188" a="1"/>
  <c r="O33" i="188" s="1"/>
  <c r="N33" i="188" a="1"/>
  <c r="N33" i="188" s="1"/>
  <c r="M33" i="188" a="1"/>
  <c r="M33" i="188" s="1"/>
  <c r="L33" i="188" a="1"/>
  <c r="L33" i="188" s="1"/>
  <c r="K33" i="188" a="1"/>
  <c r="K33" i="188" s="1"/>
  <c r="J33" i="188" a="1"/>
  <c r="J33" i="188" s="1"/>
  <c r="I33" i="188" a="1"/>
  <c r="I33" i="188" s="1"/>
  <c r="H33" i="188" a="1"/>
  <c r="H33" i="188" s="1"/>
  <c r="F33" i="188" a="1"/>
  <c r="F33" i="188" s="1"/>
  <c r="E33" i="188" a="1"/>
  <c r="E33" i="188" s="1"/>
  <c r="D33" i="188" a="1"/>
  <c r="D33" i="188" s="1"/>
  <c r="AA32" i="188" a="1"/>
  <c r="AA32" i="188" s="1"/>
  <c r="Z32" i="188" a="1"/>
  <c r="Z32" i="188" s="1"/>
  <c r="Y32" i="188" a="1"/>
  <c r="Y32" i="188" s="1"/>
  <c r="X32" i="188" a="1"/>
  <c r="X32" i="188" s="1"/>
  <c r="W32" i="188" a="1"/>
  <c r="W32" i="188" s="1"/>
  <c r="V32" i="188" a="1"/>
  <c r="V32" i="188" s="1"/>
  <c r="U32" i="188" a="1"/>
  <c r="U32" i="188" s="1"/>
  <c r="T32" i="188" a="1"/>
  <c r="T32" i="188" s="1"/>
  <c r="S32" i="188" a="1"/>
  <c r="S32" i="188" s="1"/>
  <c r="R32" i="188" a="1"/>
  <c r="R32" i="188" s="1"/>
  <c r="Q32" i="188" a="1"/>
  <c r="Q32" i="188" s="1"/>
  <c r="P32" i="188" a="1"/>
  <c r="P32" i="188" s="1"/>
  <c r="O32" i="188" a="1"/>
  <c r="O32" i="188" s="1"/>
  <c r="N32" i="188" a="1"/>
  <c r="N32" i="188" s="1"/>
  <c r="M32" i="188" a="1"/>
  <c r="M32" i="188" s="1"/>
  <c r="L32" i="188" a="1"/>
  <c r="L32" i="188" s="1"/>
  <c r="K32" i="188" a="1"/>
  <c r="K32" i="188" s="1"/>
  <c r="J32" i="188" a="1"/>
  <c r="J32" i="188" s="1"/>
  <c r="I32" i="188" a="1"/>
  <c r="I32" i="188" s="1"/>
  <c r="H32" i="188" a="1"/>
  <c r="H32" i="188" s="1"/>
  <c r="F32" i="188" a="1"/>
  <c r="F32" i="188" s="1"/>
  <c r="E32" i="188" a="1"/>
  <c r="E32" i="188" s="1"/>
  <c r="D32" i="188" a="1"/>
  <c r="D32" i="188" s="1"/>
  <c r="AA31" i="188" a="1"/>
  <c r="AA31" i="188" s="1"/>
  <c r="Z31" i="188" a="1"/>
  <c r="Z31" i="188" s="1"/>
  <c r="Y31" i="188" a="1"/>
  <c r="Y31" i="188" s="1"/>
  <c r="X31" i="188" a="1"/>
  <c r="X31" i="188" s="1"/>
  <c r="W31" i="188" a="1"/>
  <c r="W31" i="188" s="1"/>
  <c r="V31" i="188" a="1"/>
  <c r="V31" i="188" s="1"/>
  <c r="U31" i="188" a="1"/>
  <c r="U31" i="188" s="1"/>
  <c r="T31" i="188" a="1"/>
  <c r="T31" i="188" s="1"/>
  <c r="S31" i="188" a="1"/>
  <c r="S31" i="188" s="1"/>
  <c r="R31" i="188" a="1"/>
  <c r="R31" i="188" s="1"/>
  <c r="Q31" i="188" a="1"/>
  <c r="Q31" i="188" s="1"/>
  <c r="P31" i="188" a="1"/>
  <c r="P31" i="188" s="1"/>
  <c r="O31" i="188" a="1"/>
  <c r="O31" i="188" s="1"/>
  <c r="N31" i="188" a="1"/>
  <c r="N31" i="188" s="1"/>
  <c r="M31" i="188" a="1"/>
  <c r="M31" i="188" s="1"/>
  <c r="L31" i="188" a="1"/>
  <c r="L31" i="188" s="1"/>
  <c r="K31" i="188" a="1"/>
  <c r="K31" i="188" s="1"/>
  <c r="J31" i="188" a="1"/>
  <c r="J31" i="188" s="1"/>
  <c r="I31" i="188" a="1"/>
  <c r="I31" i="188" s="1"/>
  <c r="H31" i="188" a="1"/>
  <c r="H31" i="188" s="1"/>
  <c r="F31" i="188" a="1"/>
  <c r="F31" i="188" s="1"/>
  <c r="E31" i="188" a="1"/>
  <c r="E31" i="188" s="1"/>
  <c r="D31" i="188" a="1"/>
  <c r="D31" i="188" s="1"/>
  <c r="AA37" i="189" a="1"/>
  <c r="AA37" i="189" s="1"/>
  <c r="Z37" i="189" a="1"/>
  <c r="Z37" i="189" s="1"/>
  <c r="Y37" i="189" a="1"/>
  <c r="Y37" i="189" s="1"/>
  <c r="X37" i="189" a="1"/>
  <c r="X37" i="189" s="1"/>
  <c r="W37" i="189" a="1"/>
  <c r="W37" i="189" s="1"/>
  <c r="V37" i="189" a="1"/>
  <c r="V37" i="189" s="1"/>
  <c r="U37" i="189" a="1"/>
  <c r="U37" i="189" s="1"/>
  <c r="T37" i="189" a="1"/>
  <c r="T37" i="189" s="1"/>
  <c r="S37" i="189" a="1"/>
  <c r="S37" i="189" s="1"/>
  <c r="R37" i="189" a="1"/>
  <c r="R37" i="189" s="1"/>
  <c r="Q37" i="189" a="1"/>
  <c r="Q37" i="189" s="1"/>
  <c r="P37" i="189" a="1"/>
  <c r="P37" i="189" s="1"/>
  <c r="O37" i="189" a="1"/>
  <c r="O37" i="189" s="1"/>
  <c r="N37" i="189" a="1"/>
  <c r="N37" i="189" s="1"/>
  <c r="M37" i="189" a="1"/>
  <c r="M37" i="189" s="1"/>
  <c r="L37" i="189" a="1"/>
  <c r="L37" i="189" s="1"/>
  <c r="K37" i="189" a="1"/>
  <c r="K37" i="189" s="1"/>
  <c r="J37" i="189" a="1"/>
  <c r="J37" i="189" s="1"/>
  <c r="I37" i="189" a="1"/>
  <c r="I37" i="189" s="1"/>
  <c r="H37" i="189" a="1"/>
  <c r="H37" i="189" s="1"/>
  <c r="F37" i="189" a="1"/>
  <c r="F37" i="189" s="1"/>
  <c r="E37" i="189" a="1"/>
  <c r="E37" i="189" s="1"/>
  <c r="D37" i="189" a="1"/>
  <c r="D37" i="189" s="1"/>
  <c r="AA36" i="189" a="1"/>
  <c r="AA36" i="189" s="1"/>
  <c r="Z36" i="189" a="1"/>
  <c r="Z36" i="189" s="1"/>
  <c r="Y36" i="189" a="1"/>
  <c r="Y36" i="189" s="1"/>
  <c r="X36" i="189" a="1"/>
  <c r="X36" i="189" s="1"/>
  <c r="W36" i="189" a="1"/>
  <c r="W36" i="189" s="1"/>
  <c r="V36" i="189" a="1"/>
  <c r="V36" i="189" s="1"/>
  <c r="U36" i="189" a="1"/>
  <c r="U36" i="189" s="1"/>
  <c r="T36" i="189" a="1"/>
  <c r="T36" i="189" s="1"/>
  <c r="S36" i="189" a="1"/>
  <c r="S36" i="189" s="1"/>
  <c r="R36" i="189" a="1"/>
  <c r="R36" i="189" s="1"/>
  <c r="Q36" i="189" a="1"/>
  <c r="Q36" i="189" s="1"/>
  <c r="P36" i="189" a="1"/>
  <c r="P36" i="189" s="1"/>
  <c r="O36" i="189" a="1"/>
  <c r="O36" i="189" s="1"/>
  <c r="N36" i="189" a="1"/>
  <c r="N36" i="189" s="1"/>
  <c r="M36" i="189" a="1"/>
  <c r="M36" i="189" s="1"/>
  <c r="L36" i="189" a="1"/>
  <c r="L36" i="189" s="1"/>
  <c r="K36" i="189" a="1"/>
  <c r="K36" i="189" s="1"/>
  <c r="J36" i="189" a="1"/>
  <c r="J36" i="189" s="1"/>
  <c r="I36" i="189" a="1"/>
  <c r="I36" i="189" s="1"/>
  <c r="H36" i="189" a="1"/>
  <c r="H36" i="189" s="1"/>
  <c r="F36" i="189" a="1"/>
  <c r="F36" i="189" s="1"/>
  <c r="E36" i="189" a="1"/>
  <c r="E36" i="189" s="1"/>
  <c r="D36" i="189" a="1"/>
  <c r="D36" i="189" s="1"/>
  <c r="AA35" i="189" a="1"/>
  <c r="AA35" i="189" s="1"/>
  <c r="Z35" i="189" a="1"/>
  <c r="Z35" i="189" s="1"/>
  <c r="Y35" i="189" a="1"/>
  <c r="Y35" i="189" s="1"/>
  <c r="X35" i="189" a="1"/>
  <c r="X35" i="189" s="1"/>
  <c r="W35" i="189" a="1"/>
  <c r="W35" i="189" s="1"/>
  <c r="V35" i="189" a="1"/>
  <c r="V35" i="189" s="1"/>
  <c r="U35" i="189" a="1"/>
  <c r="U35" i="189" s="1"/>
  <c r="T35" i="189" a="1"/>
  <c r="T35" i="189" s="1"/>
  <c r="S35" i="189" a="1"/>
  <c r="S35" i="189" s="1"/>
  <c r="R35" i="189" a="1"/>
  <c r="R35" i="189" s="1"/>
  <c r="Q35" i="189" a="1"/>
  <c r="Q35" i="189" s="1"/>
  <c r="P35" i="189" a="1"/>
  <c r="P35" i="189" s="1"/>
  <c r="O35" i="189" a="1"/>
  <c r="O35" i="189" s="1"/>
  <c r="N35" i="189" a="1"/>
  <c r="N35" i="189" s="1"/>
  <c r="M35" i="189" a="1"/>
  <c r="M35" i="189" s="1"/>
  <c r="L35" i="189" a="1"/>
  <c r="L35" i="189" s="1"/>
  <c r="K35" i="189" a="1"/>
  <c r="K35" i="189" s="1"/>
  <c r="J35" i="189" a="1"/>
  <c r="J35" i="189" s="1"/>
  <c r="I35" i="189" a="1"/>
  <c r="I35" i="189" s="1"/>
  <c r="H35" i="189" a="1"/>
  <c r="H35" i="189" s="1"/>
  <c r="F35" i="189" a="1"/>
  <c r="F35" i="189" s="1"/>
  <c r="E35" i="189" a="1"/>
  <c r="E35" i="189" s="1"/>
  <c r="D35" i="189" a="1"/>
  <c r="D35" i="189" s="1"/>
  <c r="AA34" i="189"/>
  <c r="AA34" i="189" a="1"/>
  <c r="Z34" i="189"/>
  <c r="Z34" i="189" a="1"/>
  <c r="Y34" i="189" a="1"/>
  <c r="Y34" i="189" s="1"/>
  <c r="X34" i="189" a="1"/>
  <c r="X34" i="189" s="1"/>
  <c r="W34" i="189" a="1"/>
  <c r="W34" i="189" s="1"/>
  <c r="V34" i="189" a="1"/>
  <c r="V34" i="189" s="1"/>
  <c r="U34" i="189" a="1"/>
  <c r="U34" i="189" s="1"/>
  <c r="T34" i="189" a="1"/>
  <c r="T34" i="189" s="1"/>
  <c r="S34" i="189" a="1"/>
  <c r="S34" i="189" s="1"/>
  <c r="R34" i="189"/>
  <c r="R34" i="189" a="1"/>
  <c r="Q34" i="189" a="1"/>
  <c r="Q34" i="189" s="1"/>
  <c r="P34" i="189"/>
  <c r="P34" i="189" a="1"/>
  <c r="O34" i="189"/>
  <c r="O34" i="189" a="1"/>
  <c r="N34" i="189"/>
  <c r="N34" i="189" a="1"/>
  <c r="M34" i="189" a="1"/>
  <c r="M34" i="189" s="1"/>
  <c r="L34" i="189" a="1"/>
  <c r="L34" i="189" s="1"/>
  <c r="K34" i="189" a="1"/>
  <c r="K34" i="189" s="1"/>
  <c r="J34" i="189" a="1"/>
  <c r="J34" i="189" s="1"/>
  <c r="I34" i="189" a="1"/>
  <c r="I34" i="189" s="1"/>
  <c r="H34" i="189" a="1"/>
  <c r="H34" i="189" s="1"/>
  <c r="F34" i="189" a="1"/>
  <c r="F34" i="189" s="1"/>
  <c r="E34" i="189" a="1"/>
  <c r="E34" i="189" s="1"/>
  <c r="D34" i="189" a="1"/>
  <c r="D34" i="189" s="1"/>
  <c r="AA33" i="189" a="1"/>
  <c r="AA33" i="189" s="1"/>
  <c r="Z33" i="189"/>
  <c r="Z33" i="189" a="1"/>
  <c r="Y33" i="189" a="1"/>
  <c r="Y33" i="189" s="1"/>
  <c r="X33" i="189" a="1"/>
  <c r="X33" i="189" s="1"/>
  <c r="W33" i="189" a="1"/>
  <c r="W33" i="189" s="1"/>
  <c r="V33" i="189" a="1"/>
  <c r="V33" i="189" s="1"/>
  <c r="U33" i="189" a="1"/>
  <c r="U33" i="189" s="1"/>
  <c r="T33" i="189" a="1"/>
  <c r="T33" i="189" s="1"/>
  <c r="S33" i="189" a="1"/>
  <c r="S33" i="189" s="1"/>
  <c r="R33" i="189" a="1"/>
  <c r="R33" i="189" s="1"/>
  <c r="Q33" i="189"/>
  <c r="Q33" i="189" a="1"/>
  <c r="P33" i="189" a="1"/>
  <c r="P33" i="189" s="1"/>
  <c r="O33" i="189"/>
  <c r="O33" i="189" a="1"/>
  <c r="N33" i="189"/>
  <c r="N33" i="189" a="1"/>
  <c r="M33" i="189" a="1"/>
  <c r="M33" i="189" s="1"/>
  <c r="L33" i="189" a="1"/>
  <c r="L33" i="189" s="1"/>
  <c r="K33" i="189" a="1"/>
  <c r="K33" i="189" s="1"/>
  <c r="J33" i="189" a="1"/>
  <c r="J33" i="189" s="1"/>
  <c r="I33" i="189" a="1"/>
  <c r="I33" i="189" s="1"/>
  <c r="H33" i="189" a="1"/>
  <c r="H33" i="189" s="1"/>
  <c r="F33" i="189"/>
  <c r="F33" i="189" a="1"/>
  <c r="E33" i="189" a="1"/>
  <c r="E33" i="189" s="1"/>
  <c r="D33" i="189" a="1"/>
  <c r="D33" i="189" s="1"/>
  <c r="AA32" i="189" a="1"/>
  <c r="AA32" i="189" s="1"/>
  <c r="Z32" i="189" a="1"/>
  <c r="Z32" i="189" s="1"/>
  <c r="Y32" i="189" a="1"/>
  <c r="Y32" i="189" s="1"/>
  <c r="X32" i="189" a="1"/>
  <c r="X32" i="189" s="1"/>
  <c r="W32" i="189" a="1"/>
  <c r="W32" i="189" s="1"/>
  <c r="V32" i="189" a="1"/>
  <c r="V32" i="189" s="1"/>
  <c r="U32" i="189" a="1"/>
  <c r="U32" i="189" s="1"/>
  <c r="T32" i="189" a="1"/>
  <c r="T32" i="189" s="1"/>
  <c r="S32" i="189" a="1"/>
  <c r="S32" i="189" s="1"/>
  <c r="R32" i="189"/>
  <c r="R32" i="189" a="1"/>
  <c r="Q32" i="189" a="1"/>
  <c r="Q32" i="189" s="1"/>
  <c r="P32" i="189"/>
  <c r="P32" i="189" a="1"/>
  <c r="O32" i="189" a="1"/>
  <c r="O32" i="189" s="1"/>
  <c r="N32" i="189"/>
  <c r="N32" i="189" a="1"/>
  <c r="M32" i="189" a="1"/>
  <c r="M32" i="189" s="1"/>
  <c r="L32" i="189" a="1"/>
  <c r="L32" i="189" s="1"/>
  <c r="K32" i="189" a="1"/>
  <c r="K32" i="189" s="1"/>
  <c r="J32" i="189" a="1"/>
  <c r="J32" i="189" s="1"/>
  <c r="I32" i="189" a="1"/>
  <c r="I32" i="189" s="1"/>
  <c r="H32" i="189" a="1"/>
  <c r="H32" i="189" s="1"/>
  <c r="F32" i="189"/>
  <c r="F32" i="189" a="1"/>
  <c r="E32" i="189"/>
  <c r="E32" i="189" a="1"/>
  <c r="D32" i="189" a="1"/>
  <c r="D32" i="189" s="1"/>
  <c r="AA31" i="189" a="1"/>
  <c r="AA31" i="189" s="1"/>
  <c r="Z31" i="189" a="1"/>
  <c r="Z31" i="189" s="1"/>
  <c r="Y31" i="189" a="1"/>
  <c r="Y31" i="189" s="1"/>
  <c r="X31" i="189" a="1"/>
  <c r="X31" i="189" s="1"/>
  <c r="W31" i="189" a="1"/>
  <c r="W31" i="189" s="1"/>
  <c r="V31" i="189" a="1"/>
  <c r="V31" i="189" s="1"/>
  <c r="U31" i="189" a="1"/>
  <c r="U31" i="189" s="1"/>
  <c r="T31" i="189" a="1"/>
  <c r="T31" i="189" s="1"/>
  <c r="S31" i="189" a="1"/>
  <c r="S31" i="189" s="1"/>
  <c r="R31" i="189"/>
  <c r="R31" i="189" a="1"/>
  <c r="Q31" i="189"/>
  <c r="Q31" i="189" a="1"/>
  <c r="P31" i="189" a="1"/>
  <c r="P31" i="189" s="1"/>
  <c r="O31" i="189"/>
  <c r="O31" i="189" a="1"/>
  <c r="N31" i="189" a="1"/>
  <c r="N31" i="189" s="1"/>
  <c r="M31" i="189" a="1"/>
  <c r="M31" i="189" s="1"/>
  <c r="L31" i="189" a="1"/>
  <c r="L31" i="189" s="1"/>
  <c r="K31" i="189" a="1"/>
  <c r="K31" i="189" s="1"/>
  <c r="J31" i="189" a="1"/>
  <c r="J31" i="189" s="1"/>
  <c r="I31" i="189" a="1"/>
  <c r="I31" i="189" s="1"/>
  <c r="H31" i="189" a="1"/>
  <c r="H31" i="189" s="1"/>
  <c r="F31" i="189"/>
  <c r="F31" i="189" a="1"/>
  <c r="E31" i="189"/>
  <c r="E31" i="189" a="1"/>
  <c r="D31" i="189"/>
  <c r="D31" i="189" a="1"/>
  <c r="AA37" i="190" a="1"/>
  <c r="AA37" i="190" s="1"/>
  <c r="Z37" i="190" a="1"/>
  <c r="Z37" i="190" s="1"/>
  <c r="Y37" i="190" a="1"/>
  <c r="Y37" i="190" s="1"/>
  <c r="X37" i="190" a="1"/>
  <c r="X37" i="190" s="1"/>
  <c r="W37" i="190" a="1"/>
  <c r="W37" i="190" s="1"/>
  <c r="V37" i="190" a="1"/>
  <c r="V37" i="190" s="1"/>
  <c r="U37" i="190" a="1"/>
  <c r="U37" i="190" s="1"/>
  <c r="T37" i="190" a="1"/>
  <c r="T37" i="190" s="1"/>
  <c r="S37" i="190" a="1"/>
  <c r="S37" i="190" s="1"/>
  <c r="R37" i="190"/>
  <c r="R37" i="190" a="1"/>
  <c r="Q37" i="190"/>
  <c r="Q37" i="190" a="1"/>
  <c r="P37" i="190"/>
  <c r="P37" i="190" a="1"/>
  <c r="O37" i="190" a="1"/>
  <c r="O37" i="190" s="1"/>
  <c r="N37" i="190"/>
  <c r="N37" i="190" a="1"/>
  <c r="M37" i="190" a="1"/>
  <c r="M37" i="190" s="1"/>
  <c r="L37" i="190" a="1"/>
  <c r="L37" i="190" s="1"/>
  <c r="K37" i="190" a="1"/>
  <c r="K37" i="190" s="1"/>
  <c r="J37" i="190" a="1"/>
  <c r="J37" i="190" s="1"/>
  <c r="I37" i="190" a="1"/>
  <c r="I37" i="190" s="1"/>
  <c r="H37" i="190" a="1"/>
  <c r="H37" i="190" s="1"/>
  <c r="F37" i="190" a="1"/>
  <c r="F37" i="190" s="1"/>
  <c r="E37" i="190"/>
  <c r="E37" i="190" a="1"/>
  <c r="D37" i="190"/>
  <c r="D37" i="190" a="1"/>
  <c r="AA36" i="190"/>
  <c r="AA36" i="190" a="1"/>
  <c r="Z36" i="190" a="1"/>
  <c r="Z36" i="190" s="1"/>
  <c r="Y36" i="190" a="1"/>
  <c r="Y36" i="190" s="1"/>
  <c r="X36" i="190" a="1"/>
  <c r="X36" i="190" s="1"/>
  <c r="W36" i="190" a="1"/>
  <c r="W36" i="190" s="1"/>
  <c r="V36" i="190" a="1"/>
  <c r="V36" i="190" s="1"/>
  <c r="U36" i="190" a="1"/>
  <c r="U36" i="190" s="1"/>
  <c r="T36" i="190" a="1"/>
  <c r="T36" i="190" s="1"/>
  <c r="S36" i="190" a="1"/>
  <c r="S36" i="190" s="1"/>
  <c r="R36" i="190" a="1"/>
  <c r="R36" i="190" s="1"/>
  <c r="Q36" i="190"/>
  <c r="Q36" i="190" a="1"/>
  <c r="P36" i="190"/>
  <c r="P36" i="190" a="1"/>
  <c r="O36" i="190"/>
  <c r="O36" i="190" a="1"/>
  <c r="N36" i="190" a="1"/>
  <c r="N36" i="190" s="1"/>
  <c r="M36" i="190" a="1"/>
  <c r="M36" i="190" s="1"/>
  <c r="L36" i="190" a="1"/>
  <c r="L36" i="190" s="1"/>
  <c r="K36" i="190" a="1"/>
  <c r="K36" i="190" s="1"/>
  <c r="J36" i="190" a="1"/>
  <c r="J36" i="190" s="1"/>
  <c r="I36" i="190" a="1"/>
  <c r="I36" i="190" s="1"/>
  <c r="H36" i="190" a="1"/>
  <c r="H36" i="190" s="1"/>
  <c r="F36" i="190" a="1"/>
  <c r="F36" i="190" s="1"/>
  <c r="E36" i="190" a="1"/>
  <c r="E36" i="190" s="1"/>
  <c r="D36" i="190" a="1"/>
  <c r="D36" i="190" s="1"/>
  <c r="AA35" i="190"/>
  <c r="AA35" i="190" a="1"/>
  <c r="Z35" i="190"/>
  <c r="Z35" i="190" a="1"/>
  <c r="Y35" i="190" a="1"/>
  <c r="Y35" i="190" s="1"/>
  <c r="X35" i="190" a="1"/>
  <c r="X35" i="190" s="1"/>
  <c r="W35" i="190" a="1"/>
  <c r="W35" i="190" s="1"/>
  <c r="V35" i="190" a="1"/>
  <c r="V35" i="190" s="1"/>
  <c r="U35" i="190" a="1"/>
  <c r="U35" i="190" s="1"/>
  <c r="T35" i="190" a="1"/>
  <c r="T35" i="190" s="1"/>
  <c r="S35" i="190" a="1"/>
  <c r="S35" i="190" s="1"/>
  <c r="R35" i="190"/>
  <c r="R35" i="190" a="1"/>
  <c r="Q35" i="190" a="1"/>
  <c r="Q35" i="190" s="1"/>
  <c r="P35" i="190"/>
  <c r="P35" i="190" a="1"/>
  <c r="O35" i="190"/>
  <c r="O35" i="190" a="1"/>
  <c r="N35" i="190"/>
  <c r="N35" i="190" a="1"/>
  <c r="M35" i="190" a="1"/>
  <c r="M35" i="190" s="1"/>
  <c r="L35" i="190" a="1"/>
  <c r="L35" i="190" s="1"/>
  <c r="K35" i="190" a="1"/>
  <c r="K35" i="190" s="1"/>
  <c r="J35" i="190" a="1"/>
  <c r="J35" i="190" s="1"/>
  <c r="I35" i="190" a="1"/>
  <c r="I35" i="190" s="1"/>
  <c r="H35" i="190" a="1"/>
  <c r="H35" i="190" s="1"/>
  <c r="F35" i="190" a="1"/>
  <c r="F35" i="190" s="1"/>
  <c r="E35" i="190" a="1"/>
  <c r="E35" i="190" s="1"/>
  <c r="D35" i="190" a="1"/>
  <c r="D35" i="190" s="1"/>
  <c r="AA34" i="190" a="1"/>
  <c r="AA34" i="190" s="1"/>
  <c r="Z34" i="190"/>
  <c r="Z34" i="190" a="1"/>
  <c r="Y34" i="190" a="1"/>
  <c r="Y34" i="190" s="1"/>
  <c r="X34" i="190" a="1"/>
  <c r="X34" i="190" s="1"/>
  <c r="W34" i="190" a="1"/>
  <c r="W34" i="190" s="1"/>
  <c r="V34" i="190" a="1"/>
  <c r="V34" i="190" s="1"/>
  <c r="U34" i="190" a="1"/>
  <c r="U34" i="190" s="1"/>
  <c r="T34" i="190" a="1"/>
  <c r="T34" i="190" s="1"/>
  <c r="S34" i="190" a="1"/>
  <c r="S34" i="190" s="1"/>
  <c r="R34" i="190" a="1"/>
  <c r="R34" i="190" s="1"/>
  <c r="Q34" i="190"/>
  <c r="Q34" i="190" a="1"/>
  <c r="P34" i="190" a="1"/>
  <c r="P34" i="190" s="1"/>
  <c r="O34" i="190"/>
  <c r="O34" i="190" a="1"/>
  <c r="N34" i="190"/>
  <c r="N34" i="190" a="1"/>
  <c r="M34" i="190" a="1"/>
  <c r="M34" i="190" s="1"/>
  <c r="L34" i="190" a="1"/>
  <c r="L34" i="190" s="1"/>
  <c r="K34" i="190" a="1"/>
  <c r="K34" i="190" s="1"/>
  <c r="J34" i="190" a="1"/>
  <c r="J34" i="190" s="1"/>
  <c r="I34" i="190" a="1"/>
  <c r="I34" i="190" s="1"/>
  <c r="H34" i="190" a="1"/>
  <c r="H34" i="190" s="1"/>
  <c r="F34" i="190"/>
  <c r="F34" i="190" a="1"/>
  <c r="E34" i="190" a="1"/>
  <c r="E34" i="190" s="1"/>
  <c r="D34" i="190" a="1"/>
  <c r="D34" i="190" s="1"/>
  <c r="AA33" i="190" a="1"/>
  <c r="AA33" i="190" s="1"/>
  <c r="Z33" i="190" a="1"/>
  <c r="Z33" i="190" s="1"/>
  <c r="Y33" i="190" a="1"/>
  <c r="Y33" i="190" s="1"/>
  <c r="X33" i="190" a="1"/>
  <c r="X33" i="190" s="1"/>
  <c r="W33" i="190" a="1"/>
  <c r="W33" i="190" s="1"/>
  <c r="V33" i="190" a="1"/>
  <c r="V33" i="190" s="1"/>
  <c r="U33" i="190" a="1"/>
  <c r="U33" i="190" s="1"/>
  <c r="T33" i="190" a="1"/>
  <c r="T33" i="190" s="1"/>
  <c r="S33" i="190" a="1"/>
  <c r="S33" i="190" s="1"/>
  <c r="R33" i="190"/>
  <c r="R33" i="190" a="1"/>
  <c r="Q33" i="190" a="1"/>
  <c r="Q33" i="190" s="1"/>
  <c r="P33" i="190"/>
  <c r="P33" i="190" a="1"/>
  <c r="O33" i="190" a="1"/>
  <c r="O33" i="190" s="1"/>
  <c r="N33" i="190"/>
  <c r="N33" i="190" a="1"/>
  <c r="M33" i="190" a="1"/>
  <c r="M33" i="190" s="1"/>
  <c r="L33" i="190" a="1"/>
  <c r="L33" i="190" s="1"/>
  <c r="K33" i="190" a="1"/>
  <c r="K33" i="190" s="1"/>
  <c r="J33" i="190" a="1"/>
  <c r="J33" i="190" s="1"/>
  <c r="I33" i="190" a="1"/>
  <c r="I33" i="190" s="1"/>
  <c r="H33" i="190" a="1"/>
  <c r="H33" i="190" s="1"/>
  <c r="F33" i="190"/>
  <c r="F33" i="190" a="1"/>
  <c r="E33" i="190"/>
  <c r="E33" i="190" a="1"/>
  <c r="D33" i="190" a="1"/>
  <c r="D33" i="190" s="1"/>
  <c r="AA32" i="190" a="1"/>
  <c r="AA32" i="190" s="1"/>
  <c r="Z32" i="190" a="1"/>
  <c r="Z32" i="190" s="1"/>
  <c r="Y32" i="190" a="1"/>
  <c r="Y32" i="190" s="1"/>
  <c r="X32" i="190" a="1"/>
  <c r="X32" i="190" s="1"/>
  <c r="W32" i="190" a="1"/>
  <c r="W32" i="190" s="1"/>
  <c r="V32" i="190" a="1"/>
  <c r="V32" i="190" s="1"/>
  <c r="U32" i="190" a="1"/>
  <c r="U32" i="190" s="1"/>
  <c r="T32" i="190" a="1"/>
  <c r="T32" i="190" s="1"/>
  <c r="S32" i="190" a="1"/>
  <c r="S32" i="190" s="1"/>
  <c r="R32" i="190"/>
  <c r="R32" i="190" a="1"/>
  <c r="Q32" i="190"/>
  <c r="Q32" i="190" a="1"/>
  <c r="P32" i="190" a="1"/>
  <c r="P32" i="190" s="1"/>
  <c r="O32" i="190"/>
  <c r="O32" i="190" a="1"/>
  <c r="N32" i="190" a="1"/>
  <c r="N32" i="190" s="1"/>
  <c r="M32" i="190" a="1"/>
  <c r="M32" i="190" s="1"/>
  <c r="L32" i="190" a="1"/>
  <c r="L32" i="190" s="1"/>
  <c r="K32" i="190" a="1"/>
  <c r="K32" i="190" s="1"/>
  <c r="J32" i="190" a="1"/>
  <c r="J32" i="190" s="1"/>
  <c r="I32" i="190" a="1"/>
  <c r="I32" i="190" s="1"/>
  <c r="H32" i="190" a="1"/>
  <c r="H32" i="190" s="1"/>
  <c r="F32" i="190"/>
  <c r="F32" i="190" a="1"/>
  <c r="E32" i="190"/>
  <c r="E32" i="190" a="1"/>
  <c r="D32" i="190"/>
  <c r="D32" i="190" a="1"/>
  <c r="AA31" i="190" a="1"/>
  <c r="AA31" i="190" s="1"/>
  <c r="Z31" i="190" a="1"/>
  <c r="Z31" i="190" s="1"/>
  <c r="Y31" i="190" a="1"/>
  <c r="Y31" i="190" s="1"/>
  <c r="X31" i="190" a="1"/>
  <c r="X31" i="190" s="1"/>
  <c r="W31" i="190" a="1"/>
  <c r="W31" i="190" s="1"/>
  <c r="V31" i="190" a="1"/>
  <c r="V31" i="190" s="1"/>
  <c r="U31" i="190" a="1"/>
  <c r="U31" i="190" s="1"/>
  <c r="T31" i="190" a="1"/>
  <c r="T31" i="190" s="1"/>
  <c r="S31" i="190" a="1"/>
  <c r="S31" i="190" s="1"/>
  <c r="R31" i="190"/>
  <c r="R31" i="190" a="1"/>
  <c r="Q31" i="190"/>
  <c r="Q31" i="190" a="1"/>
  <c r="P31" i="190"/>
  <c r="P31" i="190" a="1"/>
  <c r="O31" i="190" a="1"/>
  <c r="O31" i="190" s="1"/>
  <c r="N31" i="190"/>
  <c r="N31" i="190" a="1"/>
  <c r="M31" i="190" a="1"/>
  <c r="M31" i="190" s="1"/>
  <c r="L31" i="190" a="1"/>
  <c r="L31" i="190" s="1"/>
  <c r="K31" i="190" a="1"/>
  <c r="K31" i="190" s="1"/>
  <c r="J31" i="190" a="1"/>
  <c r="J31" i="190" s="1"/>
  <c r="I31" i="190" a="1"/>
  <c r="I31" i="190" s="1"/>
  <c r="H31" i="190" a="1"/>
  <c r="H31" i="190" s="1"/>
  <c r="F31" i="190" a="1"/>
  <c r="F31" i="190" s="1"/>
  <c r="E31" i="190"/>
  <c r="E31" i="190" a="1"/>
  <c r="D31" i="190"/>
  <c r="D31" i="190" a="1"/>
  <c r="AA37" i="191"/>
  <c r="AA37" i="191" a="1"/>
  <c r="Z37" i="191" a="1"/>
  <c r="Z37" i="191" s="1"/>
  <c r="Y37" i="191" a="1"/>
  <c r="Y37" i="191" s="1"/>
  <c r="X37" i="191" a="1"/>
  <c r="X37" i="191" s="1"/>
  <c r="W37" i="191" a="1"/>
  <c r="W37" i="191" s="1"/>
  <c r="V37" i="191" a="1"/>
  <c r="V37" i="191" s="1"/>
  <c r="U37" i="191" a="1"/>
  <c r="U37" i="191" s="1"/>
  <c r="T37" i="191" a="1"/>
  <c r="T37" i="191" s="1"/>
  <c r="S37" i="191" a="1"/>
  <c r="S37" i="191" s="1"/>
  <c r="R37" i="191" a="1"/>
  <c r="R37" i="191" s="1"/>
  <c r="Q37" i="191"/>
  <c r="Q37" i="191" a="1"/>
  <c r="P37" i="191"/>
  <c r="P37" i="191" a="1"/>
  <c r="O37" i="191"/>
  <c r="O37" i="191" a="1"/>
  <c r="N37" i="191" a="1"/>
  <c r="N37" i="191" s="1"/>
  <c r="M37" i="191" a="1"/>
  <c r="M37" i="191" s="1"/>
  <c r="L37" i="191" a="1"/>
  <c r="L37" i="191" s="1"/>
  <c r="K37" i="191" a="1"/>
  <c r="K37" i="191" s="1"/>
  <c r="J37" i="191" a="1"/>
  <c r="J37" i="191" s="1"/>
  <c r="I37" i="191" a="1"/>
  <c r="I37" i="191" s="1"/>
  <c r="H37" i="191" a="1"/>
  <c r="H37" i="191" s="1"/>
  <c r="F37" i="191" a="1"/>
  <c r="F37" i="191" s="1"/>
  <c r="E37" i="191" a="1"/>
  <c r="E37" i="191" s="1"/>
  <c r="D37" i="191" a="1"/>
  <c r="D37" i="191" s="1"/>
  <c r="AA36" i="191"/>
  <c r="AA36" i="191" a="1"/>
  <c r="Z36" i="191"/>
  <c r="Z36" i="191" a="1"/>
  <c r="Y36" i="191" a="1"/>
  <c r="Y36" i="191" s="1"/>
  <c r="X36" i="191" a="1"/>
  <c r="X36" i="191" s="1"/>
  <c r="W36" i="191" a="1"/>
  <c r="W36" i="191" s="1"/>
  <c r="V36" i="191" a="1"/>
  <c r="V36" i="191" s="1"/>
  <c r="U36" i="191" a="1"/>
  <c r="U36" i="191" s="1"/>
  <c r="T36" i="191" a="1"/>
  <c r="T36" i="191" s="1"/>
  <c r="S36" i="191" a="1"/>
  <c r="S36" i="191" s="1"/>
  <c r="R36" i="191"/>
  <c r="R36" i="191" a="1"/>
  <c r="Q36" i="191" a="1"/>
  <c r="Q36" i="191" s="1"/>
  <c r="P36" i="191"/>
  <c r="P36" i="191" a="1"/>
  <c r="O36" i="191"/>
  <c r="O36" i="191" a="1"/>
  <c r="N36" i="191"/>
  <c r="N36" i="191" a="1"/>
  <c r="M36" i="191" a="1"/>
  <c r="M36" i="191" s="1"/>
  <c r="L36" i="191" a="1"/>
  <c r="L36" i="191" s="1"/>
  <c r="K36" i="191" a="1"/>
  <c r="K36" i="191" s="1"/>
  <c r="J36" i="191" a="1"/>
  <c r="J36" i="191" s="1"/>
  <c r="I36" i="191" a="1"/>
  <c r="I36" i="191" s="1"/>
  <c r="H36" i="191" a="1"/>
  <c r="H36" i="191" s="1"/>
  <c r="F36" i="191" a="1"/>
  <c r="F36" i="191" s="1"/>
  <c r="E36" i="191" a="1"/>
  <c r="E36" i="191" s="1"/>
  <c r="D36" i="191" a="1"/>
  <c r="D36" i="191" s="1"/>
  <c r="AA35" i="191" a="1"/>
  <c r="AA35" i="191" s="1"/>
  <c r="Z35" i="191"/>
  <c r="Z35" i="191" a="1"/>
  <c r="Y35" i="191" a="1"/>
  <c r="Y35" i="191" s="1"/>
  <c r="X35" i="191" a="1"/>
  <c r="X35" i="191" s="1"/>
  <c r="W35" i="191" a="1"/>
  <c r="W35" i="191" s="1"/>
  <c r="V35" i="191" a="1"/>
  <c r="V35" i="191" s="1"/>
  <c r="U35" i="191" a="1"/>
  <c r="U35" i="191" s="1"/>
  <c r="T35" i="191" a="1"/>
  <c r="T35" i="191" s="1"/>
  <c r="S35" i="191" a="1"/>
  <c r="S35" i="191" s="1"/>
  <c r="R35" i="191" a="1"/>
  <c r="R35" i="191" s="1"/>
  <c r="Q35" i="191"/>
  <c r="Q35" i="191" a="1"/>
  <c r="P35" i="191" a="1"/>
  <c r="P35" i="191" s="1"/>
  <c r="O35" i="191"/>
  <c r="O35" i="191" a="1"/>
  <c r="N35" i="191"/>
  <c r="N35" i="191" a="1"/>
  <c r="M35" i="191" a="1"/>
  <c r="M35" i="191" s="1"/>
  <c r="L35" i="191" a="1"/>
  <c r="L35" i="191" s="1"/>
  <c r="K35" i="191" a="1"/>
  <c r="K35" i="191" s="1"/>
  <c r="J35" i="191" a="1"/>
  <c r="J35" i="191" s="1"/>
  <c r="I35" i="191" a="1"/>
  <c r="I35" i="191" s="1"/>
  <c r="H35" i="191" a="1"/>
  <c r="H35" i="191" s="1"/>
  <c r="F35" i="191"/>
  <c r="F35" i="191" a="1"/>
  <c r="E35" i="191" a="1"/>
  <c r="E35" i="191" s="1"/>
  <c r="D35" i="191" a="1"/>
  <c r="D35" i="191" s="1"/>
  <c r="AA34" i="191" a="1"/>
  <c r="AA34" i="191" s="1"/>
  <c r="Z34" i="191" a="1"/>
  <c r="Z34" i="191" s="1"/>
  <c r="Y34" i="191" a="1"/>
  <c r="Y34" i="191" s="1"/>
  <c r="X34" i="191" a="1"/>
  <c r="X34" i="191" s="1"/>
  <c r="W34" i="191" a="1"/>
  <c r="W34" i="191" s="1"/>
  <c r="V34" i="191" a="1"/>
  <c r="V34" i="191" s="1"/>
  <c r="U34" i="191" a="1"/>
  <c r="U34" i="191" s="1"/>
  <c r="T34" i="191" a="1"/>
  <c r="T34" i="191" s="1"/>
  <c r="S34" i="191" a="1"/>
  <c r="S34" i="191" s="1"/>
  <c r="R34" i="191"/>
  <c r="R34" i="191" a="1"/>
  <c r="Q34" i="191" a="1"/>
  <c r="Q34" i="191" s="1"/>
  <c r="P34" i="191"/>
  <c r="P34" i="191" a="1"/>
  <c r="O34" i="191" a="1"/>
  <c r="O34" i="191" s="1"/>
  <c r="N34" i="191"/>
  <c r="N34" i="191" a="1"/>
  <c r="M34" i="191" a="1"/>
  <c r="M34" i="191" s="1"/>
  <c r="L34" i="191" a="1"/>
  <c r="L34" i="191" s="1"/>
  <c r="K34" i="191" a="1"/>
  <c r="K34" i="191" s="1"/>
  <c r="J34" i="191" a="1"/>
  <c r="J34" i="191" s="1"/>
  <c r="I34" i="191" a="1"/>
  <c r="I34" i="191" s="1"/>
  <c r="H34" i="191" a="1"/>
  <c r="H34" i="191" s="1"/>
  <c r="F34" i="191"/>
  <c r="F34" i="191" a="1"/>
  <c r="E34" i="191"/>
  <c r="E34" i="191" a="1"/>
  <c r="D34" i="191" a="1"/>
  <c r="D34" i="191" s="1"/>
  <c r="AA33" i="191" a="1"/>
  <c r="AA33" i="191" s="1"/>
  <c r="Z33" i="191" a="1"/>
  <c r="Z33" i="191" s="1"/>
  <c r="Y33" i="191" a="1"/>
  <c r="Y33" i="191" s="1"/>
  <c r="X33" i="191" a="1"/>
  <c r="X33" i="191" s="1"/>
  <c r="W33" i="191" a="1"/>
  <c r="W33" i="191" s="1"/>
  <c r="V33" i="191" a="1"/>
  <c r="V33" i="191" s="1"/>
  <c r="U33" i="191" a="1"/>
  <c r="U33" i="191" s="1"/>
  <c r="T33" i="191" a="1"/>
  <c r="T33" i="191" s="1"/>
  <c r="S33" i="191" a="1"/>
  <c r="S33" i="191" s="1"/>
  <c r="R33" i="191"/>
  <c r="R33" i="191" a="1"/>
  <c r="Q33" i="191"/>
  <c r="Q33" i="191" a="1"/>
  <c r="P33" i="191" a="1"/>
  <c r="P33" i="191" s="1"/>
  <c r="O33" i="191"/>
  <c r="O33" i="191" a="1"/>
  <c r="N33" i="191" a="1"/>
  <c r="N33" i="191" s="1"/>
  <c r="M33" i="191" a="1"/>
  <c r="M33" i="191" s="1"/>
  <c r="L33" i="191" a="1"/>
  <c r="L33" i="191" s="1"/>
  <c r="K33" i="191" a="1"/>
  <c r="K33" i="191" s="1"/>
  <c r="J33" i="191" a="1"/>
  <c r="J33" i="191" s="1"/>
  <c r="I33" i="191" a="1"/>
  <c r="I33" i="191" s="1"/>
  <c r="H33" i="191" a="1"/>
  <c r="H33" i="191" s="1"/>
  <c r="F33" i="191" a="1"/>
  <c r="F33" i="191" s="1"/>
  <c r="E33" i="191"/>
  <c r="E33" i="191" a="1"/>
  <c r="D33" i="191"/>
  <c r="D33" i="191" a="1"/>
  <c r="AA32" i="191" a="1"/>
  <c r="AA32" i="191" s="1"/>
  <c r="Z32" i="191" a="1"/>
  <c r="Z32" i="191" s="1"/>
  <c r="Y32" i="191" a="1"/>
  <c r="Y32" i="191" s="1"/>
  <c r="X32" i="191" a="1"/>
  <c r="X32" i="191" s="1"/>
  <c r="W32" i="191" a="1"/>
  <c r="W32" i="191" s="1"/>
  <c r="V32" i="191" a="1"/>
  <c r="V32" i="191" s="1"/>
  <c r="U32" i="191" a="1"/>
  <c r="U32" i="191" s="1"/>
  <c r="T32" i="191" a="1"/>
  <c r="T32" i="191" s="1"/>
  <c r="S32" i="191" a="1"/>
  <c r="S32" i="191" s="1"/>
  <c r="R32" i="191"/>
  <c r="R32" i="191" a="1"/>
  <c r="Q32" i="191"/>
  <c r="Q32" i="191" a="1"/>
  <c r="P32" i="191"/>
  <c r="P32" i="191" a="1"/>
  <c r="O32" i="191" a="1"/>
  <c r="O32" i="191" s="1"/>
  <c r="N32" i="191" a="1"/>
  <c r="N32" i="191" s="1"/>
  <c r="M32" i="191" a="1"/>
  <c r="M32" i="191" s="1"/>
  <c r="L32" i="191" a="1"/>
  <c r="L32" i="191" s="1"/>
  <c r="K32" i="191" a="1"/>
  <c r="K32" i="191" s="1"/>
  <c r="J32" i="191" a="1"/>
  <c r="J32" i="191" s="1"/>
  <c r="I32" i="191" a="1"/>
  <c r="I32" i="191" s="1"/>
  <c r="H32" i="191" a="1"/>
  <c r="H32" i="191" s="1"/>
  <c r="F32" i="191" a="1"/>
  <c r="F32" i="191" s="1"/>
  <c r="E32" i="191" a="1"/>
  <c r="E32" i="191" s="1"/>
  <c r="D32" i="191"/>
  <c r="D32" i="191" a="1"/>
  <c r="AA31" i="191"/>
  <c r="AA31" i="191" a="1"/>
  <c r="Z31" i="191" a="1"/>
  <c r="Z31" i="191" s="1"/>
  <c r="Y31" i="191" a="1"/>
  <c r="Y31" i="191" s="1"/>
  <c r="X31" i="191" a="1"/>
  <c r="X31" i="191" s="1"/>
  <c r="W31" i="191" a="1"/>
  <c r="W31" i="191" s="1"/>
  <c r="V31" i="191" a="1"/>
  <c r="V31" i="191" s="1"/>
  <c r="U31" i="191" a="1"/>
  <c r="U31" i="191" s="1"/>
  <c r="T31" i="191" a="1"/>
  <c r="T31" i="191" s="1"/>
  <c r="S31" i="191" a="1"/>
  <c r="S31" i="191" s="1"/>
  <c r="R31" i="191" a="1"/>
  <c r="R31" i="191" s="1"/>
  <c r="Q31" i="191"/>
  <c r="Q31" i="191" a="1"/>
  <c r="P31" i="191"/>
  <c r="P31" i="191" a="1"/>
  <c r="O31" i="191"/>
  <c r="O31" i="191" a="1"/>
  <c r="N31" i="191" a="1"/>
  <c r="N31" i="191" s="1"/>
  <c r="M31" i="191" a="1"/>
  <c r="M31" i="191" s="1"/>
  <c r="L31" i="191" a="1"/>
  <c r="L31" i="191" s="1"/>
  <c r="K31" i="191" a="1"/>
  <c r="K31" i="191" s="1"/>
  <c r="J31" i="191" a="1"/>
  <c r="J31" i="191" s="1"/>
  <c r="I31" i="191" a="1"/>
  <c r="I31" i="191" s="1"/>
  <c r="H31" i="191" a="1"/>
  <c r="H31" i="191" s="1"/>
  <c r="F31" i="191" a="1"/>
  <c r="F31" i="191" s="1"/>
  <c r="E31" i="191" a="1"/>
  <c r="E31" i="191" s="1"/>
  <c r="D31" i="191" a="1"/>
  <c r="D31" i="191" s="1"/>
  <c r="AA37" i="192"/>
  <c r="AA37" i="192" a="1"/>
  <c r="Z37" i="192"/>
  <c r="Z37" i="192" a="1"/>
  <c r="Y37" i="192" a="1"/>
  <c r="Y37" i="192" s="1"/>
  <c r="X37" i="192" a="1"/>
  <c r="X37" i="192" s="1"/>
  <c r="W37" i="192" a="1"/>
  <c r="W37" i="192" s="1"/>
  <c r="V37" i="192" a="1"/>
  <c r="V37" i="192" s="1"/>
  <c r="U37" i="192" a="1"/>
  <c r="U37" i="192" s="1"/>
  <c r="T37" i="192" a="1"/>
  <c r="T37" i="192" s="1"/>
  <c r="S37" i="192" a="1"/>
  <c r="S37" i="192" s="1"/>
  <c r="R37" i="192" a="1"/>
  <c r="R37" i="192" s="1"/>
  <c r="Q37" i="192" a="1"/>
  <c r="Q37" i="192" s="1"/>
  <c r="P37" i="192"/>
  <c r="P37" i="192" a="1"/>
  <c r="O37" i="192"/>
  <c r="O37" i="192" a="1"/>
  <c r="N37" i="192"/>
  <c r="N37" i="192" a="1"/>
  <c r="M37" i="192" a="1"/>
  <c r="M37" i="192" s="1"/>
  <c r="L37" i="192" a="1"/>
  <c r="L37" i="192" s="1"/>
  <c r="K37" i="192" a="1"/>
  <c r="K37" i="192" s="1"/>
  <c r="J37" i="192" a="1"/>
  <c r="J37" i="192" s="1"/>
  <c r="I37" i="192" a="1"/>
  <c r="I37" i="192" s="1"/>
  <c r="H37" i="192" a="1"/>
  <c r="H37" i="192" s="1"/>
  <c r="F37" i="192" a="1"/>
  <c r="F37" i="192" s="1"/>
  <c r="E37" i="192" a="1"/>
  <c r="E37" i="192" s="1"/>
  <c r="D37" i="192" a="1"/>
  <c r="D37" i="192" s="1"/>
  <c r="AA36" i="192"/>
  <c r="AA36" i="192" a="1"/>
  <c r="Z36" i="192"/>
  <c r="Z36" i="192" a="1"/>
  <c r="Y36" i="192" a="1"/>
  <c r="Y36" i="192" s="1"/>
  <c r="X36" i="192" a="1"/>
  <c r="X36" i="192" s="1"/>
  <c r="W36" i="192" a="1"/>
  <c r="W36" i="192" s="1"/>
  <c r="V36" i="192" a="1"/>
  <c r="V36" i="192" s="1"/>
  <c r="U36" i="192" a="1"/>
  <c r="U36" i="192" s="1"/>
  <c r="T36" i="192" a="1"/>
  <c r="T36" i="192" s="1"/>
  <c r="S36" i="192" a="1"/>
  <c r="S36" i="192" s="1"/>
  <c r="R36" i="192" a="1"/>
  <c r="R36" i="192" s="1"/>
  <c r="Q36" i="192" a="1"/>
  <c r="Q36" i="192" s="1"/>
  <c r="P36" i="192" a="1"/>
  <c r="P36" i="192" s="1"/>
  <c r="O36" i="192"/>
  <c r="O36" i="192" a="1"/>
  <c r="N36" i="192"/>
  <c r="N36" i="192" a="1"/>
  <c r="M36" i="192" a="1"/>
  <c r="M36" i="192" s="1"/>
  <c r="L36" i="192" a="1"/>
  <c r="L36" i="192" s="1"/>
  <c r="K36" i="192" a="1"/>
  <c r="K36" i="192" s="1"/>
  <c r="J36" i="192" a="1"/>
  <c r="J36" i="192" s="1"/>
  <c r="I36" i="192" a="1"/>
  <c r="I36" i="192" s="1"/>
  <c r="H36" i="192" a="1"/>
  <c r="H36" i="192" s="1"/>
  <c r="F36" i="192"/>
  <c r="F36" i="192" a="1"/>
  <c r="E36" i="192" a="1"/>
  <c r="E36" i="192" s="1"/>
  <c r="D36" i="192" a="1"/>
  <c r="D36" i="192" s="1"/>
  <c r="AA35" i="192" a="1"/>
  <c r="AA35" i="192" s="1"/>
  <c r="Z35" i="192" a="1"/>
  <c r="Z35" i="192" s="1"/>
  <c r="Y35" i="192" a="1"/>
  <c r="Y35" i="192" s="1"/>
  <c r="X35" i="192" a="1"/>
  <c r="X35" i="192" s="1"/>
  <c r="W35" i="192" a="1"/>
  <c r="W35" i="192" s="1"/>
  <c r="V35" i="192" a="1"/>
  <c r="V35" i="192" s="1"/>
  <c r="U35" i="192" a="1"/>
  <c r="U35" i="192" s="1"/>
  <c r="T35" i="192" a="1"/>
  <c r="T35" i="192" s="1"/>
  <c r="S35" i="192" a="1"/>
  <c r="S35" i="192" s="1"/>
  <c r="R35" i="192"/>
  <c r="R35" i="192" a="1"/>
  <c r="Q35" i="192"/>
  <c r="Q35" i="192" a="1"/>
  <c r="P35" i="192"/>
  <c r="P35" i="192" a="1"/>
  <c r="O35" i="192"/>
  <c r="O35" i="192" a="1"/>
  <c r="N35" i="192"/>
  <c r="N35" i="192" a="1"/>
  <c r="M35" i="192" a="1"/>
  <c r="M35" i="192" s="1"/>
  <c r="L35" i="192" a="1"/>
  <c r="L35" i="192" s="1"/>
  <c r="K35" i="192" a="1"/>
  <c r="K35" i="192" s="1"/>
  <c r="J35" i="192" a="1"/>
  <c r="J35" i="192" s="1"/>
  <c r="I35" i="192" a="1"/>
  <c r="I35" i="192" s="1"/>
  <c r="H35" i="192" a="1"/>
  <c r="H35" i="192" s="1"/>
  <c r="F35" i="192" a="1"/>
  <c r="F35" i="192" s="1"/>
  <c r="E35" i="192" a="1"/>
  <c r="E35" i="192" s="1"/>
  <c r="D35" i="192"/>
  <c r="D35" i="192" a="1"/>
  <c r="AA34" i="192" a="1"/>
  <c r="AA34" i="192" s="1"/>
  <c r="Z34" i="192" a="1"/>
  <c r="Z34" i="192" s="1"/>
  <c r="Y34" i="192" a="1"/>
  <c r="Y34" i="192" s="1"/>
  <c r="X34" i="192" a="1"/>
  <c r="X34" i="192" s="1"/>
  <c r="W34" i="192" a="1"/>
  <c r="W34" i="192" s="1"/>
  <c r="V34" i="192" a="1"/>
  <c r="V34" i="192" s="1"/>
  <c r="U34" i="192" a="1"/>
  <c r="U34" i="192" s="1"/>
  <c r="T34" i="192" a="1"/>
  <c r="T34" i="192" s="1"/>
  <c r="S34" i="192" a="1"/>
  <c r="S34" i="192" s="1"/>
  <c r="R34" i="192"/>
  <c r="R34" i="192" a="1"/>
  <c r="Q34" i="192"/>
  <c r="Q34" i="192" a="1"/>
  <c r="P34" i="192"/>
  <c r="P34" i="192" a="1"/>
  <c r="O34" i="192"/>
  <c r="O34" i="192" a="1"/>
  <c r="N34" i="192"/>
  <c r="N34" i="192" a="1"/>
  <c r="M34" i="192" a="1"/>
  <c r="M34" i="192" s="1"/>
  <c r="L34" i="192" a="1"/>
  <c r="L34" i="192" s="1"/>
  <c r="K34" i="192" a="1"/>
  <c r="K34" i="192" s="1"/>
  <c r="J34" i="192" a="1"/>
  <c r="J34" i="192" s="1"/>
  <c r="I34" i="192" a="1"/>
  <c r="I34" i="192" s="1"/>
  <c r="H34" i="192" a="1"/>
  <c r="H34" i="192" s="1"/>
  <c r="F34" i="192" a="1"/>
  <c r="F34" i="192" s="1"/>
  <c r="E34" i="192" a="1"/>
  <c r="E34" i="192" s="1"/>
  <c r="D34" i="192"/>
  <c r="D34" i="192" a="1"/>
  <c r="AA33" i="192"/>
  <c r="AA33" i="192" a="1"/>
  <c r="Z33" i="192"/>
  <c r="Z33" i="192" a="1"/>
  <c r="Y33" i="192" a="1"/>
  <c r="Y33" i="192" s="1"/>
  <c r="X33" i="192" a="1"/>
  <c r="X33" i="192" s="1"/>
  <c r="W33" i="192" a="1"/>
  <c r="W33" i="192" s="1"/>
  <c r="V33" i="192" a="1"/>
  <c r="V33" i="192" s="1"/>
  <c r="U33" i="192" a="1"/>
  <c r="U33" i="192" s="1"/>
  <c r="T33" i="192"/>
  <c r="T33" i="192" a="1"/>
  <c r="S33" i="192" a="1"/>
  <c r="S33" i="192" s="1"/>
  <c r="R33" i="192" a="1"/>
  <c r="R33" i="192" s="1"/>
  <c r="Q33" i="192" a="1"/>
  <c r="Q33" i="192" s="1"/>
  <c r="P33" i="192" a="1"/>
  <c r="P33" i="192" s="1"/>
  <c r="O33" i="192"/>
  <c r="O33" i="192" a="1"/>
  <c r="N33" i="192" a="1"/>
  <c r="N33" i="192" s="1"/>
  <c r="M33" i="192" a="1"/>
  <c r="M33" i="192" s="1"/>
  <c r="L33" i="192"/>
  <c r="L33" i="192" a="1"/>
  <c r="K33" i="192"/>
  <c r="K33" i="192" a="1"/>
  <c r="J33" i="192"/>
  <c r="J33" i="192" a="1"/>
  <c r="I33" i="192" a="1"/>
  <c r="I33" i="192" s="1"/>
  <c r="H33" i="192" a="1"/>
  <c r="H33" i="192" s="1"/>
  <c r="F33" i="192" a="1"/>
  <c r="F33" i="192" s="1"/>
  <c r="E33" i="192" a="1"/>
  <c r="E33" i="192" s="1"/>
  <c r="D33" i="192" a="1"/>
  <c r="D33" i="192" s="1"/>
  <c r="AA32" i="192" a="1"/>
  <c r="AA32" i="192" s="1"/>
  <c r="Z32" i="192" a="1"/>
  <c r="Z32" i="192" s="1"/>
  <c r="Y32" i="192" a="1"/>
  <c r="Y32" i="192" s="1"/>
  <c r="X32" i="192"/>
  <c r="X32" i="192" a="1"/>
  <c r="W32" i="192" a="1"/>
  <c r="W32" i="192" s="1"/>
  <c r="V32" i="192" a="1"/>
  <c r="V32" i="192" s="1"/>
  <c r="U32" i="192"/>
  <c r="U32" i="192" a="1"/>
  <c r="T32" i="192" a="1"/>
  <c r="T32" i="192" s="1"/>
  <c r="S32" i="192" a="1"/>
  <c r="S32" i="192" s="1"/>
  <c r="R32" i="192" a="1"/>
  <c r="R32" i="192" s="1"/>
  <c r="Q32" i="192" a="1"/>
  <c r="Q32" i="192" s="1"/>
  <c r="P32" i="192" a="1"/>
  <c r="P32" i="192" s="1"/>
  <c r="O32" i="192" a="1"/>
  <c r="O32" i="192" s="1"/>
  <c r="N32" i="192" a="1"/>
  <c r="N32" i="192" s="1"/>
  <c r="M32" i="192" a="1"/>
  <c r="M32" i="192" s="1"/>
  <c r="L32" i="192" a="1"/>
  <c r="L32" i="192" s="1"/>
  <c r="K32" i="192" a="1"/>
  <c r="K32" i="192" s="1"/>
  <c r="J32" i="192" a="1"/>
  <c r="J32" i="192" s="1"/>
  <c r="I32" i="192" a="1"/>
  <c r="I32" i="192" s="1"/>
  <c r="H32" i="192" a="1"/>
  <c r="H32" i="192" s="1"/>
  <c r="F32" i="192" a="1"/>
  <c r="F32" i="192" s="1"/>
  <c r="E32" i="192" a="1"/>
  <c r="E32" i="192" s="1"/>
  <c r="D32" i="192" a="1"/>
  <c r="D32" i="192" s="1"/>
  <c r="AA31" i="192" a="1"/>
  <c r="AA31" i="192" s="1"/>
  <c r="Z31" i="192" a="1"/>
  <c r="Z31" i="192" s="1"/>
  <c r="Y31" i="192" a="1"/>
  <c r="Y31" i="192" s="1"/>
  <c r="X31" i="192" a="1"/>
  <c r="X31" i="192" s="1"/>
  <c r="W31" i="192" a="1"/>
  <c r="W31" i="192" s="1"/>
  <c r="V31" i="192" a="1"/>
  <c r="V31" i="192" s="1"/>
  <c r="U31" i="192" a="1"/>
  <c r="U31" i="192" s="1"/>
  <c r="T31" i="192"/>
  <c r="T31" i="192" a="1"/>
  <c r="S31" i="192" a="1"/>
  <c r="S31" i="192" s="1"/>
  <c r="R31" i="192" a="1"/>
  <c r="R31" i="192" s="1"/>
  <c r="Q31" i="192" a="1"/>
  <c r="Q31" i="192" s="1"/>
  <c r="P31" i="192" a="1"/>
  <c r="P31" i="192" s="1"/>
  <c r="O31" i="192" a="1"/>
  <c r="O31" i="192" s="1"/>
  <c r="N31" i="192" a="1"/>
  <c r="N31" i="192" s="1"/>
  <c r="M31" i="192" a="1"/>
  <c r="M31" i="192" s="1"/>
  <c r="L31" i="192" a="1"/>
  <c r="L31" i="192" s="1"/>
  <c r="K31" i="192" a="1"/>
  <c r="K31" i="192" s="1"/>
  <c r="J31" i="192" a="1"/>
  <c r="J31" i="192" s="1"/>
  <c r="I31" i="192" a="1"/>
  <c r="I31" i="192" s="1"/>
  <c r="H31" i="192" a="1"/>
  <c r="H31" i="192" s="1"/>
  <c r="F31" i="192" a="1"/>
  <c r="F31" i="192" s="1"/>
  <c r="E31" i="192" a="1"/>
  <c r="E31" i="192" s="1"/>
  <c r="D31" i="192"/>
  <c r="D31" i="192" a="1"/>
  <c r="AA37" i="193" a="1"/>
  <c r="AA37" i="193" s="1"/>
  <c r="Z37" i="193" a="1"/>
  <c r="Z37" i="193" s="1"/>
  <c r="Y37" i="193" a="1"/>
  <c r="Y37" i="193" s="1"/>
  <c r="X37" i="193" a="1"/>
  <c r="X37" i="193" s="1"/>
  <c r="W37" i="193" a="1"/>
  <c r="W37" i="193" s="1"/>
  <c r="V37" i="193" a="1"/>
  <c r="V37" i="193" s="1"/>
  <c r="U37" i="193" a="1"/>
  <c r="U37" i="193" s="1"/>
  <c r="T37" i="193" a="1"/>
  <c r="T37" i="193" s="1"/>
  <c r="S37" i="193" a="1"/>
  <c r="S37" i="193" s="1"/>
  <c r="R37" i="193" a="1"/>
  <c r="R37" i="193" s="1"/>
  <c r="Q37" i="193" a="1"/>
  <c r="Q37" i="193" s="1"/>
  <c r="P37" i="193" a="1"/>
  <c r="P37" i="193" s="1"/>
  <c r="O37" i="193" a="1"/>
  <c r="O37" i="193" s="1"/>
  <c r="N37" i="193" a="1"/>
  <c r="N37" i="193" s="1"/>
  <c r="M37" i="193" a="1"/>
  <c r="M37" i="193" s="1"/>
  <c r="L37" i="193" a="1"/>
  <c r="L37" i="193" s="1"/>
  <c r="K37" i="193" a="1"/>
  <c r="K37" i="193" s="1"/>
  <c r="J37" i="193" a="1"/>
  <c r="J37" i="193" s="1"/>
  <c r="I37" i="193" a="1"/>
  <c r="I37" i="193" s="1"/>
  <c r="H37" i="193" a="1"/>
  <c r="H37" i="193" s="1"/>
  <c r="F37" i="193" a="1"/>
  <c r="F37" i="193" s="1"/>
  <c r="E37" i="193" a="1"/>
  <c r="E37" i="193" s="1"/>
  <c r="D37" i="193" a="1"/>
  <c r="D37" i="193" s="1"/>
  <c r="AA36" i="193" a="1"/>
  <c r="AA36" i="193" s="1"/>
  <c r="Z36" i="193"/>
  <c r="Z36" i="193" a="1"/>
  <c r="Y36" i="193" a="1"/>
  <c r="Y36" i="193" s="1"/>
  <c r="X36" i="193" a="1"/>
  <c r="X36" i="193" s="1"/>
  <c r="W36" i="193"/>
  <c r="W36" i="193" a="1"/>
  <c r="V36" i="193" a="1"/>
  <c r="V36" i="193" s="1"/>
  <c r="U36" i="193" a="1"/>
  <c r="U36" i="193" s="1"/>
  <c r="T36" i="193" a="1"/>
  <c r="T36" i="193" s="1"/>
  <c r="S36" i="193" a="1"/>
  <c r="S36" i="193" s="1"/>
  <c r="R36" i="193" a="1"/>
  <c r="R36" i="193" s="1"/>
  <c r="Q36" i="193" a="1"/>
  <c r="Q36" i="193" s="1"/>
  <c r="P36" i="193" a="1"/>
  <c r="P36" i="193" s="1"/>
  <c r="O36" i="193" a="1"/>
  <c r="O36" i="193" s="1"/>
  <c r="N36" i="193" a="1"/>
  <c r="N36" i="193" s="1"/>
  <c r="M36" i="193" a="1"/>
  <c r="M36" i="193" s="1"/>
  <c r="L36" i="193" a="1"/>
  <c r="L36" i="193" s="1"/>
  <c r="K36" i="193"/>
  <c r="K36" i="193" a="1"/>
  <c r="J36" i="193"/>
  <c r="J36" i="193" a="1"/>
  <c r="I36" i="193"/>
  <c r="I36" i="193" a="1"/>
  <c r="H36" i="193"/>
  <c r="H36" i="193" a="1"/>
  <c r="F36" i="193"/>
  <c r="F36" i="193" a="1"/>
  <c r="E36" i="193" a="1"/>
  <c r="E36" i="193" s="1"/>
  <c r="D36" i="193" a="1"/>
  <c r="D36" i="193" s="1"/>
  <c r="AA35" i="193" a="1"/>
  <c r="AA35" i="193" s="1"/>
  <c r="Z35" i="193" a="1"/>
  <c r="Z35" i="193" s="1"/>
  <c r="Y35" i="193" a="1"/>
  <c r="Y35" i="193" s="1"/>
  <c r="X35" i="193" a="1"/>
  <c r="X35" i="193" s="1"/>
  <c r="W35" i="193" a="1"/>
  <c r="W35" i="193" s="1"/>
  <c r="V35" i="193"/>
  <c r="V35" i="193" a="1"/>
  <c r="U35" i="193"/>
  <c r="U35" i="193" a="1"/>
  <c r="T35" i="193"/>
  <c r="T35" i="193" a="1"/>
  <c r="S35" i="193" a="1"/>
  <c r="S35" i="193" s="1"/>
  <c r="R35" i="193" a="1"/>
  <c r="R35" i="193" s="1"/>
  <c r="Q35" i="193"/>
  <c r="Q35" i="193" a="1"/>
  <c r="P35" i="193" a="1"/>
  <c r="P35" i="193" s="1"/>
  <c r="O35" i="193" a="1"/>
  <c r="O35" i="193" s="1"/>
  <c r="N35" i="193" a="1"/>
  <c r="N35" i="193" s="1"/>
  <c r="M35" i="193" a="1"/>
  <c r="M35" i="193" s="1"/>
  <c r="L35" i="193" a="1"/>
  <c r="L35" i="193" s="1"/>
  <c r="K35" i="193" a="1"/>
  <c r="K35" i="193" s="1"/>
  <c r="J35" i="193" a="1"/>
  <c r="J35" i="193" s="1"/>
  <c r="I35" i="193"/>
  <c r="I35" i="193" a="1"/>
  <c r="H35" i="193"/>
  <c r="H35" i="193" a="1"/>
  <c r="F35" i="193" a="1"/>
  <c r="F35" i="193" s="1"/>
  <c r="E35" i="193" a="1"/>
  <c r="E35" i="193" s="1"/>
  <c r="D35" i="193" a="1"/>
  <c r="D35" i="193" s="1"/>
  <c r="AA34" i="193"/>
  <c r="AA34" i="193" a="1"/>
  <c r="Z34" i="193" a="1"/>
  <c r="Z34" i="193" s="1"/>
  <c r="Y34" i="193" a="1"/>
  <c r="Y34" i="193" s="1"/>
  <c r="X34" i="193" a="1"/>
  <c r="X34" i="193" s="1"/>
  <c r="W34" i="193" a="1"/>
  <c r="W34" i="193" s="1"/>
  <c r="V34" i="193" a="1"/>
  <c r="V34" i="193" s="1"/>
  <c r="U34" i="193" a="1"/>
  <c r="U34" i="193" s="1"/>
  <c r="T34" i="193" a="1"/>
  <c r="T34" i="193" s="1"/>
  <c r="S34" i="193" a="1"/>
  <c r="S34" i="193" s="1"/>
  <c r="R34" i="193" a="1"/>
  <c r="R34" i="193" s="1"/>
  <c r="Q34" i="193" a="1"/>
  <c r="Q34" i="193" s="1"/>
  <c r="P34" i="193" a="1"/>
  <c r="P34" i="193" s="1"/>
  <c r="O34" i="193" a="1"/>
  <c r="O34" i="193" s="1"/>
  <c r="N34" i="193" a="1"/>
  <c r="N34" i="193" s="1"/>
  <c r="M34" i="193" a="1"/>
  <c r="M34" i="193" s="1"/>
  <c r="L34" i="193" a="1"/>
  <c r="L34" i="193" s="1"/>
  <c r="K34" i="193" a="1"/>
  <c r="K34" i="193" s="1"/>
  <c r="J34" i="193"/>
  <c r="J34" i="193" a="1"/>
  <c r="I34" i="193" a="1"/>
  <c r="I34" i="193" s="1"/>
  <c r="H34" i="193" a="1"/>
  <c r="H34" i="193" s="1"/>
  <c r="F34" i="193" a="1"/>
  <c r="F34" i="193" s="1"/>
  <c r="E34" i="193" a="1"/>
  <c r="E34" i="193" s="1"/>
  <c r="D34" i="193" a="1"/>
  <c r="D34" i="193" s="1"/>
  <c r="AA33" i="193" a="1"/>
  <c r="AA33" i="193" s="1"/>
  <c r="Z33" i="193"/>
  <c r="Z33" i="193" a="1"/>
  <c r="Y33" i="193" a="1"/>
  <c r="Y33" i="193" s="1"/>
  <c r="X33" i="193" a="1"/>
  <c r="X33" i="193" s="1"/>
  <c r="W33" i="193" a="1"/>
  <c r="W33" i="193" s="1"/>
  <c r="V33" i="193" a="1"/>
  <c r="V33" i="193" s="1"/>
  <c r="U33" i="193" a="1"/>
  <c r="U33" i="193" s="1"/>
  <c r="T33" i="193" a="1"/>
  <c r="T33" i="193" s="1"/>
  <c r="S33" i="193" a="1"/>
  <c r="S33" i="193" s="1"/>
  <c r="R33" i="193" a="1"/>
  <c r="R33" i="193" s="1"/>
  <c r="Q33" i="193" a="1"/>
  <c r="Q33" i="193" s="1"/>
  <c r="P33" i="193" a="1"/>
  <c r="P33" i="193" s="1"/>
  <c r="O33" i="193" a="1"/>
  <c r="O33" i="193" s="1"/>
  <c r="N33" i="193" a="1"/>
  <c r="N33" i="193" s="1"/>
  <c r="M33" i="193" a="1"/>
  <c r="M33" i="193" s="1"/>
  <c r="L33" i="193" a="1"/>
  <c r="L33" i="193" s="1"/>
  <c r="K33" i="193"/>
  <c r="K33" i="193" a="1"/>
  <c r="J33" i="193"/>
  <c r="J33" i="193" a="1"/>
  <c r="I33" i="193"/>
  <c r="I33" i="193" a="1"/>
  <c r="H33" i="193"/>
  <c r="H33" i="193" a="1"/>
  <c r="F33" i="193" a="1"/>
  <c r="F33" i="193" s="1"/>
  <c r="E33" i="193" a="1"/>
  <c r="E33" i="193" s="1"/>
  <c r="D33" i="193" a="1"/>
  <c r="D33" i="193" s="1"/>
  <c r="AA32" i="193" a="1"/>
  <c r="AA32" i="193" s="1"/>
  <c r="Z32" i="193" a="1"/>
  <c r="Z32" i="193" s="1"/>
  <c r="Y32" i="193" a="1"/>
  <c r="Y32" i="193" s="1"/>
  <c r="X32" i="193" a="1"/>
  <c r="X32" i="193" s="1"/>
  <c r="W32" i="193" a="1"/>
  <c r="W32" i="193" s="1"/>
  <c r="V32" i="193"/>
  <c r="V32" i="193" a="1"/>
  <c r="U32" i="193"/>
  <c r="U32" i="193" a="1"/>
  <c r="T32" i="193"/>
  <c r="T32" i="193" a="1"/>
  <c r="S32" i="193" a="1"/>
  <c r="S32" i="193" s="1"/>
  <c r="R32" i="193" a="1"/>
  <c r="R32" i="193" s="1"/>
  <c r="Q32" i="193"/>
  <c r="Q32" i="193" a="1"/>
  <c r="P32" i="193"/>
  <c r="P32" i="193" a="1"/>
  <c r="O32" i="193" a="1"/>
  <c r="O32" i="193" s="1"/>
  <c r="N32" i="193" a="1"/>
  <c r="N32" i="193" s="1"/>
  <c r="M32" i="193" a="1"/>
  <c r="M32" i="193" s="1"/>
  <c r="L32" i="193" a="1"/>
  <c r="L32" i="193" s="1"/>
  <c r="K32" i="193" a="1"/>
  <c r="K32" i="193" s="1"/>
  <c r="J32" i="193" a="1"/>
  <c r="J32" i="193" s="1"/>
  <c r="I32" i="193"/>
  <c r="I32" i="193" a="1"/>
  <c r="H32" i="193"/>
  <c r="H32" i="193" a="1"/>
  <c r="F32" i="193" a="1"/>
  <c r="F32" i="193" s="1"/>
  <c r="E32" i="193" a="1"/>
  <c r="E32" i="193" s="1"/>
  <c r="D32" i="193" a="1"/>
  <c r="D32" i="193" s="1"/>
  <c r="AA31" i="193" a="1"/>
  <c r="AA31" i="193" s="1"/>
  <c r="Z31" i="193" a="1"/>
  <c r="Z31" i="193" s="1"/>
  <c r="Y31" i="193" a="1"/>
  <c r="Y31" i="193" s="1"/>
  <c r="X31" i="193" a="1"/>
  <c r="X31" i="193" s="1"/>
  <c r="W31" i="193" a="1"/>
  <c r="W31" i="193" s="1"/>
  <c r="V31" i="193" a="1"/>
  <c r="V31" i="193" s="1"/>
  <c r="U31" i="193" a="1"/>
  <c r="U31" i="193" s="1"/>
  <c r="T31" i="193"/>
  <c r="T31" i="193" a="1"/>
  <c r="S31" i="193" a="1"/>
  <c r="S31" i="193" s="1"/>
  <c r="R31" i="193" a="1"/>
  <c r="R31" i="193" s="1"/>
  <c r="Q31" i="193" a="1"/>
  <c r="Q31" i="193" s="1"/>
  <c r="P31" i="193" a="1"/>
  <c r="P31" i="193" s="1"/>
  <c r="O31" i="193"/>
  <c r="O31" i="193" a="1"/>
  <c r="N31" i="193"/>
  <c r="N31" i="193" a="1"/>
  <c r="M31" i="193" a="1"/>
  <c r="M31" i="193" s="1"/>
  <c r="L31" i="193" a="1"/>
  <c r="L31" i="193" s="1"/>
  <c r="K31" i="193" a="1"/>
  <c r="K31" i="193" s="1"/>
  <c r="J31" i="193"/>
  <c r="J31" i="193" a="1"/>
  <c r="I31" i="193"/>
  <c r="I31" i="193" a="1"/>
  <c r="H31" i="193" a="1"/>
  <c r="H31" i="193" s="1"/>
  <c r="F31" i="193" a="1"/>
  <c r="F31" i="193" s="1"/>
  <c r="E31" i="193" a="1"/>
  <c r="E31" i="193" s="1"/>
  <c r="D31" i="193"/>
  <c r="D31" i="193" a="1"/>
  <c r="AA37" i="194" a="1"/>
  <c r="AA37" i="194" s="1"/>
  <c r="Z37" i="194" a="1"/>
  <c r="Z37" i="194" s="1"/>
  <c r="Y37" i="194" a="1"/>
  <c r="Y37" i="194" s="1"/>
  <c r="X37" i="194"/>
  <c r="X37" i="194" a="1"/>
  <c r="W37" i="194"/>
  <c r="W37" i="194" a="1"/>
  <c r="V37" i="194" a="1"/>
  <c r="V37" i="194" s="1"/>
  <c r="U37" i="194" a="1"/>
  <c r="U37" i="194" s="1"/>
  <c r="T37" i="194" a="1"/>
  <c r="T37" i="194" s="1"/>
  <c r="S37" i="194" a="1"/>
  <c r="S37" i="194" s="1"/>
  <c r="R37" i="194" a="1"/>
  <c r="R37" i="194" s="1"/>
  <c r="Q37" i="194" a="1"/>
  <c r="Q37" i="194" s="1"/>
  <c r="P37" i="194" a="1"/>
  <c r="P37" i="194" s="1"/>
  <c r="O37" i="194" a="1"/>
  <c r="O37" i="194" s="1"/>
  <c r="N37" i="194" a="1"/>
  <c r="N37" i="194" s="1"/>
  <c r="M37" i="194" a="1"/>
  <c r="M37" i="194" s="1"/>
  <c r="L37" i="194" a="1"/>
  <c r="L37" i="194" s="1"/>
  <c r="K37" i="194" a="1"/>
  <c r="K37" i="194" s="1"/>
  <c r="J37" i="194" a="1"/>
  <c r="J37" i="194" s="1"/>
  <c r="I37" i="194" a="1"/>
  <c r="I37" i="194" s="1"/>
  <c r="H37" i="194"/>
  <c r="H37" i="194" a="1"/>
  <c r="F37" i="194" a="1"/>
  <c r="F37" i="194" s="1"/>
  <c r="E37" i="194" a="1"/>
  <c r="E37" i="194" s="1"/>
  <c r="D37" i="194" a="1"/>
  <c r="D37" i="194" s="1"/>
  <c r="AA36" i="194" a="1"/>
  <c r="AA36" i="194" s="1"/>
  <c r="Z36" i="194" a="1"/>
  <c r="Z36" i="194" s="1"/>
  <c r="Y36" i="194" a="1"/>
  <c r="Y36" i="194" s="1"/>
  <c r="X36" i="194" a="1"/>
  <c r="X36" i="194" s="1"/>
  <c r="W36" i="194" a="1"/>
  <c r="W36" i="194" s="1"/>
  <c r="V36" i="194" a="1"/>
  <c r="V36" i="194" s="1"/>
  <c r="U36" i="194" a="1"/>
  <c r="U36" i="194" s="1"/>
  <c r="T36" i="194" a="1"/>
  <c r="T36" i="194" s="1"/>
  <c r="S36" i="194" a="1"/>
  <c r="S36" i="194" s="1"/>
  <c r="R36" i="194" a="1"/>
  <c r="R36" i="194" s="1"/>
  <c r="Q36" i="194" a="1"/>
  <c r="Q36" i="194" s="1"/>
  <c r="P36" i="194" a="1"/>
  <c r="P36" i="194" s="1"/>
  <c r="O36" i="194" a="1"/>
  <c r="O36" i="194" s="1"/>
  <c r="N36" i="194" a="1"/>
  <c r="N36" i="194" s="1"/>
  <c r="M36" i="194" a="1"/>
  <c r="M36" i="194" s="1"/>
  <c r="L36" i="194"/>
  <c r="L36" i="194" a="1"/>
  <c r="K36" i="194" a="1"/>
  <c r="K36" i="194" s="1"/>
  <c r="J36" i="194" a="1"/>
  <c r="J36" i="194" s="1"/>
  <c r="I36" i="194" a="1"/>
  <c r="I36" i="194" s="1"/>
  <c r="H36" i="194" a="1"/>
  <c r="H36" i="194" s="1"/>
  <c r="F36" i="194" a="1"/>
  <c r="F36" i="194" s="1"/>
  <c r="E36" i="194" a="1"/>
  <c r="E36" i="194" s="1"/>
  <c r="D36" i="194" a="1"/>
  <c r="D36" i="194" s="1"/>
  <c r="AA35" i="194"/>
  <c r="AA35" i="194" a="1"/>
  <c r="Z35" i="194" a="1"/>
  <c r="Z35" i="194" s="1"/>
  <c r="Y35" i="194" a="1"/>
  <c r="Y35" i="194" s="1"/>
  <c r="X35" i="194" a="1"/>
  <c r="X35" i="194" s="1"/>
  <c r="W35" i="194" a="1"/>
  <c r="W35" i="194" s="1"/>
  <c r="V35" i="194" a="1"/>
  <c r="V35" i="194" s="1"/>
  <c r="U35" i="194" a="1"/>
  <c r="U35" i="194" s="1"/>
  <c r="T35" i="194" a="1"/>
  <c r="T35" i="194" s="1"/>
  <c r="S35" i="194" a="1"/>
  <c r="S35" i="194" s="1"/>
  <c r="R35" i="194"/>
  <c r="R35" i="194" a="1"/>
  <c r="Q35" i="194" a="1"/>
  <c r="Q35" i="194" s="1"/>
  <c r="P35" i="194" a="1"/>
  <c r="P35" i="194" s="1"/>
  <c r="O35" i="194" a="1"/>
  <c r="O35" i="194" s="1"/>
  <c r="N35" i="194" a="1"/>
  <c r="N35" i="194" s="1"/>
  <c r="M35" i="194"/>
  <c r="M35" i="194" a="1"/>
  <c r="L35" i="194" a="1"/>
  <c r="L35" i="194" s="1"/>
  <c r="K35" i="194" a="1"/>
  <c r="K35" i="194" s="1"/>
  <c r="J35" i="194" a="1"/>
  <c r="J35" i="194" s="1"/>
  <c r="I35" i="194" a="1"/>
  <c r="I35" i="194" s="1"/>
  <c r="H35" i="194" a="1"/>
  <c r="H35" i="194" s="1"/>
  <c r="F35" i="194" a="1"/>
  <c r="F35" i="194" s="1"/>
  <c r="E35" i="194" a="1"/>
  <c r="E35" i="194" s="1"/>
  <c r="D35" i="194" a="1"/>
  <c r="D35" i="194" s="1"/>
  <c r="AA34" i="194" a="1"/>
  <c r="AA34" i="194" s="1"/>
  <c r="Z34" i="194" a="1"/>
  <c r="Z34" i="194" s="1"/>
  <c r="Y34" i="194" a="1"/>
  <c r="Y34" i="194" s="1"/>
  <c r="X34" i="194"/>
  <c r="X34" i="194" a="1"/>
  <c r="W34" i="194" a="1"/>
  <c r="W34" i="194" s="1"/>
  <c r="V34" i="194" a="1"/>
  <c r="V34" i="194" s="1"/>
  <c r="U34" i="194" a="1"/>
  <c r="U34" i="194" s="1"/>
  <c r="T34" i="194" a="1"/>
  <c r="T34" i="194" s="1"/>
  <c r="S34" i="194" a="1"/>
  <c r="S34" i="194" s="1"/>
  <c r="R34" i="194" a="1"/>
  <c r="R34" i="194" s="1"/>
  <c r="Q34" i="194" a="1"/>
  <c r="Q34" i="194" s="1"/>
  <c r="P34" i="194" a="1"/>
  <c r="P34" i="194" s="1"/>
  <c r="O34" i="194"/>
  <c r="O34" i="194" a="1"/>
  <c r="N34" i="194" a="1"/>
  <c r="N34" i="194" s="1"/>
  <c r="M34" i="194" a="1"/>
  <c r="M34" i="194" s="1"/>
  <c r="L34" i="194" a="1"/>
  <c r="L34" i="194" s="1"/>
  <c r="K34" i="194" a="1"/>
  <c r="K34" i="194" s="1"/>
  <c r="J34" i="194" a="1"/>
  <c r="J34" i="194" s="1"/>
  <c r="I34" i="194" a="1"/>
  <c r="I34" i="194" s="1"/>
  <c r="H34" i="194" a="1"/>
  <c r="H34" i="194" s="1"/>
  <c r="F34" i="194"/>
  <c r="F34" i="194" a="1"/>
  <c r="E34" i="194" a="1"/>
  <c r="E34" i="194" s="1"/>
  <c r="D34" i="194" a="1"/>
  <c r="D34" i="194" s="1"/>
  <c r="AA33" i="194" a="1"/>
  <c r="AA33" i="194" s="1"/>
  <c r="Z33" i="194" a="1"/>
  <c r="Z33" i="194" s="1"/>
  <c r="Y33" i="194"/>
  <c r="Y33" i="194" a="1"/>
  <c r="X33" i="194" a="1"/>
  <c r="X33" i="194" s="1"/>
  <c r="W33" i="194" a="1"/>
  <c r="W33" i="194" s="1"/>
  <c r="V33" i="194" a="1"/>
  <c r="V33" i="194" s="1"/>
  <c r="U33" i="194" a="1"/>
  <c r="U33" i="194" s="1"/>
  <c r="T33" i="194" a="1"/>
  <c r="T33" i="194" s="1"/>
  <c r="S33" i="194" a="1"/>
  <c r="S33" i="194" s="1"/>
  <c r="R33" i="194" a="1"/>
  <c r="R33" i="194" s="1"/>
  <c r="Q33" i="194" a="1"/>
  <c r="Q33" i="194" s="1"/>
  <c r="P33" i="194" a="1"/>
  <c r="P33" i="194" s="1"/>
  <c r="O33" i="194" a="1"/>
  <c r="O33" i="194" s="1"/>
  <c r="N33" i="194" a="1"/>
  <c r="N33" i="194" s="1"/>
  <c r="M33" i="194" a="1"/>
  <c r="M33" i="194" s="1"/>
  <c r="L33" i="194" a="1"/>
  <c r="L33" i="194" s="1"/>
  <c r="K33" i="194" a="1"/>
  <c r="K33" i="194" s="1"/>
  <c r="J33" i="194" a="1"/>
  <c r="J33" i="194" s="1"/>
  <c r="I33" i="194" a="1"/>
  <c r="I33" i="194" s="1"/>
  <c r="H33" i="194" a="1"/>
  <c r="H33" i="194" s="1"/>
  <c r="F33" i="194" a="1"/>
  <c r="F33" i="194" s="1"/>
  <c r="E33" i="194" a="1"/>
  <c r="E33" i="194" s="1"/>
  <c r="D33" i="194" a="1"/>
  <c r="D33" i="194" s="1"/>
  <c r="AA32" i="194" a="1"/>
  <c r="AA32" i="194" s="1"/>
  <c r="Z32" i="194" a="1"/>
  <c r="Z32" i="194" s="1"/>
  <c r="Y32" i="194" a="1"/>
  <c r="Y32" i="194" s="1"/>
  <c r="X32" i="194" a="1"/>
  <c r="X32" i="194" s="1"/>
  <c r="W32" i="194" a="1"/>
  <c r="W32" i="194" s="1"/>
  <c r="V32" i="194" a="1"/>
  <c r="V32" i="194" s="1"/>
  <c r="U32" i="194" a="1"/>
  <c r="U32" i="194" s="1"/>
  <c r="T32" i="194" a="1"/>
  <c r="T32" i="194" s="1"/>
  <c r="S32" i="194" a="1"/>
  <c r="S32" i="194" s="1"/>
  <c r="R32" i="194" a="1"/>
  <c r="R32" i="194" s="1"/>
  <c r="Q32" i="194" a="1"/>
  <c r="Q32" i="194" s="1"/>
  <c r="P32" i="194" a="1"/>
  <c r="P32" i="194" s="1"/>
  <c r="O32" i="194" a="1"/>
  <c r="O32" i="194" s="1"/>
  <c r="N32" i="194" a="1"/>
  <c r="N32" i="194" s="1"/>
  <c r="M32" i="194"/>
  <c r="M32" i="194" a="1"/>
  <c r="L32" i="194" a="1"/>
  <c r="L32" i="194" s="1"/>
  <c r="K32" i="194" a="1"/>
  <c r="K32" i="194" s="1"/>
  <c r="J32" i="194" a="1"/>
  <c r="J32" i="194" s="1"/>
  <c r="I32" i="194" a="1"/>
  <c r="I32" i="194" s="1"/>
  <c r="H32" i="194" a="1"/>
  <c r="H32" i="194" s="1"/>
  <c r="F32" i="194" a="1"/>
  <c r="F32" i="194" s="1"/>
  <c r="E32" i="194" a="1"/>
  <c r="E32" i="194" s="1"/>
  <c r="D32" i="194" a="1"/>
  <c r="D32" i="194" s="1"/>
  <c r="AA31" i="194" a="1"/>
  <c r="AA31" i="194" s="1"/>
  <c r="Z31" i="194" a="1"/>
  <c r="Z31" i="194" s="1"/>
  <c r="Y31" i="194" a="1"/>
  <c r="Y31" i="194" s="1"/>
  <c r="X31" i="194"/>
  <c r="X31" i="194" a="1"/>
  <c r="W31" i="194" a="1"/>
  <c r="W31" i="194" s="1"/>
  <c r="V31" i="194" a="1"/>
  <c r="V31" i="194" s="1"/>
  <c r="U31" i="194" a="1"/>
  <c r="U31" i="194" s="1"/>
  <c r="T31" i="194" a="1"/>
  <c r="T31" i="194" s="1"/>
  <c r="S31" i="194" a="1"/>
  <c r="S31" i="194" s="1"/>
  <c r="R31" i="194" a="1"/>
  <c r="R31" i="194" s="1"/>
  <c r="Q31" i="194" a="1"/>
  <c r="Q31" i="194" s="1"/>
  <c r="P31" i="194" a="1"/>
  <c r="P31" i="194" s="1"/>
  <c r="O31" i="194"/>
  <c r="O31" i="194" a="1"/>
  <c r="N31" i="194" a="1"/>
  <c r="N31" i="194" s="1"/>
  <c r="M31" i="194" a="1"/>
  <c r="M31" i="194" s="1"/>
  <c r="L31" i="194" a="1"/>
  <c r="L31" i="194" s="1"/>
  <c r="K31" i="194" a="1"/>
  <c r="K31" i="194" s="1"/>
  <c r="J31" i="194" a="1"/>
  <c r="J31" i="194" s="1"/>
  <c r="I31" i="194" a="1"/>
  <c r="I31" i="194" s="1"/>
  <c r="H31" i="194"/>
  <c r="H31" i="194" a="1"/>
  <c r="F31" i="194" a="1"/>
  <c r="F31" i="194" s="1"/>
  <c r="E31" i="194" a="1"/>
  <c r="E31" i="194" s="1"/>
  <c r="D31" i="194" a="1"/>
  <c r="D31" i="194" s="1"/>
  <c r="AA37" i="195"/>
  <c r="AA37" i="195" a="1"/>
  <c r="Z37" i="195"/>
  <c r="Z37" i="195" a="1"/>
  <c r="Y37" i="195" a="1"/>
  <c r="Y37" i="195" s="1"/>
  <c r="X37" i="195" a="1"/>
  <c r="X37" i="195" s="1"/>
  <c r="W37" i="195" a="1"/>
  <c r="W37" i="195" s="1"/>
  <c r="V37" i="195" a="1"/>
  <c r="V37" i="195" s="1"/>
  <c r="U37" i="195" a="1"/>
  <c r="U37" i="195" s="1"/>
  <c r="T37" i="195" a="1"/>
  <c r="T37" i="195" s="1"/>
  <c r="S37" i="195" a="1"/>
  <c r="S37" i="195" s="1"/>
  <c r="R37" i="195" a="1"/>
  <c r="R37" i="195" s="1"/>
  <c r="Q37" i="195" a="1"/>
  <c r="Q37" i="195" s="1"/>
  <c r="P37" i="195" a="1"/>
  <c r="P37" i="195" s="1"/>
  <c r="O37" i="195" a="1"/>
  <c r="O37" i="195" s="1"/>
  <c r="N37" i="195"/>
  <c r="N37" i="195" a="1"/>
  <c r="M37" i="195"/>
  <c r="M37" i="195" a="1"/>
  <c r="L37" i="195" a="1"/>
  <c r="L37" i="195" s="1"/>
  <c r="K37" i="195" a="1"/>
  <c r="K37" i="195" s="1"/>
  <c r="J37" i="195" a="1"/>
  <c r="J37" i="195" s="1"/>
  <c r="I37" i="195" a="1"/>
  <c r="I37" i="195" s="1"/>
  <c r="H37" i="195" a="1"/>
  <c r="H37" i="195" s="1"/>
  <c r="G37" i="195" a="1"/>
  <c r="G37" i="195" s="1"/>
  <c r="F37" i="195"/>
  <c r="F37" i="195" a="1"/>
  <c r="E37" i="195" a="1"/>
  <c r="E37" i="195" s="1"/>
  <c r="D37" i="195" a="1"/>
  <c r="D37" i="195" s="1"/>
  <c r="AA36" i="195" a="1"/>
  <c r="AA36" i="195" s="1"/>
  <c r="Z36" i="195" a="1"/>
  <c r="Z36" i="195" s="1"/>
  <c r="Y36" i="195"/>
  <c r="Y36" i="195" a="1"/>
  <c r="X36" i="195"/>
  <c r="X36" i="195" a="1"/>
  <c r="W36" i="195" a="1"/>
  <c r="W36" i="195" s="1"/>
  <c r="V36" i="195" a="1"/>
  <c r="V36" i="195" s="1"/>
  <c r="U36" i="195" a="1"/>
  <c r="U36" i="195" s="1"/>
  <c r="T36" i="195" a="1"/>
  <c r="T36" i="195" s="1"/>
  <c r="S36" i="195" a="1"/>
  <c r="S36" i="195" s="1"/>
  <c r="R36" i="195" a="1"/>
  <c r="R36" i="195" s="1"/>
  <c r="Q36" i="195" a="1"/>
  <c r="Q36" i="195" s="1"/>
  <c r="P36" i="195" a="1"/>
  <c r="P36" i="195" s="1"/>
  <c r="O36" i="195"/>
  <c r="O36" i="195" a="1"/>
  <c r="N36" i="195"/>
  <c r="N36" i="195" a="1"/>
  <c r="M36" i="195" a="1"/>
  <c r="M36" i="195" s="1"/>
  <c r="L36" i="195" a="1"/>
  <c r="L36" i="195" s="1"/>
  <c r="K36" i="195" a="1"/>
  <c r="K36" i="195" s="1"/>
  <c r="J36" i="195"/>
  <c r="J36" i="195" a="1"/>
  <c r="I36" i="195" a="1"/>
  <c r="I36" i="195" s="1"/>
  <c r="H36" i="195" a="1"/>
  <c r="H36" i="195" s="1"/>
  <c r="G36" i="195" a="1"/>
  <c r="G36" i="195" s="1"/>
  <c r="F36" i="195" a="1"/>
  <c r="F36" i="195" s="1"/>
  <c r="E36" i="195" a="1"/>
  <c r="E36" i="195" s="1"/>
  <c r="D36" i="195" a="1"/>
  <c r="D36" i="195" s="1"/>
  <c r="AA35" i="195" a="1"/>
  <c r="AA35" i="195" s="1"/>
  <c r="Z35" i="195"/>
  <c r="Z35" i="195" a="1"/>
  <c r="Y35" i="195"/>
  <c r="Y35" i="195" a="1"/>
  <c r="X35" i="195" a="1"/>
  <c r="X35" i="195" s="1"/>
  <c r="W35" i="195" a="1"/>
  <c r="W35" i="195" s="1"/>
  <c r="V35" i="195" a="1"/>
  <c r="V35" i="195" s="1"/>
  <c r="U35" i="195" a="1"/>
  <c r="U35" i="195" s="1"/>
  <c r="T35" i="195" a="1"/>
  <c r="T35" i="195" s="1"/>
  <c r="S35" i="195" a="1"/>
  <c r="S35" i="195" s="1"/>
  <c r="R35" i="195" a="1"/>
  <c r="R35" i="195" s="1"/>
  <c r="Q35" i="195" a="1"/>
  <c r="Q35" i="195" s="1"/>
  <c r="P35" i="195" a="1"/>
  <c r="P35" i="195" s="1"/>
  <c r="O35" i="195" a="1"/>
  <c r="O35" i="195" s="1"/>
  <c r="N35" i="195" a="1"/>
  <c r="N35" i="195" s="1"/>
  <c r="M35" i="195"/>
  <c r="M35" i="195" a="1"/>
  <c r="L35" i="195"/>
  <c r="L35" i="195" a="1"/>
  <c r="K35" i="195" a="1"/>
  <c r="K35" i="195" s="1"/>
  <c r="J35" i="195" a="1"/>
  <c r="J35" i="195" s="1"/>
  <c r="I35" i="195" a="1"/>
  <c r="I35" i="195" s="1"/>
  <c r="H35" i="195" a="1"/>
  <c r="H35" i="195" s="1"/>
  <c r="G35" i="195" a="1"/>
  <c r="G35" i="195" s="1"/>
  <c r="F35" i="195" a="1"/>
  <c r="F35" i="195" s="1"/>
  <c r="E35" i="195" a="1"/>
  <c r="E35" i="195" s="1"/>
  <c r="D35" i="195" a="1"/>
  <c r="D35" i="195" s="1"/>
  <c r="AA34" i="195" a="1"/>
  <c r="AA34" i="195" s="1"/>
  <c r="Z34" i="195" a="1"/>
  <c r="Z34" i="195" s="1"/>
  <c r="Y34" i="195" a="1"/>
  <c r="Y34" i="195" s="1"/>
  <c r="X34" i="195"/>
  <c r="X34" i="195" a="1"/>
  <c r="W34" i="195" a="1"/>
  <c r="W34" i="195" s="1"/>
  <c r="V34" i="195" a="1"/>
  <c r="V34" i="195" s="1"/>
  <c r="U34" i="195" a="1"/>
  <c r="U34" i="195" s="1"/>
  <c r="T34" i="195" a="1"/>
  <c r="T34" i="195" s="1"/>
  <c r="S34" i="195"/>
  <c r="S34" i="195" a="1"/>
  <c r="R34" i="195" a="1"/>
  <c r="R34" i="195" s="1"/>
  <c r="Q34" i="195" a="1"/>
  <c r="Q34" i="195" s="1"/>
  <c r="P34" i="195"/>
  <c r="P34" i="195" a="1"/>
  <c r="O34" i="195" a="1"/>
  <c r="O34" i="195" s="1"/>
  <c r="N34" i="195" a="1"/>
  <c r="N34" i="195" s="1"/>
  <c r="M34" i="195" a="1"/>
  <c r="M34" i="195" s="1"/>
  <c r="L34" i="195" a="1"/>
  <c r="L34" i="195" s="1"/>
  <c r="K34" i="195" a="1"/>
  <c r="K34" i="195" s="1"/>
  <c r="J34" i="195" a="1"/>
  <c r="J34" i="195" s="1"/>
  <c r="I34" i="195" a="1"/>
  <c r="I34" i="195" s="1"/>
  <c r="H34" i="195" a="1"/>
  <c r="H34" i="195" s="1"/>
  <c r="G34" i="195" a="1"/>
  <c r="G34" i="195" s="1"/>
  <c r="F34" i="195" a="1"/>
  <c r="F34" i="195" s="1"/>
  <c r="E34" i="195" a="1"/>
  <c r="E34" i="195" s="1"/>
  <c r="D34" i="195"/>
  <c r="D34" i="195" a="1"/>
  <c r="AA33" i="195" a="1"/>
  <c r="AA33" i="195" s="1"/>
  <c r="Z33" i="195" a="1"/>
  <c r="Z33" i="195" s="1"/>
  <c r="Y33" i="195" a="1"/>
  <c r="Y33" i="195" s="1"/>
  <c r="X33" i="195" a="1"/>
  <c r="X33" i="195" s="1"/>
  <c r="W33" i="195" a="1"/>
  <c r="W33" i="195" s="1"/>
  <c r="V33" i="195" a="1"/>
  <c r="V33" i="195" s="1"/>
  <c r="U33" i="195" a="1"/>
  <c r="U33" i="195" s="1"/>
  <c r="T33" i="195" a="1"/>
  <c r="T33" i="195" s="1"/>
  <c r="S33" i="195" a="1"/>
  <c r="S33" i="195" s="1"/>
  <c r="R33" i="195" a="1"/>
  <c r="R33" i="195" s="1"/>
  <c r="Q33" i="195" a="1"/>
  <c r="Q33" i="195" s="1"/>
  <c r="P33" i="195" a="1"/>
  <c r="P33" i="195" s="1"/>
  <c r="O33" i="195" a="1"/>
  <c r="O33" i="195" s="1"/>
  <c r="N33" i="195" a="1"/>
  <c r="N33" i="195" s="1"/>
  <c r="M33" i="195" a="1"/>
  <c r="M33" i="195" s="1"/>
  <c r="L33" i="195"/>
  <c r="L33" i="195" a="1"/>
  <c r="K33" i="195" a="1"/>
  <c r="K33" i="195" s="1"/>
  <c r="J33" i="195" a="1"/>
  <c r="J33" i="195" s="1"/>
  <c r="I33" i="195" a="1"/>
  <c r="I33" i="195" s="1"/>
  <c r="H33" i="195" a="1"/>
  <c r="H33" i="195" s="1"/>
  <c r="G33" i="195" a="1"/>
  <c r="G33" i="195" s="1"/>
  <c r="F33" i="195" a="1"/>
  <c r="F33" i="195" s="1"/>
  <c r="E33" i="195" a="1"/>
  <c r="E33" i="195" s="1"/>
  <c r="D33" i="195"/>
  <c r="D33" i="195" a="1"/>
  <c r="AA32" i="195" a="1"/>
  <c r="AA32" i="195" s="1"/>
  <c r="Z32" i="195" a="1"/>
  <c r="Z32" i="195" s="1"/>
  <c r="Y32" i="195" a="1"/>
  <c r="Y32" i="195" s="1"/>
  <c r="X32" i="195" a="1"/>
  <c r="X32" i="195" s="1"/>
  <c r="W32" i="195" a="1"/>
  <c r="W32" i="195" s="1"/>
  <c r="V32" i="195" a="1"/>
  <c r="V32" i="195" s="1"/>
  <c r="U32" i="195"/>
  <c r="U32" i="195" a="1"/>
  <c r="T32" i="195" a="1"/>
  <c r="T32" i="195" s="1"/>
  <c r="S32" i="195" a="1"/>
  <c r="S32" i="195" s="1"/>
  <c r="R32" i="195" a="1"/>
  <c r="R32" i="195" s="1"/>
  <c r="Q32" i="195" a="1"/>
  <c r="Q32" i="195" s="1"/>
  <c r="P32" i="195"/>
  <c r="P32" i="195" a="1"/>
  <c r="O32" i="195" a="1"/>
  <c r="O32" i="195" s="1"/>
  <c r="N32" i="195" a="1"/>
  <c r="N32" i="195" s="1"/>
  <c r="M32" i="195" a="1"/>
  <c r="M32" i="195" s="1"/>
  <c r="L32" i="195" a="1"/>
  <c r="L32" i="195" s="1"/>
  <c r="K32" i="195" a="1"/>
  <c r="K32" i="195" s="1"/>
  <c r="J32" i="195" a="1"/>
  <c r="J32" i="195" s="1"/>
  <c r="I32" i="195" a="1"/>
  <c r="I32" i="195" s="1"/>
  <c r="H32" i="195"/>
  <c r="H32" i="195" a="1"/>
  <c r="G32" i="195" a="1"/>
  <c r="G32" i="195" s="1"/>
  <c r="F32" i="195" a="1"/>
  <c r="F32" i="195" s="1"/>
  <c r="E32" i="195" a="1"/>
  <c r="E32" i="195" s="1"/>
  <c r="D32" i="195" a="1"/>
  <c r="D32" i="195" s="1"/>
  <c r="AA31" i="195"/>
  <c r="AA31" i="195" a="1"/>
  <c r="Z31" i="195"/>
  <c r="Z31" i="195" a="1"/>
  <c r="Y31" i="195" a="1"/>
  <c r="Y31" i="195" s="1"/>
  <c r="X31" i="195" a="1"/>
  <c r="X31" i="195" s="1"/>
  <c r="W31" i="195" a="1"/>
  <c r="W31" i="195" s="1"/>
  <c r="V31" i="195" a="1"/>
  <c r="V31" i="195" s="1"/>
  <c r="U31" i="195" a="1"/>
  <c r="U31" i="195" s="1"/>
  <c r="T31" i="195" a="1"/>
  <c r="T31" i="195" s="1"/>
  <c r="S31" i="195" a="1"/>
  <c r="S31" i="195" s="1"/>
  <c r="R31" i="195" a="1"/>
  <c r="R31" i="195" s="1"/>
  <c r="Q31" i="195" a="1"/>
  <c r="Q31" i="195" s="1"/>
  <c r="P31" i="195" a="1"/>
  <c r="P31" i="195" s="1"/>
  <c r="O31" i="195" a="1"/>
  <c r="O31" i="195" s="1"/>
  <c r="N31" i="195"/>
  <c r="N31" i="195" a="1"/>
  <c r="M31" i="195" a="1"/>
  <c r="M31" i="195" s="1"/>
  <c r="L31" i="195" a="1"/>
  <c r="L31" i="195" s="1"/>
  <c r="K31" i="195" a="1"/>
  <c r="K31" i="195" s="1"/>
  <c r="J31" i="195" a="1"/>
  <c r="J31" i="195" s="1"/>
  <c r="I31" i="195" a="1"/>
  <c r="I31" i="195" s="1"/>
  <c r="H31" i="195" a="1"/>
  <c r="H31" i="195" s="1"/>
  <c r="G31" i="195" a="1"/>
  <c r="G31" i="195" s="1"/>
  <c r="F31" i="195"/>
  <c r="F31" i="195" a="1"/>
  <c r="E31" i="195" a="1"/>
  <c r="E31" i="195" s="1"/>
  <c r="D31" i="195" a="1"/>
  <c r="D31" i="195" s="1"/>
  <c r="AA37" i="196"/>
  <c r="AA37" i="196" a="1"/>
  <c r="Z37" i="196" a="1"/>
  <c r="Z37" i="196" s="1"/>
  <c r="Y37" i="196"/>
  <c r="Y37" i="196" a="1"/>
  <c r="X37" i="196"/>
  <c r="X37" i="196" a="1"/>
  <c r="W37" i="196" a="1"/>
  <c r="W37" i="196" s="1"/>
  <c r="V37" i="196" a="1"/>
  <c r="V37" i="196" s="1"/>
  <c r="U37" i="196" a="1"/>
  <c r="U37" i="196" s="1"/>
  <c r="T37" i="196" a="1"/>
  <c r="T37" i="196" s="1"/>
  <c r="S37" i="196" a="1"/>
  <c r="S37" i="196" s="1"/>
  <c r="R37" i="196" a="1"/>
  <c r="R37" i="196" s="1"/>
  <c r="Q37" i="196" a="1"/>
  <c r="Q37" i="196" s="1"/>
  <c r="P37" i="196" a="1"/>
  <c r="P37" i="196" s="1"/>
  <c r="O37" i="196"/>
  <c r="O37" i="196" a="1"/>
  <c r="N37" i="196"/>
  <c r="N37" i="196" a="1"/>
  <c r="M37" i="196" a="1"/>
  <c r="M37" i="196" s="1"/>
  <c r="L37" i="196" a="1"/>
  <c r="L37" i="196" s="1"/>
  <c r="K37" i="196" a="1"/>
  <c r="K37" i="196" s="1"/>
  <c r="J37" i="196" a="1"/>
  <c r="J37" i="196" s="1"/>
  <c r="I37" i="196" a="1"/>
  <c r="I37" i="196" s="1"/>
  <c r="H37" i="196" a="1"/>
  <c r="H37" i="196" s="1"/>
  <c r="G37" i="196" a="1"/>
  <c r="G37" i="196" s="1"/>
  <c r="F37" i="196" a="1"/>
  <c r="F37" i="196" s="1"/>
  <c r="E37" i="196" a="1"/>
  <c r="E37" i="196" s="1"/>
  <c r="D37" i="196" a="1"/>
  <c r="D37" i="196" s="1"/>
  <c r="AA36" i="196" a="1"/>
  <c r="AA36" i="196" s="1"/>
  <c r="Z36" i="196"/>
  <c r="Z36" i="196" a="1"/>
  <c r="Y36" i="196" a="1"/>
  <c r="Y36" i="196" s="1"/>
  <c r="X36" i="196" a="1"/>
  <c r="X36" i="196" s="1"/>
  <c r="W36" i="196" a="1"/>
  <c r="W36" i="196" s="1"/>
  <c r="V36" i="196" a="1"/>
  <c r="V36" i="196" s="1"/>
  <c r="U36" i="196" a="1"/>
  <c r="U36" i="196" s="1"/>
  <c r="T36" i="196" a="1"/>
  <c r="T36" i="196" s="1"/>
  <c r="S36" i="196" a="1"/>
  <c r="S36" i="196" s="1"/>
  <c r="R36" i="196" a="1"/>
  <c r="R36" i="196" s="1"/>
  <c r="Q36" i="196" a="1"/>
  <c r="Q36" i="196" s="1"/>
  <c r="P36" i="196" a="1"/>
  <c r="P36" i="196" s="1"/>
  <c r="O36" i="196"/>
  <c r="O36" i="196" a="1"/>
  <c r="N36" i="196" a="1"/>
  <c r="N36" i="196" s="1"/>
  <c r="M36" i="196"/>
  <c r="M36" i="196" a="1"/>
  <c r="L36" i="196"/>
  <c r="L36" i="196" a="1"/>
  <c r="K36" i="196" a="1"/>
  <c r="K36" i="196" s="1"/>
  <c r="J36" i="196" a="1"/>
  <c r="J36" i="196" s="1"/>
  <c r="I36" i="196" a="1"/>
  <c r="I36" i="196" s="1"/>
  <c r="H36" i="196" a="1"/>
  <c r="H36" i="196" s="1"/>
  <c r="G36" i="196" a="1"/>
  <c r="G36" i="196" s="1"/>
  <c r="F36" i="196" a="1"/>
  <c r="F36" i="196" s="1"/>
  <c r="E36" i="196" a="1"/>
  <c r="E36" i="196" s="1"/>
  <c r="D36" i="196" a="1"/>
  <c r="D36" i="196" s="1"/>
  <c r="AA35" i="196" a="1"/>
  <c r="AA35" i="196" s="1"/>
  <c r="Z35" i="196" a="1"/>
  <c r="Z35" i="196" s="1"/>
  <c r="Y35" i="196" a="1"/>
  <c r="Y35" i="196" s="1"/>
  <c r="X35" i="196"/>
  <c r="X35" i="196" a="1"/>
  <c r="W35" i="196" a="1"/>
  <c r="W35" i="196" s="1"/>
  <c r="V35" i="196" a="1"/>
  <c r="V35" i="196" s="1"/>
  <c r="U35" i="196" a="1"/>
  <c r="U35" i="196" s="1"/>
  <c r="T35" i="196" a="1"/>
  <c r="T35" i="196" s="1"/>
  <c r="S35" i="196"/>
  <c r="S35" i="196" a="1"/>
  <c r="R35" i="196" a="1"/>
  <c r="R35" i="196" s="1"/>
  <c r="Q35" i="196" a="1"/>
  <c r="Q35" i="196" s="1"/>
  <c r="P35" i="196"/>
  <c r="P35" i="196" a="1"/>
  <c r="O35" i="196" a="1"/>
  <c r="O35" i="196" s="1"/>
  <c r="N35" i="196" a="1"/>
  <c r="N35" i="196" s="1"/>
  <c r="M35" i="196" a="1"/>
  <c r="M35" i="196" s="1"/>
  <c r="L35" i="196" a="1"/>
  <c r="L35" i="196" s="1"/>
  <c r="K35" i="196" a="1"/>
  <c r="K35" i="196" s="1"/>
  <c r="J35" i="196" a="1"/>
  <c r="J35" i="196" s="1"/>
  <c r="I35" i="196" a="1"/>
  <c r="I35" i="196" s="1"/>
  <c r="H35" i="196" a="1"/>
  <c r="H35" i="196" s="1"/>
  <c r="G35" i="196" a="1"/>
  <c r="G35" i="196" s="1"/>
  <c r="F35" i="196" a="1"/>
  <c r="F35" i="196" s="1"/>
  <c r="E35" i="196" a="1"/>
  <c r="E35" i="196" s="1"/>
  <c r="D35" i="196" a="1"/>
  <c r="D35" i="196" s="1"/>
  <c r="AA34" i="196"/>
  <c r="AA34" i="196" a="1"/>
  <c r="Z34" i="196" a="1"/>
  <c r="Z34" i="196" s="1"/>
  <c r="Y34" i="196" a="1"/>
  <c r="Y34" i="196" s="1"/>
  <c r="X34" i="196" a="1"/>
  <c r="X34" i="196" s="1"/>
  <c r="W34" i="196" a="1"/>
  <c r="W34" i="196" s="1"/>
  <c r="V34" i="196" a="1"/>
  <c r="V34" i="196" s="1"/>
  <c r="U34" i="196" a="1"/>
  <c r="U34" i="196" s="1"/>
  <c r="T34" i="196" a="1"/>
  <c r="T34" i="196" s="1"/>
  <c r="S34" i="196" a="1"/>
  <c r="S34" i="196" s="1"/>
  <c r="R34" i="196" a="1"/>
  <c r="R34" i="196" s="1"/>
  <c r="Q34" i="196" a="1"/>
  <c r="Q34" i="196" s="1"/>
  <c r="P34" i="196" a="1"/>
  <c r="P34" i="196" s="1"/>
  <c r="O34" i="196"/>
  <c r="O34" i="196" a="1"/>
  <c r="N34" i="196"/>
  <c r="N34" i="196" a="1"/>
  <c r="M34" i="196" a="1"/>
  <c r="M34" i="196" s="1"/>
  <c r="L34" i="196" a="1"/>
  <c r="L34" i="196" s="1"/>
  <c r="K34" i="196" a="1"/>
  <c r="K34" i="196" s="1"/>
  <c r="J34" i="196"/>
  <c r="J34" i="196" a="1"/>
  <c r="I34" i="196" a="1"/>
  <c r="I34" i="196" s="1"/>
  <c r="H34" i="196" a="1"/>
  <c r="H34" i="196" s="1"/>
  <c r="G34" i="196" a="1"/>
  <c r="G34" i="196" s="1"/>
  <c r="F34" i="196"/>
  <c r="F34" i="196" a="1"/>
  <c r="E34" i="196" a="1"/>
  <c r="E34" i="196" s="1"/>
  <c r="D34" i="196" a="1"/>
  <c r="D34" i="196" s="1"/>
  <c r="AA33" i="196"/>
  <c r="AA33" i="196" a="1"/>
  <c r="Z33" i="196" a="1"/>
  <c r="Z33" i="196" s="1"/>
  <c r="Y33" i="196" a="1"/>
  <c r="Y33" i="196" s="1"/>
  <c r="X33" i="196" a="1"/>
  <c r="X33" i="196" s="1"/>
  <c r="W33" i="196"/>
  <c r="W33" i="196" a="1"/>
  <c r="V33" i="196"/>
  <c r="V33" i="196" a="1"/>
  <c r="U33" i="196" a="1"/>
  <c r="U33" i="196" s="1"/>
  <c r="T33" i="196" a="1"/>
  <c r="T33" i="196" s="1"/>
  <c r="S33" i="196" a="1"/>
  <c r="S33" i="196" s="1"/>
  <c r="R33" i="196" a="1"/>
  <c r="R33" i="196" s="1"/>
  <c r="Q33" i="196"/>
  <c r="Q33" i="196" a="1"/>
  <c r="P33" i="196" a="1"/>
  <c r="P33" i="196" s="1"/>
  <c r="O33" i="196" a="1"/>
  <c r="O33" i="196" s="1"/>
  <c r="N33" i="196"/>
  <c r="N33" i="196" a="1"/>
  <c r="M33" i="196" a="1"/>
  <c r="M33" i="196" s="1"/>
  <c r="L33" i="196" a="1"/>
  <c r="L33" i="196" s="1"/>
  <c r="K33" i="196" a="1"/>
  <c r="K33" i="196" s="1"/>
  <c r="J33" i="196" a="1"/>
  <c r="J33" i="196" s="1"/>
  <c r="I33" i="196"/>
  <c r="I33" i="196" a="1"/>
  <c r="H33" i="196" a="1"/>
  <c r="H33" i="196" s="1"/>
  <c r="G33" i="196" a="1"/>
  <c r="G33" i="196" s="1"/>
  <c r="F33" i="196" a="1"/>
  <c r="F33" i="196" s="1"/>
  <c r="E33" i="196" a="1"/>
  <c r="E33" i="196" s="1"/>
  <c r="D33" i="196"/>
  <c r="D33" i="196" a="1"/>
  <c r="AA32" i="196" a="1"/>
  <c r="AA32" i="196" s="1"/>
  <c r="Z32" i="196" a="1"/>
  <c r="Z32" i="196" s="1"/>
  <c r="Y32" i="196" a="1"/>
  <c r="Y32" i="196" s="1"/>
  <c r="X32" i="196" a="1"/>
  <c r="X32" i="196" s="1"/>
  <c r="W32" i="196"/>
  <c r="W32" i="196" a="1"/>
  <c r="V32" i="196" a="1"/>
  <c r="V32" i="196" s="1"/>
  <c r="U32" i="196" a="1"/>
  <c r="U32" i="196" s="1"/>
  <c r="T32" i="196" a="1"/>
  <c r="T32" i="196" s="1"/>
  <c r="S32" i="196" a="1"/>
  <c r="S32" i="196" s="1"/>
  <c r="R32" i="196"/>
  <c r="R32" i="196" a="1"/>
  <c r="Q32" i="196" a="1"/>
  <c r="Q32" i="196" s="1"/>
  <c r="P32" i="196" a="1"/>
  <c r="P32" i="196" s="1"/>
  <c r="O32" i="196" a="1"/>
  <c r="O32" i="196" s="1"/>
  <c r="N32" i="196" a="1"/>
  <c r="N32" i="196" s="1"/>
  <c r="M32" i="196" a="1"/>
  <c r="M32" i="196" s="1"/>
  <c r="L32" i="196" a="1"/>
  <c r="L32" i="196" s="1"/>
  <c r="K32" i="196" a="1"/>
  <c r="K32" i="196" s="1"/>
  <c r="J32" i="196"/>
  <c r="J32" i="196" a="1"/>
  <c r="I32" i="196" a="1"/>
  <c r="I32" i="196" s="1"/>
  <c r="H32" i="196" a="1"/>
  <c r="H32" i="196" s="1"/>
  <c r="G32" i="196" a="1"/>
  <c r="G32" i="196" s="1"/>
  <c r="F32" i="196" a="1"/>
  <c r="F32" i="196" s="1"/>
  <c r="E32" i="196" a="1"/>
  <c r="E32" i="196" s="1"/>
  <c r="D32" i="196" a="1"/>
  <c r="D32" i="196" s="1"/>
  <c r="AA31" i="196" a="1"/>
  <c r="AA31" i="196" s="1"/>
  <c r="Z31" i="196" a="1"/>
  <c r="Z31" i="196" s="1"/>
  <c r="Y31" i="196" a="1"/>
  <c r="Y31" i="196" s="1"/>
  <c r="X31" i="196"/>
  <c r="X31" i="196" a="1"/>
  <c r="W31" i="196" a="1"/>
  <c r="W31" i="196" s="1"/>
  <c r="V31" i="196" a="1"/>
  <c r="V31" i="196" s="1"/>
  <c r="U31" i="196" a="1"/>
  <c r="U31" i="196" s="1"/>
  <c r="T31" i="196" a="1"/>
  <c r="T31" i="196" s="1"/>
  <c r="S31" i="196" a="1"/>
  <c r="S31" i="196" s="1"/>
  <c r="R31" i="196" a="1"/>
  <c r="R31" i="196" s="1"/>
  <c r="Q31" i="196" a="1"/>
  <c r="Q31" i="196" s="1"/>
  <c r="P31" i="196"/>
  <c r="P31" i="196" a="1"/>
  <c r="O31" i="196" a="1"/>
  <c r="O31" i="196" s="1"/>
  <c r="N31" i="196" a="1"/>
  <c r="N31" i="196" s="1"/>
  <c r="M31" i="196" a="1"/>
  <c r="M31" i="196" s="1"/>
  <c r="L31" i="196"/>
  <c r="L31" i="196" a="1"/>
  <c r="K31" i="196" a="1"/>
  <c r="K31" i="196" s="1"/>
  <c r="J31" i="196" a="1"/>
  <c r="J31" i="196" s="1"/>
  <c r="I31" i="196" a="1"/>
  <c r="I31" i="196" s="1"/>
  <c r="H31" i="196" a="1"/>
  <c r="H31" i="196" s="1"/>
  <c r="G31" i="196" a="1"/>
  <c r="G31" i="196" s="1"/>
  <c r="F31" i="196"/>
  <c r="F31" i="196" a="1"/>
  <c r="E31" i="196" a="1"/>
  <c r="E31" i="196" s="1"/>
  <c r="D31" i="196" a="1"/>
  <c r="D31" i="196" s="1"/>
  <c r="AA37" i="197" a="1"/>
  <c r="AA37" i="197" s="1"/>
  <c r="Z37" i="197" a="1"/>
  <c r="Z37" i="197" s="1"/>
  <c r="Y37" i="197" a="1"/>
  <c r="Y37" i="197" s="1"/>
  <c r="X37" i="197" a="1"/>
  <c r="X37" i="197" s="1"/>
  <c r="W37" i="197" a="1"/>
  <c r="W37" i="197" s="1"/>
  <c r="V37" i="197" a="1"/>
  <c r="V37" i="197" s="1"/>
  <c r="U37" i="197" a="1"/>
  <c r="U37" i="197" s="1"/>
  <c r="T37" i="197" a="1"/>
  <c r="T37" i="197" s="1"/>
  <c r="S37" i="197" a="1"/>
  <c r="S37" i="197" s="1"/>
  <c r="R37" i="197" a="1"/>
  <c r="R37" i="197" s="1"/>
  <c r="Q37" i="197" a="1"/>
  <c r="Q37" i="197" s="1"/>
  <c r="P37" i="197" a="1"/>
  <c r="P37" i="197" s="1"/>
  <c r="O37" i="197" a="1"/>
  <c r="O37" i="197" s="1"/>
  <c r="N37" i="197" a="1"/>
  <c r="N37" i="197" s="1"/>
  <c r="M37" i="197" a="1"/>
  <c r="M37" i="197" s="1"/>
  <c r="L37" i="197"/>
  <c r="L37" i="197" a="1"/>
  <c r="K37" i="197" a="1"/>
  <c r="K37" i="197" s="1"/>
  <c r="J37" i="197"/>
  <c r="J37" i="197" a="1"/>
  <c r="I37" i="197" a="1"/>
  <c r="I37" i="197" s="1"/>
  <c r="H37" i="197" a="1"/>
  <c r="H37" i="197" s="1"/>
  <c r="G37" i="197" a="1"/>
  <c r="G37" i="197" s="1"/>
  <c r="F37" i="197" a="1"/>
  <c r="F37" i="197" s="1"/>
  <c r="E37" i="197" a="1"/>
  <c r="E37" i="197" s="1"/>
  <c r="D37" i="197" a="1"/>
  <c r="D37" i="197" s="1"/>
  <c r="AA36" i="197" a="1"/>
  <c r="AA36" i="197" s="1"/>
  <c r="Z36" i="197" a="1"/>
  <c r="Z36" i="197" s="1"/>
  <c r="Y36" i="197" a="1"/>
  <c r="Y36" i="197" s="1"/>
  <c r="X36" i="197" a="1"/>
  <c r="X36" i="197" s="1"/>
  <c r="W36" i="197" a="1"/>
  <c r="W36" i="197" s="1"/>
  <c r="V36" i="197" a="1"/>
  <c r="V36" i="197" s="1"/>
  <c r="U36" i="197"/>
  <c r="U36" i="197" a="1"/>
  <c r="T36" i="197"/>
  <c r="T36" i="197" a="1"/>
  <c r="S36" i="197" a="1"/>
  <c r="S36" i="197" s="1"/>
  <c r="R36" i="197" a="1"/>
  <c r="R36" i="197" s="1"/>
  <c r="Q36" i="197" a="1"/>
  <c r="Q36" i="197" s="1"/>
  <c r="P36" i="197" a="1"/>
  <c r="P36" i="197" s="1"/>
  <c r="O36" i="197" a="1"/>
  <c r="O36" i="197" s="1"/>
  <c r="N36" i="197" a="1"/>
  <c r="N36" i="197" s="1"/>
  <c r="M36" i="197" a="1"/>
  <c r="M36" i="197" s="1"/>
  <c r="L36" i="197" a="1"/>
  <c r="L36" i="197" s="1"/>
  <c r="K36" i="197" a="1"/>
  <c r="K36" i="197" s="1"/>
  <c r="J36" i="197" a="1"/>
  <c r="J36" i="197" s="1"/>
  <c r="I36" i="197" a="1"/>
  <c r="I36" i="197" s="1"/>
  <c r="H36" i="197" a="1"/>
  <c r="H36" i="197" s="1"/>
  <c r="G36" i="197" a="1"/>
  <c r="G36" i="197" s="1"/>
  <c r="F36" i="197" a="1"/>
  <c r="F36" i="197" s="1"/>
  <c r="E36" i="197"/>
  <c r="E36" i="197" a="1"/>
  <c r="D36" i="197" a="1"/>
  <c r="D36" i="197" s="1"/>
  <c r="AA35" i="197" a="1"/>
  <c r="AA35" i="197" s="1"/>
  <c r="Z35" i="197"/>
  <c r="Z35" i="197" a="1"/>
  <c r="Y35" i="197" a="1"/>
  <c r="Y35" i="197" s="1"/>
  <c r="X35" i="197" a="1"/>
  <c r="X35" i="197" s="1"/>
  <c r="W35" i="197" a="1"/>
  <c r="W35" i="197" s="1"/>
  <c r="V35" i="197" a="1"/>
  <c r="V35" i="197" s="1"/>
  <c r="U35" i="197" a="1"/>
  <c r="U35" i="197" s="1"/>
  <c r="T35" i="197" a="1"/>
  <c r="T35" i="197" s="1"/>
  <c r="S35" i="197" a="1"/>
  <c r="S35" i="197" s="1"/>
  <c r="R35" i="197" a="1"/>
  <c r="R35" i="197" s="1"/>
  <c r="Q35" i="197" a="1"/>
  <c r="Q35" i="197" s="1"/>
  <c r="P35" i="197" a="1"/>
  <c r="P35" i="197" s="1"/>
  <c r="O35" i="197" a="1"/>
  <c r="O35" i="197" s="1"/>
  <c r="N35" i="197" a="1"/>
  <c r="N35" i="197" s="1"/>
  <c r="M35" i="197" a="1"/>
  <c r="M35" i="197" s="1"/>
  <c r="L35" i="197"/>
  <c r="L35" i="197" a="1"/>
  <c r="K35" i="197"/>
  <c r="K35" i="197" a="1"/>
  <c r="J35" i="197" a="1"/>
  <c r="J35" i="197" s="1"/>
  <c r="I35" i="197" a="1"/>
  <c r="I35" i="197" s="1"/>
  <c r="H35" i="197"/>
  <c r="H35" i="197" a="1"/>
  <c r="G35" i="197" a="1"/>
  <c r="G35" i="197" s="1"/>
  <c r="F35" i="197" a="1"/>
  <c r="F35" i="197" s="1"/>
  <c r="E35" i="197" a="1"/>
  <c r="E35" i="197" s="1"/>
  <c r="D35" i="197" a="1"/>
  <c r="D35" i="197" s="1"/>
  <c r="AA34" i="197" a="1"/>
  <c r="AA34" i="197" s="1"/>
  <c r="Z34" i="197" a="1"/>
  <c r="Z34" i="197" s="1"/>
  <c r="Y34" i="197" a="1"/>
  <c r="Y34" i="197" s="1"/>
  <c r="X34" i="197" a="1"/>
  <c r="X34" i="197" s="1"/>
  <c r="W34" i="197"/>
  <c r="W34" i="197" a="1"/>
  <c r="V34" i="197"/>
  <c r="V34" i="197" a="1"/>
  <c r="U34" i="197" a="1"/>
  <c r="U34" i="197" s="1"/>
  <c r="T34" i="197" a="1"/>
  <c r="T34" i="197" s="1"/>
  <c r="S34" i="197" a="1"/>
  <c r="S34" i="197" s="1"/>
  <c r="R34" i="197" a="1"/>
  <c r="R34" i="197" s="1"/>
  <c r="Q34" i="197"/>
  <c r="Q34" i="197" a="1"/>
  <c r="P34" i="197" a="1"/>
  <c r="P34" i="197" s="1"/>
  <c r="O34" i="197" a="1"/>
  <c r="O34" i="197" s="1"/>
  <c r="N34" i="197"/>
  <c r="N34" i="197" a="1"/>
  <c r="M34" i="197" a="1"/>
  <c r="M34" i="197" s="1"/>
  <c r="L34" i="197" a="1"/>
  <c r="L34" i="197" s="1"/>
  <c r="K34" i="197" a="1"/>
  <c r="K34" i="197" s="1"/>
  <c r="J34" i="197"/>
  <c r="J34" i="197" a="1"/>
  <c r="I34" i="197"/>
  <c r="I34" i="197" a="1"/>
  <c r="H34" i="197" a="1"/>
  <c r="H34" i="197" s="1"/>
  <c r="G34" i="197" a="1"/>
  <c r="G34" i="197" s="1"/>
  <c r="F34" i="197" a="1"/>
  <c r="F34" i="197" s="1"/>
  <c r="E34" i="197" a="1"/>
  <c r="E34" i="197" s="1"/>
  <c r="D34" i="197"/>
  <c r="D34" i="197" a="1"/>
  <c r="AA33" i="197" a="1"/>
  <c r="AA33" i="197" s="1"/>
  <c r="Z33" i="197" a="1"/>
  <c r="Z33" i="197" s="1"/>
  <c r="Y33" i="197" a="1"/>
  <c r="Y33" i="197" s="1"/>
  <c r="X33" i="197" a="1"/>
  <c r="X33" i="197" s="1"/>
  <c r="W33" i="197"/>
  <c r="W33" i="197" a="1"/>
  <c r="V33" i="197" a="1"/>
  <c r="V33" i="197" s="1"/>
  <c r="U33" i="197" a="1"/>
  <c r="U33" i="197" s="1"/>
  <c r="T33" i="197" a="1"/>
  <c r="T33" i="197" s="1"/>
  <c r="S33" i="197" a="1"/>
  <c r="S33" i="197" s="1"/>
  <c r="R33" i="197" a="1"/>
  <c r="R33" i="197" s="1"/>
  <c r="Q33" i="197" a="1"/>
  <c r="Q33" i="197" s="1"/>
  <c r="P33" i="197" a="1"/>
  <c r="P33" i="197" s="1"/>
  <c r="O33" i="197"/>
  <c r="O33" i="197" a="1"/>
  <c r="N33" i="197" a="1"/>
  <c r="N33" i="197" s="1"/>
  <c r="M33" i="197" a="1"/>
  <c r="M33" i="197" s="1"/>
  <c r="L33" i="197" a="1"/>
  <c r="L33" i="197" s="1"/>
  <c r="K33" i="197" a="1"/>
  <c r="K33" i="197" s="1"/>
  <c r="J33" i="197"/>
  <c r="J33" i="197" a="1"/>
  <c r="I33" i="197" a="1"/>
  <c r="I33" i="197" s="1"/>
  <c r="H33" i="197"/>
  <c r="H33" i="197" a="1"/>
  <c r="G33" i="197" a="1"/>
  <c r="G33" i="197" s="1"/>
  <c r="F33" i="197" a="1"/>
  <c r="F33" i="197" s="1"/>
  <c r="E33" i="197" a="1"/>
  <c r="E33" i="197" s="1"/>
  <c r="D33" i="197" a="1"/>
  <c r="D33" i="197" s="1"/>
  <c r="AA32" i="197" a="1"/>
  <c r="AA32" i="197" s="1"/>
  <c r="Z32" i="197" a="1"/>
  <c r="Z32" i="197" s="1"/>
  <c r="Y32" i="197" a="1"/>
  <c r="Y32" i="197" s="1"/>
  <c r="X32" i="197" a="1"/>
  <c r="X32" i="197" s="1"/>
  <c r="W32" i="197" a="1"/>
  <c r="W32" i="197" s="1"/>
  <c r="V32" i="197" a="1"/>
  <c r="V32" i="197" s="1"/>
  <c r="U32" i="197"/>
  <c r="U32" i="197" a="1"/>
  <c r="T32" i="197" a="1"/>
  <c r="T32" i="197" s="1"/>
  <c r="S32" i="197" a="1"/>
  <c r="S32" i="197" s="1"/>
  <c r="R32" i="197" a="1"/>
  <c r="R32" i="197" s="1"/>
  <c r="Q32" i="197" a="1"/>
  <c r="Q32" i="197" s="1"/>
  <c r="P32" i="197"/>
  <c r="P32" i="197" a="1"/>
  <c r="O32" i="197" a="1"/>
  <c r="O32" i="197" s="1"/>
  <c r="N32" i="197" a="1"/>
  <c r="N32" i="197" s="1"/>
  <c r="M32" i="197" a="1"/>
  <c r="M32" i="197" s="1"/>
  <c r="L32" i="197" a="1"/>
  <c r="L32" i="197" s="1"/>
  <c r="K32" i="197" a="1"/>
  <c r="K32" i="197" s="1"/>
  <c r="J32" i="197" a="1"/>
  <c r="J32" i="197" s="1"/>
  <c r="I32" i="197" a="1"/>
  <c r="I32" i="197" s="1"/>
  <c r="H32" i="197" a="1"/>
  <c r="H32" i="197" s="1"/>
  <c r="G32" i="197" a="1"/>
  <c r="G32" i="197" s="1"/>
  <c r="F32" i="197" a="1"/>
  <c r="F32" i="197" s="1"/>
  <c r="E32" i="197" a="1"/>
  <c r="E32" i="197" s="1"/>
  <c r="D32" i="197" a="1"/>
  <c r="D32" i="197" s="1"/>
  <c r="AA31" i="197"/>
  <c r="AA31" i="197" a="1"/>
  <c r="Z31" i="197" a="1"/>
  <c r="Z31" i="197" s="1"/>
  <c r="Y31" i="197" a="1"/>
  <c r="Y31" i="197" s="1"/>
  <c r="X31" i="197" a="1"/>
  <c r="X31" i="197" s="1"/>
  <c r="W31" i="197" a="1"/>
  <c r="W31" i="197" s="1"/>
  <c r="V31" i="197" a="1"/>
  <c r="V31" i="197" s="1"/>
  <c r="U31" i="197" a="1"/>
  <c r="U31" i="197" s="1"/>
  <c r="T31" i="197" a="1"/>
  <c r="T31" i="197" s="1"/>
  <c r="S31" i="197" a="1"/>
  <c r="S31" i="197" s="1"/>
  <c r="R31" i="197" a="1"/>
  <c r="R31" i="197" s="1"/>
  <c r="Q31" i="197" a="1"/>
  <c r="Q31" i="197" s="1"/>
  <c r="P31" i="197" a="1"/>
  <c r="P31" i="197" s="1"/>
  <c r="O31" i="197" a="1"/>
  <c r="O31" i="197" s="1"/>
  <c r="N31" i="197" a="1"/>
  <c r="N31" i="197" s="1"/>
  <c r="M31" i="197" a="1"/>
  <c r="M31" i="197" s="1"/>
  <c r="L31" i="197" a="1"/>
  <c r="L31" i="197" s="1"/>
  <c r="K31" i="197" a="1"/>
  <c r="K31" i="197" s="1"/>
  <c r="J31" i="197" a="1"/>
  <c r="J31" i="197" s="1"/>
  <c r="I31" i="197" a="1"/>
  <c r="I31" i="197" s="1"/>
  <c r="H31" i="197" a="1"/>
  <c r="H31" i="197" s="1"/>
  <c r="G31" i="197" a="1"/>
  <c r="G31" i="197" s="1"/>
  <c r="F31" i="197" a="1"/>
  <c r="F31" i="197" s="1"/>
  <c r="E31" i="197" a="1"/>
  <c r="E31" i="197" s="1"/>
  <c r="D31" i="197" a="1"/>
  <c r="D31" i="197" s="1"/>
  <c r="AA37" i="198" a="1"/>
  <c r="AA37" i="198" s="1"/>
  <c r="Z37" i="198" a="1"/>
  <c r="Z37" i="198" s="1"/>
  <c r="Y37" i="198" a="1"/>
  <c r="Y37" i="198" s="1"/>
  <c r="X37" i="198" a="1"/>
  <c r="X37" i="198" s="1"/>
  <c r="W37" i="198" a="1"/>
  <c r="W37" i="198" s="1"/>
  <c r="V37" i="198" a="1"/>
  <c r="V37" i="198" s="1"/>
  <c r="U37" i="198"/>
  <c r="U37" i="198" a="1"/>
  <c r="T37" i="198"/>
  <c r="T37" i="198" a="1"/>
  <c r="S37" i="198" a="1"/>
  <c r="S37" i="198" s="1"/>
  <c r="R37" i="198"/>
  <c r="R37" i="198" a="1"/>
  <c r="Q37" i="198" a="1"/>
  <c r="Q37" i="198" s="1"/>
  <c r="P37" i="198"/>
  <c r="P37" i="198" a="1"/>
  <c r="O37" i="198"/>
  <c r="O37" i="198" a="1"/>
  <c r="N37" i="198" a="1"/>
  <c r="N37" i="198" s="1"/>
  <c r="M37" i="198" a="1"/>
  <c r="M37" i="198" s="1"/>
  <c r="L37" i="198" a="1"/>
  <c r="L37" i="198" s="1"/>
  <c r="K37" i="198" a="1"/>
  <c r="K37" i="198" s="1"/>
  <c r="J37" i="198" a="1"/>
  <c r="J37" i="198" s="1"/>
  <c r="I37" i="198" a="1"/>
  <c r="I37" i="198" s="1"/>
  <c r="H37" i="198" a="1"/>
  <c r="H37" i="198" s="1"/>
  <c r="G37" i="198" a="1"/>
  <c r="G37" i="198" s="1"/>
  <c r="F37" i="198" a="1"/>
  <c r="F37" i="198" s="1"/>
  <c r="E37" i="198" a="1"/>
  <c r="E37" i="198" s="1"/>
  <c r="D37" i="198" a="1"/>
  <c r="D37" i="198" s="1"/>
  <c r="AA36" i="198"/>
  <c r="AA36" i="198" a="1"/>
  <c r="Z36" i="198" a="1"/>
  <c r="Z36" i="198" s="1"/>
  <c r="Y36" i="198" a="1"/>
  <c r="Y36" i="198" s="1"/>
  <c r="X36" i="198" a="1"/>
  <c r="X36" i="198" s="1"/>
  <c r="W36" i="198" a="1"/>
  <c r="W36" i="198" s="1"/>
  <c r="V36" i="198" a="1"/>
  <c r="V36" i="198" s="1"/>
  <c r="U36" i="198" a="1"/>
  <c r="U36" i="198" s="1"/>
  <c r="T36" i="198" a="1"/>
  <c r="T36" i="198" s="1"/>
  <c r="S36" i="198" a="1"/>
  <c r="S36" i="198" s="1"/>
  <c r="R36" i="198" a="1"/>
  <c r="R36" i="198" s="1"/>
  <c r="Q36" i="198" a="1"/>
  <c r="Q36" i="198" s="1"/>
  <c r="P36" i="198"/>
  <c r="P36" i="198" a="1"/>
  <c r="O36" i="198" a="1"/>
  <c r="O36" i="198" s="1"/>
  <c r="N36" i="198"/>
  <c r="N36" i="198" a="1"/>
  <c r="M36" i="198" a="1"/>
  <c r="M36" i="198" s="1"/>
  <c r="L36" i="198" a="1"/>
  <c r="L36" i="198" s="1"/>
  <c r="K36" i="198" a="1"/>
  <c r="K36" i="198" s="1"/>
  <c r="J36" i="198" a="1"/>
  <c r="J36" i="198" s="1"/>
  <c r="I36" i="198" a="1"/>
  <c r="I36" i="198" s="1"/>
  <c r="H36" i="198"/>
  <c r="H36" i="198" a="1"/>
  <c r="G36" i="198" a="1"/>
  <c r="G36" i="198" s="1"/>
  <c r="F36" i="198"/>
  <c r="F36" i="198" a="1"/>
  <c r="E36" i="198" a="1"/>
  <c r="E36" i="198" s="1"/>
  <c r="D36" i="198" a="1"/>
  <c r="D36" i="198" s="1"/>
  <c r="AA35" i="198"/>
  <c r="AA35" i="198" a="1"/>
  <c r="Z35" i="198" a="1"/>
  <c r="Z35" i="198" s="1"/>
  <c r="Y35" i="198" a="1"/>
  <c r="Y35" i="198" s="1"/>
  <c r="X35" i="198" a="1"/>
  <c r="X35" i="198" s="1"/>
  <c r="W35" i="198"/>
  <c r="W35" i="198" a="1"/>
  <c r="V35" i="198" a="1"/>
  <c r="V35" i="198" s="1"/>
  <c r="U35" i="198" a="1"/>
  <c r="U35" i="198" s="1"/>
  <c r="T35" i="198" a="1"/>
  <c r="T35" i="198" s="1"/>
  <c r="S35" i="198" a="1"/>
  <c r="S35" i="198" s="1"/>
  <c r="R35" i="198"/>
  <c r="R35" i="198" a="1"/>
  <c r="Q35" i="198"/>
  <c r="Q35" i="198" a="1"/>
  <c r="P35" i="198" a="1"/>
  <c r="P35" i="198" s="1"/>
  <c r="O35" i="198" a="1"/>
  <c r="O35" i="198" s="1"/>
  <c r="N35" i="198"/>
  <c r="N35" i="198" a="1"/>
  <c r="M35" i="198" a="1"/>
  <c r="M35" i="198" s="1"/>
  <c r="L35" i="198" a="1"/>
  <c r="L35" i="198" s="1"/>
  <c r="K35" i="198" a="1"/>
  <c r="K35" i="198" s="1"/>
  <c r="J35" i="198"/>
  <c r="J35" i="198" a="1"/>
  <c r="I35" i="198"/>
  <c r="I35" i="198" a="1"/>
  <c r="H35" i="198" a="1"/>
  <c r="H35" i="198" s="1"/>
  <c r="G35" i="198" a="1"/>
  <c r="G35" i="198" s="1"/>
  <c r="F35" i="198" a="1"/>
  <c r="F35" i="198" s="1"/>
  <c r="E35" i="198" a="1"/>
  <c r="E35" i="198" s="1"/>
  <c r="D35" i="198" a="1"/>
  <c r="D35" i="198" s="1"/>
  <c r="AA34" i="198" a="1"/>
  <c r="AA34" i="198" s="1"/>
  <c r="Z34" i="198" a="1"/>
  <c r="Z34" i="198" s="1"/>
  <c r="Y34" i="198" a="1"/>
  <c r="Y34" i="198" s="1"/>
  <c r="X34" i="198" a="1"/>
  <c r="X34" i="198" s="1"/>
  <c r="W34" i="198" a="1"/>
  <c r="W34" i="198" s="1"/>
  <c r="V34" i="198" a="1"/>
  <c r="V34" i="198" s="1"/>
  <c r="U34" i="198"/>
  <c r="U34" i="198" a="1"/>
  <c r="T34" i="198"/>
  <c r="T34" i="198" a="1"/>
  <c r="S34" i="198" a="1"/>
  <c r="S34" i="198" s="1"/>
  <c r="R34" i="198" a="1"/>
  <c r="R34" i="198" s="1"/>
  <c r="Q34" i="198" a="1"/>
  <c r="Q34" i="198" s="1"/>
  <c r="P34" i="198"/>
  <c r="P34" i="198" a="1"/>
  <c r="O34" i="198" a="1"/>
  <c r="O34" i="198" s="1"/>
  <c r="N34" i="198" a="1"/>
  <c r="N34" i="198" s="1"/>
  <c r="M34" i="198" a="1"/>
  <c r="M34" i="198" s="1"/>
  <c r="L34" i="198" a="1"/>
  <c r="L34" i="198" s="1"/>
  <c r="K34" i="198" a="1"/>
  <c r="K34" i="198" s="1"/>
  <c r="J34" i="198"/>
  <c r="J34" i="198" a="1"/>
  <c r="I34" i="198" a="1"/>
  <c r="I34" i="198" s="1"/>
  <c r="H34" i="198" a="1"/>
  <c r="H34" i="198" s="1"/>
  <c r="G34" i="198" a="1"/>
  <c r="G34" i="198" s="1"/>
  <c r="F34" i="198" a="1"/>
  <c r="F34" i="198" s="1"/>
  <c r="E34" i="198"/>
  <c r="E34" i="198" a="1"/>
  <c r="D34" i="198" a="1"/>
  <c r="D34" i="198" s="1"/>
  <c r="AA33" i="198"/>
  <c r="AA33" i="198" a="1"/>
  <c r="Z33" i="198"/>
  <c r="Z33" i="198" a="1"/>
  <c r="Y33" i="198" a="1"/>
  <c r="Y33" i="198" s="1"/>
  <c r="X33" i="198" a="1"/>
  <c r="X33" i="198" s="1"/>
  <c r="W33" i="198" a="1"/>
  <c r="W33" i="198" s="1"/>
  <c r="V33" i="198" a="1"/>
  <c r="V33" i="198" s="1"/>
  <c r="U33" i="198"/>
  <c r="U33" i="198" a="1"/>
  <c r="T33" i="198" a="1"/>
  <c r="T33" i="198" s="1"/>
  <c r="S33" i="198" a="1"/>
  <c r="S33" i="198" s="1"/>
  <c r="R33" i="198" a="1"/>
  <c r="R33" i="198" s="1"/>
  <c r="Q33" i="198" a="1"/>
  <c r="Q33" i="198" s="1"/>
  <c r="P33" i="198" a="1"/>
  <c r="P33" i="198" s="1"/>
  <c r="O33" i="198" a="1"/>
  <c r="O33" i="198" s="1"/>
  <c r="N33" i="198"/>
  <c r="N33" i="198" a="1"/>
  <c r="M33" i="198" a="1"/>
  <c r="M33" i="198" s="1"/>
  <c r="L33" i="198"/>
  <c r="L33" i="198" a="1"/>
  <c r="K33" i="198" a="1"/>
  <c r="K33" i="198" s="1"/>
  <c r="J33" i="198" a="1"/>
  <c r="J33" i="198" s="1"/>
  <c r="I33" i="198" a="1"/>
  <c r="I33" i="198" s="1"/>
  <c r="H33" i="198" a="1"/>
  <c r="H33" i="198" s="1"/>
  <c r="G33" i="198" a="1"/>
  <c r="G33" i="198" s="1"/>
  <c r="F33" i="198"/>
  <c r="F33" i="198" a="1"/>
  <c r="E33" i="198" a="1"/>
  <c r="E33" i="198" s="1"/>
  <c r="D33" i="198" a="1"/>
  <c r="D33" i="198" s="1"/>
  <c r="AA32" i="198"/>
  <c r="AA32" i="198" a="1"/>
  <c r="Z32" i="198" a="1"/>
  <c r="Z32" i="198" s="1"/>
  <c r="Y32" i="198" a="1"/>
  <c r="Y32" i="198" s="1"/>
  <c r="X32" i="198" a="1"/>
  <c r="X32" i="198" s="1"/>
  <c r="W32" i="198" a="1"/>
  <c r="W32" i="198" s="1"/>
  <c r="V32" i="198" a="1"/>
  <c r="V32" i="198" s="1"/>
  <c r="U32" i="198" a="1"/>
  <c r="U32" i="198" s="1"/>
  <c r="T32" i="198" a="1"/>
  <c r="T32" i="198" s="1"/>
  <c r="S32" i="198" a="1"/>
  <c r="S32" i="198" s="1"/>
  <c r="R32" i="198"/>
  <c r="R32" i="198" a="1"/>
  <c r="Q32" i="198"/>
  <c r="Q32" i="198" a="1"/>
  <c r="P32" i="198" a="1"/>
  <c r="P32" i="198" s="1"/>
  <c r="O32" i="198" a="1"/>
  <c r="O32" i="198" s="1"/>
  <c r="N32" i="198"/>
  <c r="N32" i="198" a="1"/>
  <c r="M32" i="198" a="1"/>
  <c r="M32" i="198" s="1"/>
  <c r="L32" i="198" a="1"/>
  <c r="L32" i="198" s="1"/>
  <c r="K32" i="198" a="1"/>
  <c r="K32" i="198" s="1"/>
  <c r="J32" i="198"/>
  <c r="J32" i="198" a="1"/>
  <c r="I32" i="198"/>
  <c r="I32" i="198" a="1"/>
  <c r="H32" i="198" a="1"/>
  <c r="H32" i="198" s="1"/>
  <c r="G32" i="198" a="1"/>
  <c r="G32" i="198" s="1"/>
  <c r="F32" i="198" a="1"/>
  <c r="F32" i="198" s="1"/>
  <c r="E32" i="198" a="1"/>
  <c r="E32" i="198" s="1"/>
  <c r="D32" i="198" a="1"/>
  <c r="D32" i="198" s="1"/>
  <c r="AA31" i="198" a="1"/>
  <c r="AA31" i="198" s="1"/>
  <c r="Z31" i="198" a="1"/>
  <c r="Z31" i="198" s="1"/>
  <c r="Y31" i="198" a="1"/>
  <c r="Y31" i="198" s="1"/>
  <c r="X31" i="198" a="1"/>
  <c r="X31" i="198" s="1"/>
  <c r="W31" i="198" a="1"/>
  <c r="W31" i="198" s="1"/>
  <c r="V31" i="198" a="1"/>
  <c r="V31" i="198" s="1"/>
  <c r="U31" i="198"/>
  <c r="U31" i="198" a="1"/>
  <c r="T31" i="198"/>
  <c r="T31" i="198" a="1"/>
  <c r="S31" i="198" a="1"/>
  <c r="S31" i="198" s="1"/>
  <c r="R31" i="198"/>
  <c r="R31" i="198" a="1"/>
  <c r="Q31" i="198" a="1"/>
  <c r="Q31" i="198" s="1"/>
  <c r="P31" i="198"/>
  <c r="P31" i="198" a="1"/>
  <c r="O31" i="198"/>
  <c r="O31" i="198" a="1"/>
  <c r="N31" i="198" a="1"/>
  <c r="N31" i="198" s="1"/>
  <c r="M31" i="198" a="1"/>
  <c r="M31" i="198" s="1"/>
  <c r="L31" i="198" a="1"/>
  <c r="L31" i="198" s="1"/>
  <c r="K31" i="198" a="1"/>
  <c r="K31" i="198" s="1"/>
  <c r="J31" i="198" a="1"/>
  <c r="J31" i="198" s="1"/>
  <c r="I31" i="198" a="1"/>
  <c r="I31" i="198" s="1"/>
  <c r="H31" i="198" a="1"/>
  <c r="H31" i="198" s="1"/>
  <c r="G31" i="198" a="1"/>
  <c r="G31" i="198" s="1"/>
  <c r="F31" i="198" a="1"/>
  <c r="F31" i="198" s="1"/>
  <c r="E31" i="198" a="1"/>
  <c r="E31" i="198" s="1"/>
  <c r="D31" i="198" a="1"/>
  <c r="D31" i="198" s="1"/>
  <c r="AA37" i="199"/>
  <c r="AA37" i="199" a="1"/>
  <c r="Z37" i="199" a="1"/>
  <c r="Z37" i="199" s="1"/>
  <c r="Y37" i="199" a="1"/>
  <c r="Y37" i="199" s="1"/>
  <c r="X37" i="199" a="1"/>
  <c r="X37" i="199" s="1"/>
  <c r="W37" i="199" a="1"/>
  <c r="W37" i="199" s="1"/>
  <c r="V37" i="199" a="1"/>
  <c r="V37" i="199" s="1"/>
  <c r="U37" i="199" a="1"/>
  <c r="U37" i="199" s="1"/>
  <c r="T37" i="199" a="1"/>
  <c r="T37" i="199" s="1"/>
  <c r="S37" i="199" a="1"/>
  <c r="S37" i="199" s="1"/>
  <c r="R37" i="199" a="1"/>
  <c r="R37" i="199" s="1"/>
  <c r="Q37" i="199" a="1"/>
  <c r="Q37" i="199" s="1"/>
  <c r="P37" i="199"/>
  <c r="P37" i="199" a="1"/>
  <c r="O37" i="199" a="1"/>
  <c r="O37" i="199" s="1"/>
  <c r="N37" i="199"/>
  <c r="N37" i="199" a="1"/>
  <c r="M37" i="199" a="1"/>
  <c r="M37" i="199" s="1"/>
  <c r="L37" i="199" a="1"/>
  <c r="L37" i="199" s="1"/>
  <c r="K37" i="199" a="1"/>
  <c r="K37" i="199" s="1"/>
  <c r="J37" i="199" a="1"/>
  <c r="J37" i="199" s="1"/>
  <c r="I37" i="199" a="1"/>
  <c r="I37" i="199" s="1"/>
  <c r="H37" i="199"/>
  <c r="H37" i="199" a="1"/>
  <c r="G37" i="199" a="1"/>
  <c r="G37" i="199" s="1"/>
  <c r="F37" i="199"/>
  <c r="F37" i="199" a="1"/>
  <c r="E37" i="199" a="1"/>
  <c r="E37" i="199" s="1"/>
  <c r="D37" i="199" a="1"/>
  <c r="D37" i="199" s="1"/>
  <c r="AA36" i="199"/>
  <c r="AA36" i="199" a="1"/>
  <c r="Z36" i="199" a="1"/>
  <c r="Z36" i="199" s="1"/>
  <c r="Y36" i="199" a="1"/>
  <c r="Y36" i="199" s="1"/>
  <c r="X36" i="199" a="1"/>
  <c r="X36" i="199" s="1"/>
  <c r="W36" i="199"/>
  <c r="W36" i="199" a="1"/>
  <c r="V36" i="199" a="1"/>
  <c r="V36" i="199" s="1"/>
  <c r="U36" i="199" a="1"/>
  <c r="U36" i="199" s="1"/>
  <c r="T36" i="199" a="1"/>
  <c r="T36" i="199" s="1"/>
  <c r="S36" i="199" a="1"/>
  <c r="S36" i="199" s="1"/>
  <c r="R36" i="199"/>
  <c r="R36" i="199" a="1"/>
  <c r="Q36" i="199"/>
  <c r="Q36" i="199" a="1"/>
  <c r="P36" i="199" a="1"/>
  <c r="P36" i="199" s="1"/>
  <c r="O36" i="199" a="1"/>
  <c r="O36" i="199" s="1"/>
  <c r="N36" i="199"/>
  <c r="N36" i="199" a="1"/>
  <c r="M36" i="199" a="1"/>
  <c r="M36" i="199" s="1"/>
  <c r="L36" i="199" a="1"/>
  <c r="L36" i="199" s="1"/>
  <c r="K36" i="199" a="1"/>
  <c r="K36" i="199" s="1"/>
  <c r="J36" i="199"/>
  <c r="J36" i="199" a="1"/>
  <c r="I36" i="199"/>
  <c r="I36" i="199" a="1"/>
  <c r="H36" i="199" a="1"/>
  <c r="H36" i="199" s="1"/>
  <c r="G36" i="199" a="1"/>
  <c r="G36" i="199" s="1"/>
  <c r="F36" i="199" a="1"/>
  <c r="F36" i="199" s="1"/>
  <c r="E36" i="199" a="1"/>
  <c r="E36" i="199" s="1"/>
  <c r="D36" i="199" a="1"/>
  <c r="D36" i="199" s="1"/>
  <c r="AA35" i="199" a="1"/>
  <c r="AA35" i="199" s="1"/>
  <c r="Z35" i="199" a="1"/>
  <c r="Z35" i="199" s="1"/>
  <c r="Y35" i="199" a="1"/>
  <c r="Y35" i="199" s="1"/>
  <c r="X35" i="199" a="1"/>
  <c r="X35" i="199" s="1"/>
  <c r="W35" i="199" a="1"/>
  <c r="W35" i="199" s="1"/>
  <c r="V35" i="199" a="1"/>
  <c r="V35" i="199" s="1"/>
  <c r="U35" i="199"/>
  <c r="U35" i="199" a="1"/>
  <c r="T35" i="199"/>
  <c r="T35" i="199" a="1"/>
  <c r="S35" i="199" a="1"/>
  <c r="S35" i="199" s="1"/>
  <c r="R35" i="199" a="1"/>
  <c r="R35" i="199" s="1"/>
  <c r="Q35" i="199" a="1"/>
  <c r="Q35" i="199" s="1"/>
  <c r="P35" i="199"/>
  <c r="P35" i="199" a="1"/>
  <c r="O35" i="199" a="1"/>
  <c r="O35" i="199" s="1"/>
  <c r="N35" i="199" a="1"/>
  <c r="N35" i="199" s="1"/>
  <c r="M35" i="199" a="1"/>
  <c r="M35" i="199" s="1"/>
  <c r="L35" i="199" a="1"/>
  <c r="L35" i="199" s="1"/>
  <c r="K35" i="199" a="1"/>
  <c r="K35" i="199" s="1"/>
  <c r="J35" i="199"/>
  <c r="J35" i="199" a="1"/>
  <c r="I35" i="199" a="1"/>
  <c r="I35" i="199" s="1"/>
  <c r="H35" i="199" a="1"/>
  <c r="H35" i="199" s="1"/>
  <c r="G35" i="199" a="1"/>
  <c r="G35" i="199" s="1"/>
  <c r="F35" i="199" a="1"/>
  <c r="F35" i="199" s="1"/>
  <c r="E35" i="199"/>
  <c r="E35" i="199" a="1"/>
  <c r="D35" i="199" a="1"/>
  <c r="D35" i="199" s="1"/>
  <c r="AA34" i="199"/>
  <c r="AA34" i="199" a="1"/>
  <c r="Z34" i="199"/>
  <c r="Z34" i="199" a="1"/>
  <c r="Y34" i="199" a="1"/>
  <c r="Y34" i="199" s="1"/>
  <c r="X34" i="199" a="1"/>
  <c r="X34" i="199" s="1"/>
  <c r="W34" i="199" a="1"/>
  <c r="W34" i="199" s="1"/>
  <c r="V34" i="199" a="1"/>
  <c r="V34" i="199" s="1"/>
  <c r="U34" i="199"/>
  <c r="U34" i="199" a="1"/>
  <c r="T34" i="199" a="1"/>
  <c r="T34" i="199" s="1"/>
  <c r="S34" i="199" a="1"/>
  <c r="S34" i="199" s="1"/>
  <c r="R34" i="199" a="1"/>
  <c r="R34" i="199" s="1"/>
  <c r="Q34" i="199" a="1"/>
  <c r="Q34" i="199" s="1"/>
  <c r="P34" i="199" a="1"/>
  <c r="P34" i="199" s="1"/>
  <c r="O34" i="199" a="1"/>
  <c r="O34" i="199" s="1"/>
  <c r="N34" i="199"/>
  <c r="N34" i="199" a="1"/>
  <c r="M34" i="199" a="1"/>
  <c r="M34" i="199" s="1"/>
  <c r="L34" i="199" a="1"/>
  <c r="L34" i="199" s="1"/>
  <c r="K34" i="199" a="1"/>
  <c r="K34" i="199" s="1"/>
  <c r="J34" i="199" a="1"/>
  <c r="J34" i="199" s="1"/>
  <c r="I34" i="199" a="1"/>
  <c r="I34" i="199" s="1"/>
  <c r="H34" i="199" a="1"/>
  <c r="H34" i="199" s="1"/>
  <c r="G34" i="199" a="1"/>
  <c r="G34" i="199" s="1"/>
  <c r="F34" i="199" a="1"/>
  <c r="F34" i="199" s="1"/>
  <c r="E34" i="199" a="1"/>
  <c r="E34" i="199" s="1"/>
  <c r="D34" i="199" a="1"/>
  <c r="D34" i="199" s="1"/>
  <c r="AA33" i="199"/>
  <c r="AA33" i="199" a="1"/>
  <c r="Z33" i="199" a="1"/>
  <c r="Z33" i="199" s="1"/>
  <c r="Y33" i="199" a="1"/>
  <c r="Y33" i="199" s="1"/>
  <c r="X33" i="199" a="1"/>
  <c r="X33" i="199" s="1"/>
  <c r="W33" i="199" a="1"/>
  <c r="W33" i="199" s="1"/>
  <c r="V33" i="199" a="1"/>
  <c r="V33" i="199" s="1"/>
  <c r="U33" i="199" a="1"/>
  <c r="U33" i="199" s="1"/>
  <c r="T33" i="199" a="1"/>
  <c r="T33" i="199" s="1"/>
  <c r="S33" i="199" a="1"/>
  <c r="S33" i="199" s="1"/>
  <c r="R33" i="199" a="1"/>
  <c r="R33" i="199" s="1"/>
  <c r="Q33" i="199" a="1"/>
  <c r="Q33" i="199" s="1"/>
  <c r="P33" i="199" a="1"/>
  <c r="P33" i="199" s="1"/>
  <c r="O33" i="199" a="1"/>
  <c r="O33" i="199" s="1"/>
  <c r="N33" i="199" a="1"/>
  <c r="N33" i="199" s="1"/>
  <c r="M33" i="199" a="1"/>
  <c r="M33" i="199" s="1"/>
  <c r="L33" i="199" a="1"/>
  <c r="L33" i="199" s="1"/>
  <c r="K33" i="199" a="1"/>
  <c r="K33" i="199" s="1"/>
  <c r="J33" i="199" a="1"/>
  <c r="J33" i="199" s="1"/>
  <c r="I33" i="199" a="1"/>
  <c r="I33" i="199" s="1"/>
  <c r="H33" i="199" a="1"/>
  <c r="H33" i="199" s="1"/>
  <c r="G33" i="199" a="1"/>
  <c r="G33" i="199" s="1"/>
  <c r="F33" i="199" a="1"/>
  <c r="F33" i="199" s="1"/>
  <c r="E33" i="199" a="1"/>
  <c r="E33" i="199" s="1"/>
  <c r="D33" i="199" a="1"/>
  <c r="D33" i="199" s="1"/>
  <c r="AA32" i="199" a="1"/>
  <c r="AA32" i="199" s="1"/>
  <c r="Z32" i="199" a="1"/>
  <c r="Z32" i="199" s="1"/>
  <c r="Y32" i="199" a="1"/>
  <c r="Y32" i="199" s="1"/>
  <c r="X32" i="199" a="1"/>
  <c r="X32" i="199" s="1"/>
  <c r="W32" i="199" a="1"/>
  <c r="W32" i="199" s="1"/>
  <c r="V32" i="199" a="1"/>
  <c r="V32" i="199" s="1"/>
  <c r="U32" i="199"/>
  <c r="U32" i="199" a="1"/>
  <c r="T32" i="199"/>
  <c r="T32" i="199" a="1"/>
  <c r="S32" i="199" a="1"/>
  <c r="S32" i="199" s="1"/>
  <c r="R32" i="199" a="1"/>
  <c r="R32" i="199" s="1"/>
  <c r="Q32" i="199" a="1"/>
  <c r="Q32" i="199" s="1"/>
  <c r="P32" i="199" a="1"/>
  <c r="P32" i="199" s="1"/>
  <c r="O32" i="199" a="1"/>
  <c r="O32" i="199" s="1"/>
  <c r="N32" i="199" a="1"/>
  <c r="N32" i="199" s="1"/>
  <c r="M32" i="199" a="1"/>
  <c r="M32" i="199" s="1"/>
  <c r="L32" i="199" a="1"/>
  <c r="L32" i="199" s="1"/>
  <c r="K32" i="199" a="1"/>
  <c r="K32" i="199" s="1"/>
  <c r="J32" i="199" a="1"/>
  <c r="J32" i="199" s="1"/>
  <c r="I32" i="199" a="1"/>
  <c r="I32" i="199" s="1"/>
  <c r="H32" i="199"/>
  <c r="H32" i="199" a="1"/>
  <c r="G32" i="199" a="1"/>
  <c r="G32" i="199" s="1"/>
  <c r="F32" i="199" a="1"/>
  <c r="F32" i="199" s="1"/>
  <c r="E32" i="199"/>
  <c r="E32" i="199" a="1"/>
  <c r="D32" i="199" a="1"/>
  <c r="D32" i="199" s="1"/>
  <c r="AA31" i="199" a="1"/>
  <c r="AA31" i="199" s="1"/>
  <c r="Z31" i="199"/>
  <c r="Z31" i="199" a="1"/>
  <c r="Y31" i="199" a="1"/>
  <c r="Y31" i="199" s="1"/>
  <c r="X31" i="199" a="1"/>
  <c r="X31" i="199" s="1"/>
  <c r="W31" i="199" a="1"/>
  <c r="W31" i="199" s="1"/>
  <c r="V31" i="199" a="1"/>
  <c r="V31" i="199" s="1"/>
  <c r="U31" i="199" a="1"/>
  <c r="U31" i="199" s="1"/>
  <c r="T31" i="199" a="1"/>
  <c r="T31" i="199" s="1"/>
  <c r="S31" i="199" a="1"/>
  <c r="S31" i="199" s="1"/>
  <c r="R31" i="199" a="1"/>
  <c r="R31" i="199" s="1"/>
  <c r="Q31" i="199" a="1"/>
  <c r="Q31" i="199" s="1"/>
  <c r="P31" i="199" a="1"/>
  <c r="P31" i="199" s="1"/>
  <c r="O31" i="199" a="1"/>
  <c r="O31" i="199" s="1"/>
  <c r="N31" i="199" a="1"/>
  <c r="N31" i="199" s="1"/>
  <c r="M31" i="199" a="1"/>
  <c r="M31" i="199" s="1"/>
  <c r="L31" i="199" a="1"/>
  <c r="L31" i="199" s="1"/>
  <c r="K31" i="199" a="1"/>
  <c r="K31" i="199" s="1"/>
  <c r="J31" i="199" a="1"/>
  <c r="J31" i="199" s="1"/>
  <c r="I31" i="199" a="1"/>
  <c r="I31" i="199" s="1"/>
  <c r="H31" i="199" a="1"/>
  <c r="H31" i="199" s="1"/>
  <c r="G31" i="199" a="1"/>
  <c r="G31" i="199" s="1"/>
  <c r="F31" i="199" a="1"/>
  <c r="F31" i="199" s="1"/>
  <c r="E31" i="199" a="1"/>
  <c r="E31" i="199" s="1"/>
  <c r="D31" i="199" a="1"/>
  <c r="D31" i="199" s="1"/>
  <c r="AA37" i="200"/>
  <c r="AA37" i="200" a="1"/>
  <c r="Z37" i="200" a="1"/>
  <c r="Z37" i="200" s="1"/>
  <c r="Y37" i="200" a="1"/>
  <c r="Y37" i="200" s="1"/>
  <c r="X37" i="200" a="1"/>
  <c r="X37" i="200" s="1"/>
  <c r="W37" i="200" a="1"/>
  <c r="W37" i="200" s="1"/>
  <c r="V37" i="200" a="1"/>
  <c r="V37" i="200" s="1"/>
  <c r="U37" i="200" a="1"/>
  <c r="U37" i="200" s="1"/>
  <c r="T37" i="200" a="1"/>
  <c r="T37" i="200" s="1"/>
  <c r="S37" i="200" a="1"/>
  <c r="S37" i="200" s="1"/>
  <c r="R37" i="200" a="1"/>
  <c r="R37" i="200" s="1"/>
  <c r="Q37" i="200"/>
  <c r="Q37" i="200" a="1"/>
  <c r="P37" i="200" a="1"/>
  <c r="P37" i="200" s="1"/>
  <c r="O37" i="200" a="1"/>
  <c r="O37" i="200" s="1"/>
  <c r="N37" i="200"/>
  <c r="N37" i="200" a="1"/>
  <c r="M37" i="200" a="1"/>
  <c r="M37" i="200" s="1"/>
  <c r="L37" i="200" a="1"/>
  <c r="L37" i="200" s="1"/>
  <c r="K37" i="200" a="1"/>
  <c r="K37" i="200" s="1"/>
  <c r="J37" i="200" a="1"/>
  <c r="J37" i="200" s="1"/>
  <c r="I37" i="200"/>
  <c r="I37" i="200" a="1"/>
  <c r="H37" i="200" a="1"/>
  <c r="H37" i="200" s="1"/>
  <c r="G37" i="200" a="1"/>
  <c r="G37" i="200" s="1"/>
  <c r="F37" i="200" a="1"/>
  <c r="F37" i="200" s="1"/>
  <c r="E37" i="200" a="1"/>
  <c r="E37" i="200" s="1"/>
  <c r="D37" i="200" a="1"/>
  <c r="D37" i="200" s="1"/>
  <c r="AA36" i="200" a="1"/>
  <c r="AA36" i="200" s="1"/>
  <c r="Z36" i="200" a="1"/>
  <c r="Z36" i="200" s="1"/>
  <c r="Y36" i="200" a="1"/>
  <c r="Y36" i="200" s="1"/>
  <c r="X36" i="200" a="1"/>
  <c r="X36" i="200" s="1"/>
  <c r="W36" i="200" a="1"/>
  <c r="W36" i="200" s="1"/>
  <c r="V36" i="200" a="1"/>
  <c r="V36" i="200" s="1"/>
  <c r="U36" i="200"/>
  <c r="U36" i="200" a="1"/>
  <c r="T36" i="200" a="1"/>
  <c r="T36" i="200" s="1"/>
  <c r="S36" i="200" a="1"/>
  <c r="S36" i="200" s="1"/>
  <c r="R36" i="200" a="1"/>
  <c r="R36" i="200" s="1"/>
  <c r="Q36" i="200" a="1"/>
  <c r="Q36" i="200" s="1"/>
  <c r="P36" i="200"/>
  <c r="P36" i="200" a="1"/>
  <c r="O36" i="200"/>
  <c r="O36" i="200" a="1"/>
  <c r="N36" i="200" a="1"/>
  <c r="N36" i="200" s="1"/>
  <c r="M36" i="200" a="1"/>
  <c r="M36" i="200" s="1"/>
  <c r="L36" i="200" a="1"/>
  <c r="L36" i="200" s="1"/>
  <c r="K36" i="200" a="1"/>
  <c r="K36" i="200" s="1"/>
  <c r="J36" i="200"/>
  <c r="J36" i="200" a="1"/>
  <c r="I36" i="200" a="1"/>
  <c r="I36" i="200" s="1"/>
  <c r="H36" i="200" a="1"/>
  <c r="H36" i="200" s="1"/>
  <c r="G36" i="200" a="1"/>
  <c r="G36" i="200" s="1"/>
  <c r="F36" i="200" a="1"/>
  <c r="F36" i="200" s="1"/>
  <c r="E36" i="200" a="1"/>
  <c r="E36" i="200" s="1"/>
  <c r="D36" i="200" a="1"/>
  <c r="D36" i="200" s="1"/>
  <c r="AA35" i="200" a="1"/>
  <c r="AA35" i="200" s="1"/>
  <c r="Z35" i="200"/>
  <c r="Z35" i="200" a="1"/>
  <c r="Y35" i="200" a="1"/>
  <c r="Y35" i="200" s="1"/>
  <c r="X35" i="200" a="1"/>
  <c r="X35" i="200" s="1"/>
  <c r="W35" i="200" a="1"/>
  <c r="W35" i="200" s="1"/>
  <c r="V35" i="200" a="1"/>
  <c r="V35" i="200" s="1"/>
  <c r="U35" i="200" a="1"/>
  <c r="U35" i="200" s="1"/>
  <c r="T35" i="200" a="1"/>
  <c r="T35" i="200" s="1"/>
  <c r="S35" i="200" a="1"/>
  <c r="S35" i="200" s="1"/>
  <c r="R35" i="200" a="1"/>
  <c r="R35" i="200" s="1"/>
  <c r="Q35" i="200" a="1"/>
  <c r="Q35" i="200" s="1"/>
  <c r="P35" i="200" a="1"/>
  <c r="P35" i="200" s="1"/>
  <c r="O35" i="200" a="1"/>
  <c r="O35" i="200" s="1"/>
  <c r="N35" i="200"/>
  <c r="N35" i="200" a="1"/>
  <c r="M35" i="200" a="1"/>
  <c r="M35" i="200" s="1"/>
  <c r="L35" i="200" a="1"/>
  <c r="L35" i="200" s="1"/>
  <c r="K35" i="200" a="1"/>
  <c r="K35" i="200" s="1"/>
  <c r="J35" i="200" a="1"/>
  <c r="J35" i="200" s="1"/>
  <c r="I35" i="200" a="1"/>
  <c r="I35" i="200" s="1"/>
  <c r="H35" i="200" a="1"/>
  <c r="H35" i="200" s="1"/>
  <c r="G35" i="200" a="1"/>
  <c r="G35" i="200" s="1"/>
  <c r="F35" i="200"/>
  <c r="F35" i="200" a="1"/>
  <c r="E35" i="200" a="1"/>
  <c r="E35" i="200" s="1"/>
  <c r="D35" i="200" a="1"/>
  <c r="D35" i="200" s="1"/>
  <c r="AA34" i="200"/>
  <c r="AA34" i="200" a="1"/>
  <c r="Z34" i="200" a="1"/>
  <c r="Z34" i="200" s="1"/>
  <c r="Y34" i="200" a="1"/>
  <c r="Y34" i="200" s="1"/>
  <c r="X34" i="200" a="1"/>
  <c r="X34" i="200" s="1"/>
  <c r="W34" i="200" a="1"/>
  <c r="W34" i="200" s="1"/>
  <c r="V34" i="200" a="1"/>
  <c r="V34" i="200" s="1"/>
  <c r="U34" i="200" a="1"/>
  <c r="U34" i="200" s="1"/>
  <c r="T34" i="200" a="1"/>
  <c r="T34" i="200" s="1"/>
  <c r="S34" i="200" a="1"/>
  <c r="S34" i="200" s="1"/>
  <c r="R34" i="200" a="1"/>
  <c r="R34" i="200" s="1"/>
  <c r="Q34" i="200" a="1"/>
  <c r="Q34" i="200" s="1"/>
  <c r="P34" i="200" a="1"/>
  <c r="P34" i="200" s="1"/>
  <c r="O34" i="200" a="1"/>
  <c r="O34" i="200" s="1"/>
  <c r="N34" i="200"/>
  <c r="N34" i="200" a="1"/>
  <c r="M34" i="200" a="1"/>
  <c r="M34" i="200" s="1"/>
  <c r="L34" i="200" a="1"/>
  <c r="L34" i="200" s="1"/>
  <c r="K34" i="200" a="1"/>
  <c r="K34" i="200" s="1"/>
  <c r="J34" i="200" a="1"/>
  <c r="J34" i="200" s="1"/>
  <c r="I34" i="200" a="1"/>
  <c r="I34" i="200" s="1"/>
  <c r="H34" i="200" a="1"/>
  <c r="H34" i="200" s="1"/>
  <c r="G34" i="200" a="1"/>
  <c r="G34" i="200" s="1"/>
  <c r="F34" i="200" a="1"/>
  <c r="F34" i="200" s="1"/>
  <c r="E34" i="200" a="1"/>
  <c r="E34" i="200" s="1"/>
  <c r="D34" i="200" a="1"/>
  <c r="D34" i="200" s="1"/>
  <c r="AA33" i="200" a="1"/>
  <c r="AA33" i="200" s="1"/>
  <c r="Z33" i="200" a="1"/>
  <c r="Z33" i="200" s="1"/>
  <c r="Y33" i="200" a="1"/>
  <c r="Y33" i="200" s="1"/>
  <c r="X33" i="200" a="1"/>
  <c r="X33" i="200" s="1"/>
  <c r="W33" i="200" a="1"/>
  <c r="W33" i="200" s="1"/>
  <c r="V33" i="200" a="1"/>
  <c r="V33" i="200" s="1"/>
  <c r="U33" i="200"/>
  <c r="U33" i="200" a="1"/>
  <c r="T33" i="200"/>
  <c r="T33" i="200" a="1"/>
  <c r="S33" i="200" a="1"/>
  <c r="S33" i="200" s="1"/>
  <c r="R33" i="200" a="1"/>
  <c r="R33" i="200" s="1"/>
  <c r="Q33" i="200" a="1"/>
  <c r="Q33" i="200" s="1"/>
  <c r="P33" i="200" a="1"/>
  <c r="P33" i="200" s="1"/>
  <c r="O33" i="200"/>
  <c r="O33" i="200" a="1"/>
  <c r="N33" i="200" a="1"/>
  <c r="N33" i="200" s="1"/>
  <c r="M33" i="200" a="1"/>
  <c r="M33" i="200" s="1"/>
  <c r="L33" i="200" a="1"/>
  <c r="L33" i="200" s="1"/>
  <c r="K33" i="200" a="1"/>
  <c r="K33" i="200" s="1"/>
  <c r="J33" i="200"/>
  <c r="J33" i="200" a="1"/>
  <c r="I33" i="200" a="1"/>
  <c r="I33" i="200" s="1"/>
  <c r="H33" i="200" a="1"/>
  <c r="H33" i="200" s="1"/>
  <c r="G33" i="200" a="1"/>
  <c r="G33" i="200" s="1"/>
  <c r="F33" i="200" a="1"/>
  <c r="F33" i="200" s="1"/>
  <c r="E33" i="200" a="1"/>
  <c r="E33" i="200" s="1"/>
  <c r="D33" i="200" a="1"/>
  <c r="D33" i="200" s="1"/>
  <c r="AA32" i="200"/>
  <c r="AA32" i="200" a="1"/>
  <c r="Z32" i="200"/>
  <c r="Z32" i="200" a="1"/>
  <c r="Y32" i="200" a="1"/>
  <c r="Y32" i="200" s="1"/>
  <c r="X32" i="200" a="1"/>
  <c r="X32" i="200" s="1"/>
  <c r="W32" i="200" a="1"/>
  <c r="W32" i="200" s="1"/>
  <c r="V32" i="200" a="1"/>
  <c r="V32" i="200" s="1"/>
  <c r="U32" i="200" a="1"/>
  <c r="U32" i="200" s="1"/>
  <c r="T32" i="200" a="1"/>
  <c r="T32" i="200" s="1"/>
  <c r="S32" i="200" a="1"/>
  <c r="S32" i="200" s="1"/>
  <c r="R32" i="200" a="1"/>
  <c r="R32" i="200" s="1"/>
  <c r="Q32" i="200" a="1"/>
  <c r="Q32" i="200" s="1"/>
  <c r="P32" i="200" a="1"/>
  <c r="P32" i="200" s="1"/>
  <c r="O32" i="200" a="1"/>
  <c r="O32" i="200" s="1"/>
  <c r="N32" i="200" a="1"/>
  <c r="N32" i="200" s="1"/>
  <c r="M32" i="200" a="1"/>
  <c r="M32" i="200" s="1"/>
  <c r="L32" i="200" a="1"/>
  <c r="L32" i="200" s="1"/>
  <c r="K32" i="200" a="1"/>
  <c r="K32" i="200" s="1"/>
  <c r="J32" i="200" a="1"/>
  <c r="J32" i="200" s="1"/>
  <c r="I32" i="200" a="1"/>
  <c r="I32" i="200" s="1"/>
  <c r="H32" i="200" a="1"/>
  <c r="H32" i="200" s="1"/>
  <c r="G32" i="200" a="1"/>
  <c r="G32" i="200" s="1"/>
  <c r="F32" i="200" a="1"/>
  <c r="F32" i="200" s="1"/>
  <c r="E32" i="200" a="1"/>
  <c r="E32" i="200" s="1"/>
  <c r="D32" i="200" a="1"/>
  <c r="D32" i="200" s="1"/>
  <c r="AA31" i="200"/>
  <c r="AA31" i="200" a="1"/>
  <c r="Z31" i="200" a="1"/>
  <c r="Z31" i="200" s="1"/>
  <c r="Y31" i="200" a="1"/>
  <c r="Y31" i="200" s="1"/>
  <c r="X31" i="200" a="1"/>
  <c r="X31" i="200" s="1"/>
  <c r="W31" i="200" a="1"/>
  <c r="W31" i="200" s="1"/>
  <c r="V31" i="200" a="1"/>
  <c r="V31" i="200" s="1"/>
  <c r="U31" i="200" a="1"/>
  <c r="U31" i="200" s="1"/>
  <c r="T31" i="200" a="1"/>
  <c r="T31" i="200" s="1"/>
  <c r="S31" i="200" a="1"/>
  <c r="S31" i="200" s="1"/>
  <c r="R31" i="200"/>
  <c r="R31" i="200" a="1"/>
  <c r="Q31" i="200"/>
  <c r="Q31" i="200" a="1"/>
  <c r="P31" i="200" a="1"/>
  <c r="P31" i="200" s="1"/>
  <c r="O31" i="200" a="1"/>
  <c r="O31" i="200" s="1"/>
  <c r="N31" i="200"/>
  <c r="N31" i="200" a="1"/>
  <c r="M31" i="200" a="1"/>
  <c r="M31" i="200" s="1"/>
  <c r="L31" i="200" a="1"/>
  <c r="L31" i="200" s="1"/>
  <c r="K31" i="200" a="1"/>
  <c r="K31" i="200" s="1"/>
  <c r="J31" i="200" a="1"/>
  <c r="J31" i="200" s="1"/>
  <c r="I31" i="200"/>
  <c r="I31" i="200" a="1"/>
  <c r="H31" i="200" a="1"/>
  <c r="H31" i="200" s="1"/>
  <c r="G31" i="200" a="1"/>
  <c r="G31" i="200" s="1"/>
  <c r="F31" i="200" a="1"/>
  <c r="F31" i="200" s="1"/>
  <c r="E31" i="200" a="1"/>
  <c r="E31" i="200" s="1"/>
  <c r="D31" i="200" a="1"/>
  <c r="D31" i="200" s="1"/>
  <c r="AA37" i="201" a="1"/>
  <c r="AA37" i="201" s="1"/>
  <c r="Z37" i="201" a="1"/>
  <c r="Z37" i="201" s="1"/>
  <c r="Y37" i="201" a="1"/>
  <c r="Y37" i="201" s="1"/>
  <c r="X37" i="201" a="1"/>
  <c r="X37" i="201" s="1"/>
  <c r="W37" i="201" a="1"/>
  <c r="W37" i="201" s="1"/>
  <c r="V37" i="201" a="1"/>
  <c r="V37" i="201" s="1"/>
  <c r="U37" i="201"/>
  <c r="U37" i="201" a="1"/>
  <c r="T37" i="201" a="1"/>
  <c r="T37" i="201" s="1"/>
  <c r="S37" i="201" a="1"/>
  <c r="S37" i="201" s="1"/>
  <c r="R37" i="201" a="1"/>
  <c r="R37" i="201" s="1"/>
  <c r="Q37" i="201" a="1"/>
  <c r="Q37" i="201" s="1"/>
  <c r="P37" i="201"/>
  <c r="P37" i="201" a="1"/>
  <c r="O37" i="201"/>
  <c r="O37" i="201" a="1"/>
  <c r="N37" i="201" a="1"/>
  <c r="N37" i="201" s="1"/>
  <c r="M37" i="201" a="1"/>
  <c r="M37" i="201" s="1"/>
  <c r="L37" i="201" a="1"/>
  <c r="L37" i="201" s="1"/>
  <c r="K37" i="201" a="1"/>
  <c r="K37" i="201" s="1"/>
  <c r="J37" i="201"/>
  <c r="J37" i="201" a="1"/>
  <c r="I37" i="201" a="1"/>
  <c r="I37" i="201" s="1"/>
  <c r="H37" i="201" a="1"/>
  <c r="H37" i="201" s="1"/>
  <c r="G37" i="201" a="1"/>
  <c r="G37" i="201" s="1"/>
  <c r="F37" i="201" a="1"/>
  <c r="F37" i="201" s="1"/>
  <c r="E37" i="201" a="1"/>
  <c r="E37" i="201" s="1"/>
  <c r="D37" i="201" a="1"/>
  <c r="D37" i="201" s="1"/>
  <c r="AA36" i="201" a="1"/>
  <c r="AA36" i="201" s="1"/>
  <c r="Z36" i="201"/>
  <c r="Z36" i="201" a="1"/>
  <c r="Y36" i="201" a="1"/>
  <c r="Y36" i="201" s="1"/>
  <c r="X36" i="201" a="1"/>
  <c r="X36" i="201" s="1"/>
  <c r="W36" i="201" a="1"/>
  <c r="W36" i="201" s="1"/>
  <c r="V36" i="201" a="1"/>
  <c r="V36" i="201" s="1"/>
  <c r="U36" i="201" a="1"/>
  <c r="U36" i="201" s="1"/>
  <c r="T36" i="201" a="1"/>
  <c r="T36" i="201" s="1"/>
  <c r="S36" i="201" a="1"/>
  <c r="S36" i="201" s="1"/>
  <c r="R36" i="201" a="1"/>
  <c r="R36" i="201" s="1"/>
  <c r="Q36" i="201" a="1"/>
  <c r="Q36" i="201" s="1"/>
  <c r="P36" i="201" a="1"/>
  <c r="P36" i="201" s="1"/>
  <c r="O36" i="201" a="1"/>
  <c r="O36" i="201" s="1"/>
  <c r="N36" i="201"/>
  <c r="N36" i="201" a="1"/>
  <c r="M36" i="201" a="1"/>
  <c r="M36" i="201" s="1"/>
  <c r="L36" i="201" a="1"/>
  <c r="L36" i="201" s="1"/>
  <c r="K36" i="201" a="1"/>
  <c r="K36" i="201" s="1"/>
  <c r="J36" i="201" a="1"/>
  <c r="J36" i="201" s="1"/>
  <c r="I36" i="201" a="1"/>
  <c r="I36" i="201" s="1"/>
  <c r="H36" i="201" a="1"/>
  <c r="H36" i="201" s="1"/>
  <c r="G36" i="201" a="1"/>
  <c r="G36" i="201" s="1"/>
  <c r="F36" i="201"/>
  <c r="F36" i="201" a="1"/>
  <c r="E36" i="201" a="1"/>
  <c r="E36" i="201" s="1"/>
  <c r="D36" i="201" a="1"/>
  <c r="D36" i="201" s="1"/>
  <c r="AA35" i="201"/>
  <c r="AA35" i="201" a="1"/>
  <c r="Z35" i="201" a="1"/>
  <c r="Z35" i="201" s="1"/>
  <c r="Y35" i="201" a="1"/>
  <c r="Y35" i="201" s="1"/>
  <c r="X35" i="201" a="1"/>
  <c r="X35" i="201" s="1"/>
  <c r="W35" i="201" a="1"/>
  <c r="W35" i="201" s="1"/>
  <c r="V35" i="201" a="1"/>
  <c r="V35" i="201" s="1"/>
  <c r="U35" i="201" a="1"/>
  <c r="U35" i="201" s="1"/>
  <c r="T35" i="201"/>
  <c r="T35" i="201" a="1"/>
  <c r="S35" i="201" a="1"/>
  <c r="S35" i="201" s="1"/>
  <c r="R35" i="201" a="1"/>
  <c r="R35" i="201" s="1"/>
  <c r="Q35" i="201" a="1"/>
  <c r="Q35" i="201" s="1"/>
  <c r="P35" i="201" a="1"/>
  <c r="P35" i="201" s="1"/>
  <c r="O35" i="201" a="1"/>
  <c r="O35" i="201" s="1"/>
  <c r="N35" i="201" a="1"/>
  <c r="N35" i="201" s="1"/>
  <c r="M35" i="201" a="1"/>
  <c r="M35" i="201" s="1"/>
  <c r="L35" i="201"/>
  <c r="L35" i="201" a="1"/>
  <c r="K35" i="201" a="1"/>
  <c r="K35" i="201" s="1"/>
  <c r="J35" i="201" a="1"/>
  <c r="J35" i="201" s="1"/>
  <c r="I35" i="201" a="1"/>
  <c r="I35" i="201" s="1"/>
  <c r="H35" i="201" a="1"/>
  <c r="H35" i="201" s="1"/>
  <c r="G35" i="201" a="1"/>
  <c r="G35" i="201" s="1"/>
  <c r="F35" i="201" a="1"/>
  <c r="F35" i="201" s="1"/>
  <c r="E35" i="201"/>
  <c r="E35" i="201" a="1"/>
  <c r="D35" i="201"/>
  <c r="D35" i="201" a="1"/>
  <c r="AA34" i="201" a="1"/>
  <c r="AA34" i="201" s="1"/>
  <c r="Z34" i="201" a="1"/>
  <c r="Z34" i="201" s="1"/>
  <c r="Y34" i="201" a="1"/>
  <c r="Y34" i="201" s="1"/>
  <c r="X34" i="201" a="1"/>
  <c r="X34" i="201" s="1"/>
  <c r="W34" i="201" a="1"/>
  <c r="W34" i="201" s="1"/>
  <c r="V34" i="201" a="1"/>
  <c r="V34" i="201" s="1"/>
  <c r="U34" i="201"/>
  <c r="U34" i="201" a="1"/>
  <c r="T34" i="201"/>
  <c r="T34" i="201" a="1"/>
  <c r="S34" i="201" a="1"/>
  <c r="S34" i="201" s="1"/>
  <c r="R34" i="201" a="1"/>
  <c r="R34" i="201" s="1"/>
  <c r="Q34" i="201" a="1"/>
  <c r="Q34" i="201" s="1"/>
  <c r="P34" i="201"/>
  <c r="P34" i="201" a="1"/>
  <c r="O34" i="201" a="1"/>
  <c r="O34" i="201" s="1"/>
  <c r="N34" i="201" a="1"/>
  <c r="N34" i="201" s="1"/>
  <c r="M34" i="201" a="1"/>
  <c r="M34" i="201" s="1"/>
  <c r="L34" i="201" a="1"/>
  <c r="L34" i="201" s="1"/>
  <c r="K34" i="201"/>
  <c r="K34" i="201" a="1"/>
  <c r="J34" i="201"/>
  <c r="J34" i="201" a="1"/>
  <c r="I34" i="201" a="1"/>
  <c r="I34" i="201" s="1"/>
  <c r="H34" i="201" a="1"/>
  <c r="H34" i="201" s="1"/>
  <c r="G34" i="201" a="1"/>
  <c r="G34" i="201" s="1"/>
  <c r="F34" i="201" a="1"/>
  <c r="F34" i="201" s="1"/>
  <c r="E34" i="201" a="1"/>
  <c r="E34" i="201" s="1"/>
  <c r="D34" i="201" a="1"/>
  <c r="D34" i="201" s="1"/>
  <c r="AA33" i="201"/>
  <c r="AA33" i="201" a="1"/>
  <c r="Z33" i="201"/>
  <c r="Z33" i="201" a="1"/>
  <c r="Y33" i="201" a="1"/>
  <c r="Y33" i="201" s="1"/>
  <c r="X33" i="201" a="1"/>
  <c r="X33" i="201" s="1"/>
  <c r="W33" i="201" a="1"/>
  <c r="W33" i="201" s="1"/>
  <c r="V33" i="201"/>
  <c r="V33" i="201" a="1"/>
  <c r="U33" i="201"/>
  <c r="U33" i="201" a="1"/>
  <c r="T33" i="201" a="1"/>
  <c r="T33" i="201" s="1"/>
  <c r="S33" i="201" a="1"/>
  <c r="S33" i="201" s="1"/>
  <c r="R33" i="201" a="1"/>
  <c r="R33" i="201" s="1"/>
  <c r="Q33" i="201" a="1"/>
  <c r="Q33" i="201" s="1"/>
  <c r="P33" i="201" a="1"/>
  <c r="P33" i="201" s="1"/>
  <c r="O33" i="201" a="1"/>
  <c r="O33" i="201" s="1"/>
  <c r="N33" i="201" a="1"/>
  <c r="N33" i="201" s="1"/>
  <c r="M33" i="201" a="1"/>
  <c r="M33" i="201" s="1"/>
  <c r="L33" i="201"/>
  <c r="L33" i="201" a="1"/>
  <c r="K33" i="201"/>
  <c r="K33" i="201" a="1"/>
  <c r="J33" i="201"/>
  <c r="J33" i="201" a="1"/>
  <c r="I33" i="201" a="1"/>
  <c r="I33" i="201" s="1"/>
  <c r="H33" i="201"/>
  <c r="H33" i="201" a="1"/>
  <c r="G33" i="201" a="1"/>
  <c r="G33" i="201" s="1"/>
  <c r="F33" i="201" a="1"/>
  <c r="F33" i="201" s="1"/>
  <c r="E33" i="201"/>
  <c r="E33" i="201" a="1"/>
  <c r="D33" i="201" a="1"/>
  <c r="D33" i="201" s="1"/>
  <c r="AA32" i="201" a="1"/>
  <c r="AA32" i="201" s="1"/>
  <c r="Z32" i="201" a="1"/>
  <c r="Z32" i="201" s="1"/>
  <c r="Y32" i="201" a="1"/>
  <c r="Y32" i="201" s="1"/>
  <c r="X32" i="201"/>
  <c r="X32" i="201" a="1"/>
  <c r="W32" i="201"/>
  <c r="W32" i="201" a="1"/>
  <c r="V32" i="201" a="1"/>
  <c r="V32" i="201" s="1"/>
  <c r="U32" i="201" a="1"/>
  <c r="U32" i="201" s="1"/>
  <c r="T32" i="201" a="1"/>
  <c r="T32" i="201" s="1"/>
  <c r="S32" i="201" a="1"/>
  <c r="S32" i="201" s="1"/>
  <c r="R32" i="201" a="1"/>
  <c r="R32" i="201" s="1"/>
  <c r="Q32" i="201" a="1"/>
  <c r="Q32" i="201" s="1"/>
  <c r="P32" i="201" a="1"/>
  <c r="P32" i="201" s="1"/>
  <c r="O32" i="201"/>
  <c r="O32" i="201" a="1"/>
  <c r="N32" i="201" a="1"/>
  <c r="N32" i="201" s="1"/>
  <c r="M32" i="201" a="1"/>
  <c r="M32" i="201" s="1"/>
  <c r="L32" i="201"/>
  <c r="L32" i="201" a="1"/>
  <c r="K32" i="201" a="1"/>
  <c r="K32" i="201" s="1"/>
  <c r="J32" i="201" a="1"/>
  <c r="J32" i="201" s="1"/>
  <c r="I32" i="201" a="1"/>
  <c r="I32" i="201" s="1"/>
  <c r="H32" i="201" a="1"/>
  <c r="H32" i="201" s="1"/>
  <c r="G32" i="201" a="1"/>
  <c r="G32" i="201" s="1"/>
  <c r="F32" i="201" a="1"/>
  <c r="F32" i="201" s="1"/>
  <c r="E32" i="201" a="1"/>
  <c r="E32" i="201" s="1"/>
  <c r="D32" i="201" a="1"/>
  <c r="D32" i="201" s="1"/>
  <c r="AA31" i="201" a="1"/>
  <c r="AA31" i="201" s="1"/>
  <c r="Z31" i="201" a="1"/>
  <c r="Z31" i="201" s="1"/>
  <c r="Y31" i="201" a="1"/>
  <c r="Y31" i="201" s="1"/>
  <c r="X31" i="201" a="1"/>
  <c r="X31" i="201" s="1"/>
  <c r="W31" i="201" a="1"/>
  <c r="W31" i="201" s="1"/>
  <c r="V31" i="201" a="1"/>
  <c r="V31" i="201" s="1"/>
  <c r="U31" i="201" a="1"/>
  <c r="U31" i="201" s="1"/>
  <c r="T31" i="201" a="1"/>
  <c r="T31" i="201" s="1"/>
  <c r="S31" i="201" a="1"/>
  <c r="S31" i="201" s="1"/>
  <c r="R31" i="201" a="1"/>
  <c r="R31" i="201" s="1"/>
  <c r="Q31" i="201" a="1"/>
  <c r="Q31" i="201" s="1"/>
  <c r="P31" i="201" a="1"/>
  <c r="P31" i="201" s="1"/>
  <c r="O31" i="201"/>
  <c r="O31" i="201" a="1"/>
  <c r="N31" i="201" a="1"/>
  <c r="N31" i="201" s="1"/>
  <c r="M31" i="201" a="1"/>
  <c r="M31" i="201" s="1"/>
  <c r="L31" i="201"/>
  <c r="L31" i="201" a="1"/>
  <c r="K31" i="201" a="1"/>
  <c r="K31" i="201" s="1"/>
  <c r="J31" i="201" a="1"/>
  <c r="J31" i="201" s="1"/>
  <c r="I31" i="201"/>
  <c r="I31" i="201" a="1"/>
  <c r="H31" i="201"/>
  <c r="H31" i="201" a="1"/>
  <c r="G31" i="201" a="1"/>
  <c r="G31" i="201" s="1"/>
  <c r="F31" i="201" a="1"/>
  <c r="F31" i="201" s="1"/>
  <c r="E31" i="201" a="1"/>
  <c r="E31" i="201" s="1"/>
  <c r="D31" i="201" a="1"/>
  <c r="D31" i="201" s="1"/>
  <c r="AA37" i="202" a="1"/>
  <c r="AA37" i="202" s="1"/>
  <c r="Z37" i="202" a="1"/>
  <c r="Z37" i="202" s="1"/>
  <c r="Y37" i="202" a="1"/>
  <c r="Y37" i="202" s="1"/>
  <c r="X37" i="202" a="1"/>
  <c r="X37" i="202" s="1"/>
  <c r="W37" i="202"/>
  <c r="W37" i="202" a="1"/>
  <c r="V37" i="202"/>
  <c r="V37" i="202" a="1"/>
  <c r="U37" i="202"/>
  <c r="U37" i="202" a="1"/>
  <c r="T37" i="202" a="1"/>
  <c r="T37" i="202" s="1"/>
  <c r="S37" i="202" a="1"/>
  <c r="S37" i="202" s="1"/>
  <c r="R37" i="202" a="1"/>
  <c r="R37" i="202" s="1"/>
  <c r="Q37" i="202"/>
  <c r="Q37" i="202" a="1"/>
  <c r="P37" i="202" a="1"/>
  <c r="P37" i="202" s="1"/>
  <c r="O37" i="202" a="1"/>
  <c r="O37" i="202" s="1"/>
  <c r="N37" i="202" a="1"/>
  <c r="N37" i="202" s="1"/>
  <c r="M37" i="202" a="1"/>
  <c r="M37" i="202" s="1"/>
  <c r="L37" i="202"/>
  <c r="L37" i="202" a="1"/>
  <c r="K37" i="202" a="1"/>
  <c r="K37" i="202" s="1"/>
  <c r="J37" i="202" a="1"/>
  <c r="J37" i="202" s="1"/>
  <c r="I37" i="202" a="1"/>
  <c r="I37" i="202" s="1"/>
  <c r="H37" i="202" a="1"/>
  <c r="H37" i="202" s="1"/>
  <c r="G37" i="202" a="1"/>
  <c r="G37" i="202" s="1"/>
  <c r="F37" i="202"/>
  <c r="F37" i="202" a="1"/>
  <c r="E37" i="202" a="1"/>
  <c r="E37" i="202" s="1"/>
  <c r="D37" i="202" a="1"/>
  <c r="D37" i="202" s="1"/>
  <c r="AA36" i="202" a="1"/>
  <c r="AA36" i="202" s="1"/>
  <c r="Z36" i="202" a="1"/>
  <c r="Z36" i="202" s="1"/>
  <c r="Y36" i="202" a="1"/>
  <c r="Y36" i="202" s="1"/>
  <c r="X36" i="202"/>
  <c r="X36" i="202" a="1"/>
  <c r="W36" i="202"/>
  <c r="W36" i="202" a="1"/>
  <c r="V36" i="202" a="1"/>
  <c r="V36" i="202" s="1"/>
  <c r="U36" i="202" a="1"/>
  <c r="U36" i="202" s="1"/>
  <c r="T36" i="202" a="1"/>
  <c r="T36" i="202" s="1"/>
  <c r="S36" i="202" a="1"/>
  <c r="S36" i="202" s="1"/>
  <c r="R36" i="202" a="1"/>
  <c r="R36" i="202" s="1"/>
  <c r="Q36" i="202" a="1"/>
  <c r="Q36" i="202" s="1"/>
  <c r="P36" i="202" a="1"/>
  <c r="P36" i="202" s="1"/>
  <c r="O36" i="202" a="1"/>
  <c r="O36" i="202" s="1"/>
  <c r="N36" i="202" a="1"/>
  <c r="N36" i="202" s="1"/>
  <c r="M36" i="202" a="1"/>
  <c r="M36" i="202" s="1"/>
  <c r="L36" i="202"/>
  <c r="L36" i="202" a="1"/>
  <c r="K36" i="202" a="1"/>
  <c r="K36" i="202" s="1"/>
  <c r="J36" i="202" a="1"/>
  <c r="J36" i="202" s="1"/>
  <c r="I36" i="202" a="1"/>
  <c r="I36" i="202" s="1"/>
  <c r="H36" i="202" a="1"/>
  <c r="H36" i="202" s="1"/>
  <c r="G36" i="202" a="1"/>
  <c r="G36" i="202" s="1"/>
  <c r="F36" i="202" a="1"/>
  <c r="F36" i="202" s="1"/>
  <c r="E36" i="202" a="1"/>
  <c r="E36" i="202" s="1"/>
  <c r="D36" i="202"/>
  <c r="D36" i="202" a="1"/>
  <c r="AA35" i="202" a="1"/>
  <c r="AA35" i="202" s="1"/>
  <c r="Z35" i="202" a="1"/>
  <c r="Z35" i="202" s="1"/>
  <c r="Y35" i="202" a="1"/>
  <c r="Y35" i="202" s="1"/>
  <c r="X35" i="202"/>
  <c r="X35" i="202" a="1"/>
  <c r="W35" i="202" a="1"/>
  <c r="W35" i="202" s="1"/>
  <c r="V35" i="202"/>
  <c r="V35" i="202" a="1"/>
  <c r="U35" i="202"/>
  <c r="U35" i="202" a="1"/>
  <c r="T35" i="202" a="1"/>
  <c r="T35" i="202" s="1"/>
  <c r="S35" i="202" a="1"/>
  <c r="S35" i="202" s="1"/>
  <c r="R35" i="202" a="1"/>
  <c r="R35" i="202" s="1"/>
  <c r="Q35" i="202" a="1"/>
  <c r="Q35" i="202" s="1"/>
  <c r="P35" i="202" a="1"/>
  <c r="P35" i="202" s="1"/>
  <c r="O35" i="202" a="1"/>
  <c r="O35" i="202" s="1"/>
  <c r="N35" i="202" a="1"/>
  <c r="N35" i="202" s="1"/>
  <c r="M35" i="202" a="1"/>
  <c r="M35" i="202" s="1"/>
  <c r="L35" i="202"/>
  <c r="L35" i="202" a="1"/>
  <c r="K35" i="202" a="1"/>
  <c r="K35" i="202" s="1"/>
  <c r="J35" i="202" a="1"/>
  <c r="J35" i="202" s="1"/>
  <c r="I35" i="202" a="1"/>
  <c r="I35" i="202" s="1"/>
  <c r="H35" i="202" a="1"/>
  <c r="H35" i="202" s="1"/>
  <c r="G35" i="202" a="1"/>
  <c r="G35" i="202" s="1"/>
  <c r="F35" i="202" a="1"/>
  <c r="F35" i="202" s="1"/>
  <c r="E35" i="202" a="1"/>
  <c r="E35" i="202" s="1"/>
  <c r="D35" i="202" a="1"/>
  <c r="D35" i="202" s="1"/>
  <c r="AA34" i="202" a="1"/>
  <c r="AA34" i="202" s="1"/>
  <c r="Z34" i="202" a="1"/>
  <c r="Z34" i="202" s="1"/>
  <c r="Y34" i="202" a="1"/>
  <c r="Y34" i="202" s="1"/>
  <c r="X34" i="202" a="1"/>
  <c r="X34" i="202" s="1"/>
  <c r="W34" i="202"/>
  <c r="W34" i="202" a="1"/>
  <c r="V34" i="202" a="1"/>
  <c r="V34" i="202" s="1"/>
  <c r="U34" i="202"/>
  <c r="U34" i="202" a="1"/>
  <c r="T34" i="202"/>
  <c r="T34" i="202" a="1"/>
  <c r="S34" i="202" a="1"/>
  <c r="S34" i="202" s="1"/>
  <c r="R34" i="202" a="1"/>
  <c r="R34" i="202" s="1"/>
  <c r="Q34" i="202" a="1"/>
  <c r="Q34" i="202" s="1"/>
  <c r="P34" i="202" a="1"/>
  <c r="P34" i="202" s="1"/>
  <c r="O34" i="202" a="1"/>
  <c r="O34" i="202" s="1"/>
  <c r="N34" i="202" a="1"/>
  <c r="N34" i="202" s="1"/>
  <c r="M34" i="202" a="1"/>
  <c r="M34" i="202" s="1"/>
  <c r="L34" i="202" a="1"/>
  <c r="L34" i="202" s="1"/>
  <c r="K34" i="202" a="1"/>
  <c r="K34" i="202" s="1"/>
  <c r="J34" i="202"/>
  <c r="J34" i="202" a="1"/>
  <c r="I34" i="202" a="1"/>
  <c r="I34" i="202" s="1"/>
  <c r="H34" i="202" a="1"/>
  <c r="H34" i="202" s="1"/>
  <c r="G34" i="202"/>
  <c r="G34" i="202" a="1"/>
  <c r="F34" i="202" a="1"/>
  <c r="F34" i="202" s="1"/>
  <c r="E34" i="202" a="1"/>
  <c r="E34" i="202" s="1"/>
  <c r="D34" i="202"/>
  <c r="D34" i="202" a="1"/>
  <c r="AA33" i="202" a="1"/>
  <c r="AA33" i="202" s="1"/>
  <c r="Z33" i="202" a="1"/>
  <c r="Z33" i="202" s="1"/>
  <c r="Y33" i="202" a="1"/>
  <c r="Y33" i="202" s="1"/>
  <c r="X33" i="202" a="1"/>
  <c r="X33" i="202" s="1"/>
  <c r="W33" i="202" a="1"/>
  <c r="W33" i="202" s="1"/>
  <c r="V33" i="202" a="1"/>
  <c r="V33" i="202" s="1"/>
  <c r="U33" i="202" a="1"/>
  <c r="U33" i="202" s="1"/>
  <c r="T33" i="202" a="1"/>
  <c r="T33" i="202" s="1"/>
  <c r="S33" i="202"/>
  <c r="S33" i="202" a="1"/>
  <c r="R33" i="202" a="1"/>
  <c r="R33" i="202" s="1"/>
  <c r="Q33" i="202" a="1"/>
  <c r="Q33" i="202" s="1"/>
  <c r="P33" i="202" a="1"/>
  <c r="P33" i="202" s="1"/>
  <c r="O33" i="202" a="1"/>
  <c r="O33" i="202" s="1"/>
  <c r="N33" i="202" a="1"/>
  <c r="N33" i="202" s="1"/>
  <c r="M33" i="202" a="1"/>
  <c r="M33" i="202" s="1"/>
  <c r="L33" i="202" a="1"/>
  <c r="L33" i="202" s="1"/>
  <c r="K33" i="202" a="1"/>
  <c r="K33" i="202" s="1"/>
  <c r="J33" i="202" a="1"/>
  <c r="J33" i="202" s="1"/>
  <c r="I33" i="202" a="1"/>
  <c r="I33" i="202" s="1"/>
  <c r="H33" i="202" a="1"/>
  <c r="H33" i="202" s="1"/>
  <c r="G33" i="202" a="1"/>
  <c r="G33" i="202" s="1"/>
  <c r="F33" i="202" a="1"/>
  <c r="F33" i="202" s="1"/>
  <c r="E33" i="202" a="1"/>
  <c r="E33" i="202" s="1"/>
  <c r="D33" i="202" a="1"/>
  <c r="D33" i="202" s="1"/>
  <c r="AA32" i="202" a="1"/>
  <c r="AA32" i="202" s="1"/>
  <c r="Z32" i="202"/>
  <c r="Z32" i="202" a="1"/>
  <c r="Y32" i="202" a="1"/>
  <c r="Y32" i="202" s="1"/>
  <c r="X32" i="202" a="1"/>
  <c r="X32" i="202" s="1"/>
  <c r="W32" i="202" a="1"/>
  <c r="W32" i="202" s="1"/>
  <c r="V32" i="202" a="1"/>
  <c r="V32" i="202" s="1"/>
  <c r="U32" i="202" a="1"/>
  <c r="U32" i="202" s="1"/>
  <c r="T32" i="202" a="1"/>
  <c r="T32" i="202" s="1"/>
  <c r="S32" i="202" a="1"/>
  <c r="S32" i="202" s="1"/>
  <c r="R32" i="202" a="1"/>
  <c r="R32" i="202" s="1"/>
  <c r="Q32" i="202" a="1"/>
  <c r="Q32" i="202" s="1"/>
  <c r="P32" i="202"/>
  <c r="P32" i="202" a="1"/>
  <c r="O32" i="202" a="1"/>
  <c r="O32" i="202" s="1"/>
  <c r="N32" i="202" a="1"/>
  <c r="N32" i="202" s="1"/>
  <c r="M32" i="202" a="1"/>
  <c r="M32" i="202" s="1"/>
  <c r="L32" i="202" a="1"/>
  <c r="L32" i="202" s="1"/>
  <c r="K32" i="202" a="1"/>
  <c r="K32" i="202" s="1"/>
  <c r="J32" i="202" a="1"/>
  <c r="J32" i="202" s="1"/>
  <c r="I32" i="202" a="1"/>
  <c r="I32" i="202" s="1"/>
  <c r="H32" i="202" a="1"/>
  <c r="H32" i="202" s="1"/>
  <c r="G32" i="202" a="1"/>
  <c r="G32" i="202" s="1"/>
  <c r="F32" i="202" a="1"/>
  <c r="F32" i="202" s="1"/>
  <c r="E32" i="202" a="1"/>
  <c r="E32" i="202" s="1"/>
  <c r="D32" i="202" a="1"/>
  <c r="D32" i="202" s="1"/>
  <c r="AA31" i="202" a="1"/>
  <c r="AA31" i="202" s="1"/>
  <c r="Z31" i="202" a="1"/>
  <c r="Z31" i="202" s="1"/>
  <c r="Y31" i="202" a="1"/>
  <c r="Y31" i="202" s="1"/>
  <c r="X31" i="202" a="1"/>
  <c r="X31" i="202" s="1"/>
  <c r="W31" i="202" a="1"/>
  <c r="W31" i="202" s="1"/>
  <c r="V31" i="202" a="1"/>
  <c r="V31" i="202" s="1"/>
  <c r="U31" i="202" a="1"/>
  <c r="U31" i="202" s="1"/>
  <c r="T31" i="202" a="1"/>
  <c r="T31" i="202" s="1"/>
  <c r="S31" i="202" a="1"/>
  <c r="S31" i="202" s="1"/>
  <c r="R31" i="202" a="1"/>
  <c r="R31" i="202" s="1"/>
  <c r="Q31" i="202" a="1"/>
  <c r="Q31" i="202" s="1"/>
  <c r="P31" i="202" a="1"/>
  <c r="P31" i="202" s="1"/>
  <c r="O31" i="202" a="1"/>
  <c r="O31" i="202" s="1"/>
  <c r="N31" i="202" a="1"/>
  <c r="N31" i="202" s="1"/>
  <c r="M31" i="202" a="1"/>
  <c r="M31" i="202" s="1"/>
  <c r="L31" i="202" a="1"/>
  <c r="L31" i="202" s="1"/>
  <c r="K31" i="202" a="1"/>
  <c r="K31" i="202" s="1"/>
  <c r="J31" i="202" a="1"/>
  <c r="J31" i="202" s="1"/>
  <c r="I31" i="202" a="1"/>
  <c r="I31" i="202" s="1"/>
  <c r="H31" i="202" a="1"/>
  <c r="H31" i="202" s="1"/>
  <c r="G31" i="202" a="1"/>
  <c r="G31" i="202" s="1"/>
  <c r="F31" i="202" a="1"/>
  <c r="F31" i="202" s="1"/>
  <c r="E31" i="202" a="1"/>
  <c r="E31" i="202" s="1"/>
  <c r="D31" i="202" a="1"/>
  <c r="D31" i="202" s="1"/>
  <c r="AA37" i="203" a="1"/>
  <c r="AA37" i="203" s="1"/>
  <c r="Z37" i="203" a="1"/>
  <c r="Z37" i="203" s="1"/>
  <c r="Y37" i="203" a="1"/>
  <c r="Y37" i="203" s="1"/>
  <c r="X37" i="203" a="1"/>
  <c r="X37" i="203" s="1"/>
  <c r="W37" i="203" a="1"/>
  <c r="W37" i="203" s="1"/>
  <c r="V37" i="203" a="1"/>
  <c r="V37" i="203" s="1"/>
  <c r="U37" i="203" a="1"/>
  <c r="U37" i="203" s="1"/>
  <c r="T37" i="203" a="1"/>
  <c r="T37" i="203" s="1"/>
  <c r="S37" i="203" a="1"/>
  <c r="S37" i="203" s="1"/>
  <c r="R37" i="203" a="1"/>
  <c r="R37" i="203" s="1"/>
  <c r="Q37" i="203" a="1"/>
  <c r="Q37" i="203" s="1"/>
  <c r="P37" i="203" a="1"/>
  <c r="P37" i="203" s="1"/>
  <c r="O37" i="203" a="1"/>
  <c r="O37" i="203" s="1"/>
  <c r="N37" i="203" a="1"/>
  <c r="N37" i="203" s="1"/>
  <c r="M37" i="203" a="1"/>
  <c r="M37" i="203" s="1"/>
  <c r="L37" i="203" a="1"/>
  <c r="L37" i="203" s="1"/>
  <c r="K37" i="203" a="1"/>
  <c r="K37" i="203" s="1"/>
  <c r="J37" i="203" a="1"/>
  <c r="J37" i="203" s="1"/>
  <c r="I37" i="203" a="1"/>
  <c r="I37" i="203" s="1"/>
  <c r="H37" i="203" a="1"/>
  <c r="H37" i="203" s="1"/>
  <c r="G37" i="203" a="1"/>
  <c r="G37" i="203" s="1"/>
  <c r="F37" i="203" a="1"/>
  <c r="F37" i="203" s="1"/>
  <c r="E37" i="203" a="1"/>
  <c r="E37" i="203" s="1"/>
  <c r="D37" i="203" a="1"/>
  <c r="D37" i="203" s="1"/>
  <c r="AA36" i="203" a="1"/>
  <c r="AA36" i="203" s="1"/>
  <c r="Z36" i="203" a="1"/>
  <c r="Z36" i="203" s="1"/>
  <c r="Y36" i="203" a="1"/>
  <c r="Y36" i="203" s="1"/>
  <c r="X36" i="203" a="1"/>
  <c r="X36" i="203" s="1"/>
  <c r="W36" i="203" a="1"/>
  <c r="W36" i="203" s="1"/>
  <c r="V36" i="203" a="1"/>
  <c r="V36" i="203" s="1"/>
  <c r="U36" i="203" a="1"/>
  <c r="U36" i="203" s="1"/>
  <c r="T36" i="203" a="1"/>
  <c r="T36" i="203" s="1"/>
  <c r="S36" i="203" a="1"/>
  <c r="S36" i="203" s="1"/>
  <c r="R36" i="203" a="1"/>
  <c r="R36" i="203" s="1"/>
  <c r="Q36" i="203" a="1"/>
  <c r="Q36" i="203" s="1"/>
  <c r="P36" i="203" a="1"/>
  <c r="P36" i="203" s="1"/>
  <c r="O36" i="203" a="1"/>
  <c r="O36" i="203" s="1"/>
  <c r="N36" i="203" a="1"/>
  <c r="N36" i="203" s="1"/>
  <c r="M36" i="203" a="1"/>
  <c r="M36" i="203" s="1"/>
  <c r="L36" i="203" a="1"/>
  <c r="L36" i="203" s="1"/>
  <c r="K36" i="203" a="1"/>
  <c r="K36" i="203" s="1"/>
  <c r="J36" i="203" a="1"/>
  <c r="J36" i="203" s="1"/>
  <c r="I36" i="203" a="1"/>
  <c r="I36" i="203" s="1"/>
  <c r="H36" i="203" a="1"/>
  <c r="H36" i="203" s="1"/>
  <c r="G36" i="203" a="1"/>
  <c r="G36" i="203" s="1"/>
  <c r="F36" i="203" a="1"/>
  <c r="F36" i="203" s="1"/>
  <c r="E36" i="203" a="1"/>
  <c r="E36" i="203" s="1"/>
  <c r="D36" i="203" a="1"/>
  <c r="D36" i="203" s="1"/>
  <c r="AA35" i="203" a="1"/>
  <c r="AA35" i="203" s="1"/>
  <c r="Z35" i="203" a="1"/>
  <c r="Z35" i="203" s="1"/>
  <c r="Y35" i="203" a="1"/>
  <c r="Y35" i="203" s="1"/>
  <c r="X35" i="203" a="1"/>
  <c r="X35" i="203" s="1"/>
  <c r="W35" i="203" a="1"/>
  <c r="W35" i="203" s="1"/>
  <c r="V35" i="203" a="1"/>
  <c r="V35" i="203" s="1"/>
  <c r="U35" i="203" a="1"/>
  <c r="U35" i="203" s="1"/>
  <c r="T35" i="203" a="1"/>
  <c r="T35" i="203" s="1"/>
  <c r="S35" i="203" a="1"/>
  <c r="S35" i="203" s="1"/>
  <c r="R35" i="203" a="1"/>
  <c r="R35" i="203" s="1"/>
  <c r="Q35" i="203" a="1"/>
  <c r="Q35" i="203" s="1"/>
  <c r="P35" i="203" a="1"/>
  <c r="P35" i="203" s="1"/>
  <c r="O35" i="203" a="1"/>
  <c r="O35" i="203" s="1"/>
  <c r="N35" i="203" a="1"/>
  <c r="N35" i="203" s="1"/>
  <c r="M35" i="203" a="1"/>
  <c r="M35" i="203" s="1"/>
  <c r="L35" i="203" a="1"/>
  <c r="L35" i="203" s="1"/>
  <c r="K35" i="203" a="1"/>
  <c r="K35" i="203" s="1"/>
  <c r="J35" i="203" a="1"/>
  <c r="J35" i="203" s="1"/>
  <c r="I35" i="203" a="1"/>
  <c r="I35" i="203" s="1"/>
  <c r="H35" i="203" a="1"/>
  <c r="H35" i="203" s="1"/>
  <c r="G35" i="203" a="1"/>
  <c r="G35" i="203" s="1"/>
  <c r="F35" i="203" a="1"/>
  <c r="F35" i="203" s="1"/>
  <c r="E35" i="203" a="1"/>
  <c r="E35" i="203" s="1"/>
  <c r="D35" i="203" a="1"/>
  <c r="D35" i="203" s="1"/>
  <c r="AA34" i="203" a="1"/>
  <c r="AA34" i="203" s="1"/>
  <c r="Z34" i="203" a="1"/>
  <c r="Z34" i="203" s="1"/>
  <c r="Y34" i="203" a="1"/>
  <c r="Y34" i="203" s="1"/>
  <c r="X34" i="203" a="1"/>
  <c r="X34" i="203" s="1"/>
  <c r="W34" i="203" a="1"/>
  <c r="W34" i="203" s="1"/>
  <c r="V34" i="203" a="1"/>
  <c r="V34" i="203" s="1"/>
  <c r="U34" i="203" a="1"/>
  <c r="U34" i="203" s="1"/>
  <c r="T34" i="203" a="1"/>
  <c r="T34" i="203" s="1"/>
  <c r="S34" i="203" a="1"/>
  <c r="S34" i="203" s="1"/>
  <c r="R34" i="203" a="1"/>
  <c r="R34" i="203" s="1"/>
  <c r="Q34" i="203" a="1"/>
  <c r="Q34" i="203" s="1"/>
  <c r="P34" i="203" a="1"/>
  <c r="P34" i="203" s="1"/>
  <c r="O34" i="203" a="1"/>
  <c r="O34" i="203" s="1"/>
  <c r="N34" i="203" a="1"/>
  <c r="N34" i="203" s="1"/>
  <c r="M34" i="203" a="1"/>
  <c r="M34" i="203" s="1"/>
  <c r="L34" i="203" a="1"/>
  <c r="L34" i="203" s="1"/>
  <c r="K34" i="203" a="1"/>
  <c r="K34" i="203" s="1"/>
  <c r="J34" i="203" a="1"/>
  <c r="J34" i="203" s="1"/>
  <c r="I34" i="203" a="1"/>
  <c r="I34" i="203" s="1"/>
  <c r="H34" i="203" a="1"/>
  <c r="H34" i="203" s="1"/>
  <c r="G34" i="203" a="1"/>
  <c r="G34" i="203" s="1"/>
  <c r="F34" i="203" a="1"/>
  <c r="F34" i="203" s="1"/>
  <c r="E34" i="203" a="1"/>
  <c r="E34" i="203" s="1"/>
  <c r="D34" i="203" a="1"/>
  <c r="D34" i="203" s="1"/>
  <c r="AA33" i="203" a="1"/>
  <c r="AA33" i="203" s="1"/>
  <c r="Z33" i="203" a="1"/>
  <c r="Z33" i="203" s="1"/>
  <c r="Y33" i="203" a="1"/>
  <c r="Y33" i="203" s="1"/>
  <c r="X33" i="203" a="1"/>
  <c r="X33" i="203" s="1"/>
  <c r="W33" i="203" a="1"/>
  <c r="W33" i="203" s="1"/>
  <c r="V33" i="203" a="1"/>
  <c r="V33" i="203" s="1"/>
  <c r="U33" i="203" a="1"/>
  <c r="U33" i="203" s="1"/>
  <c r="T33" i="203" a="1"/>
  <c r="T33" i="203" s="1"/>
  <c r="S33" i="203" a="1"/>
  <c r="S33" i="203" s="1"/>
  <c r="R33" i="203" a="1"/>
  <c r="R33" i="203" s="1"/>
  <c r="Q33" i="203" a="1"/>
  <c r="Q33" i="203" s="1"/>
  <c r="P33" i="203" a="1"/>
  <c r="P33" i="203" s="1"/>
  <c r="O33" i="203" a="1"/>
  <c r="O33" i="203" s="1"/>
  <c r="N33" i="203" a="1"/>
  <c r="N33" i="203" s="1"/>
  <c r="M33" i="203" a="1"/>
  <c r="M33" i="203" s="1"/>
  <c r="L33" i="203" a="1"/>
  <c r="L33" i="203" s="1"/>
  <c r="K33" i="203" a="1"/>
  <c r="K33" i="203" s="1"/>
  <c r="J33" i="203" a="1"/>
  <c r="J33" i="203" s="1"/>
  <c r="I33" i="203" a="1"/>
  <c r="I33" i="203" s="1"/>
  <c r="H33" i="203" a="1"/>
  <c r="H33" i="203" s="1"/>
  <c r="G33" i="203" a="1"/>
  <c r="G33" i="203" s="1"/>
  <c r="F33" i="203" a="1"/>
  <c r="F33" i="203" s="1"/>
  <c r="E33" i="203" a="1"/>
  <c r="E33" i="203" s="1"/>
  <c r="D33" i="203" a="1"/>
  <c r="D33" i="203" s="1"/>
  <c r="AA32" i="203" a="1"/>
  <c r="AA32" i="203" s="1"/>
  <c r="Z32" i="203" a="1"/>
  <c r="Z32" i="203" s="1"/>
  <c r="Y32" i="203" a="1"/>
  <c r="Y32" i="203" s="1"/>
  <c r="X32" i="203" a="1"/>
  <c r="X32" i="203" s="1"/>
  <c r="W32" i="203" a="1"/>
  <c r="W32" i="203" s="1"/>
  <c r="V32" i="203" a="1"/>
  <c r="V32" i="203" s="1"/>
  <c r="U32" i="203" a="1"/>
  <c r="U32" i="203" s="1"/>
  <c r="T32" i="203" a="1"/>
  <c r="T32" i="203" s="1"/>
  <c r="S32" i="203" a="1"/>
  <c r="S32" i="203" s="1"/>
  <c r="R32" i="203" a="1"/>
  <c r="R32" i="203" s="1"/>
  <c r="Q32" i="203" a="1"/>
  <c r="Q32" i="203" s="1"/>
  <c r="P32" i="203" a="1"/>
  <c r="P32" i="203" s="1"/>
  <c r="O32" i="203" a="1"/>
  <c r="O32" i="203" s="1"/>
  <c r="N32" i="203" a="1"/>
  <c r="N32" i="203" s="1"/>
  <c r="M32" i="203" a="1"/>
  <c r="M32" i="203" s="1"/>
  <c r="L32" i="203" a="1"/>
  <c r="L32" i="203" s="1"/>
  <c r="K32" i="203" a="1"/>
  <c r="K32" i="203" s="1"/>
  <c r="J32" i="203" a="1"/>
  <c r="J32" i="203" s="1"/>
  <c r="I32" i="203" a="1"/>
  <c r="I32" i="203" s="1"/>
  <c r="H32" i="203" a="1"/>
  <c r="H32" i="203" s="1"/>
  <c r="G32" i="203" a="1"/>
  <c r="G32" i="203" s="1"/>
  <c r="F32" i="203" a="1"/>
  <c r="F32" i="203" s="1"/>
  <c r="E32" i="203" a="1"/>
  <c r="E32" i="203" s="1"/>
  <c r="D32" i="203" a="1"/>
  <c r="D32" i="203" s="1"/>
  <c r="AA31" i="203" a="1"/>
  <c r="AA31" i="203" s="1"/>
  <c r="Z31" i="203" a="1"/>
  <c r="Z31" i="203" s="1"/>
  <c r="Y31" i="203" a="1"/>
  <c r="Y31" i="203" s="1"/>
  <c r="X31" i="203" a="1"/>
  <c r="X31" i="203" s="1"/>
  <c r="W31" i="203" a="1"/>
  <c r="W31" i="203" s="1"/>
  <c r="V31" i="203" a="1"/>
  <c r="V31" i="203" s="1"/>
  <c r="U31" i="203" a="1"/>
  <c r="U31" i="203" s="1"/>
  <c r="T31" i="203" a="1"/>
  <c r="T31" i="203" s="1"/>
  <c r="S31" i="203" a="1"/>
  <c r="S31" i="203" s="1"/>
  <c r="R31" i="203" a="1"/>
  <c r="R31" i="203" s="1"/>
  <c r="Q31" i="203" a="1"/>
  <c r="Q31" i="203" s="1"/>
  <c r="P31" i="203" a="1"/>
  <c r="P31" i="203" s="1"/>
  <c r="O31" i="203" a="1"/>
  <c r="O31" i="203" s="1"/>
  <c r="N31" i="203" a="1"/>
  <c r="N31" i="203" s="1"/>
  <c r="M31" i="203" a="1"/>
  <c r="M31" i="203" s="1"/>
  <c r="L31" i="203" a="1"/>
  <c r="L31" i="203" s="1"/>
  <c r="K31" i="203" a="1"/>
  <c r="K31" i="203" s="1"/>
  <c r="J31" i="203" a="1"/>
  <c r="J31" i="203" s="1"/>
  <c r="I31" i="203" a="1"/>
  <c r="I31" i="203" s="1"/>
  <c r="H31" i="203" a="1"/>
  <c r="H31" i="203" s="1"/>
  <c r="G31" i="203" a="1"/>
  <c r="G31" i="203" s="1"/>
  <c r="F31" i="203" a="1"/>
  <c r="F31" i="203" s="1"/>
  <c r="E31" i="203" a="1"/>
  <c r="E31" i="203" s="1"/>
  <c r="D31" i="203" a="1"/>
  <c r="D31" i="203" s="1"/>
  <c r="AA37" i="204" a="1"/>
  <c r="AA37" i="204" s="1"/>
  <c r="Z37" i="204" a="1"/>
  <c r="Z37" i="204" s="1"/>
  <c r="Y37" i="204" a="1"/>
  <c r="Y37" i="204" s="1"/>
  <c r="X37" i="204" a="1"/>
  <c r="X37" i="204" s="1"/>
  <c r="W37" i="204" a="1"/>
  <c r="W37" i="204" s="1"/>
  <c r="V37" i="204" a="1"/>
  <c r="V37" i="204" s="1"/>
  <c r="U37" i="204" a="1"/>
  <c r="U37" i="204" s="1"/>
  <c r="T37" i="204" a="1"/>
  <c r="T37" i="204" s="1"/>
  <c r="S37" i="204" a="1"/>
  <c r="S37" i="204" s="1"/>
  <c r="R37" i="204" a="1"/>
  <c r="R37" i="204" s="1"/>
  <c r="Q37" i="204" a="1"/>
  <c r="Q37" i="204" s="1"/>
  <c r="P37" i="204" a="1"/>
  <c r="P37" i="204" s="1"/>
  <c r="O37" i="204" a="1"/>
  <c r="O37" i="204" s="1"/>
  <c r="N37" i="204" a="1"/>
  <c r="N37" i="204" s="1"/>
  <c r="M37" i="204" a="1"/>
  <c r="M37" i="204" s="1"/>
  <c r="L37" i="204" a="1"/>
  <c r="L37" i="204" s="1"/>
  <c r="K37" i="204" a="1"/>
  <c r="K37" i="204" s="1"/>
  <c r="J37" i="204" a="1"/>
  <c r="J37" i="204" s="1"/>
  <c r="I37" i="204" a="1"/>
  <c r="I37" i="204" s="1"/>
  <c r="H37" i="204" a="1"/>
  <c r="H37" i="204" s="1"/>
  <c r="G37" i="204" a="1"/>
  <c r="G37" i="204" s="1"/>
  <c r="F37" i="204" a="1"/>
  <c r="F37" i="204" s="1"/>
  <c r="E37" i="204" a="1"/>
  <c r="E37" i="204" s="1"/>
  <c r="D37" i="204" a="1"/>
  <c r="D37" i="204" s="1"/>
  <c r="AA36" i="204" a="1"/>
  <c r="AA36" i="204" s="1"/>
  <c r="Z36" i="204" a="1"/>
  <c r="Z36" i="204" s="1"/>
  <c r="Y36" i="204" a="1"/>
  <c r="Y36" i="204" s="1"/>
  <c r="X36" i="204" a="1"/>
  <c r="X36" i="204" s="1"/>
  <c r="W36" i="204" a="1"/>
  <c r="W36" i="204" s="1"/>
  <c r="V36" i="204" a="1"/>
  <c r="V36" i="204" s="1"/>
  <c r="U36" i="204" a="1"/>
  <c r="U36" i="204" s="1"/>
  <c r="T36" i="204" a="1"/>
  <c r="T36" i="204" s="1"/>
  <c r="S36" i="204" a="1"/>
  <c r="S36" i="204" s="1"/>
  <c r="R36" i="204" a="1"/>
  <c r="R36" i="204" s="1"/>
  <c r="Q36" i="204" a="1"/>
  <c r="Q36" i="204" s="1"/>
  <c r="P36" i="204" a="1"/>
  <c r="P36" i="204" s="1"/>
  <c r="O36" i="204" a="1"/>
  <c r="O36" i="204" s="1"/>
  <c r="N36" i="204" a="1"/>
  <c r="N36" i="204" s="1"/>
  <c r="M36" i="204" a="1"/>
  <c r="M36" i="204" s="1"/>
  <c r="L36" i="204" a="1"/>
  <c r="L36" i="204" s="1"/>
  <c r="K36" i="204" a="1"/>
  <c r="K36" i="204" s="1"/>
  <c r="J36" i="204" a="1"/>
  <c r="J36" i="204" s="1"/>
  <c r="I36" i="204" a="1"/>
  <c r="I36" i="204" s="1"/>
  <c r="H36" i="204" a="1"/>
  <c r="H36" i="204" s="1"/>
  <c r="G36" i="204" a="1"/>
  <c r="G36" i="204" s="1"/>
  <c r="F36" i="204" a="1"/>
  <c r="F36" i="204" s="1"/>
  <c r="E36" i="204" a="1"/>
  <c r="E36" i="204" s="1"/>
  <c r="D36" i="204" a="1"/>
  <c r="D36" i="204" s="1"/>
  <c r="AA35" i="204" a="1"/>
  <c r="AA35" i="204" s="1"/>
  <c r="Z35" i="204" a="1"/>
  <c r="Z35" i="204" s="1"/>
  <c r="Y35" i="204" a="1"/>
  <c r="Y35" i="204" s="1"/>
  <c r="X35" i="204" a="1"/>
  <c r="X35" i="204" s="1"/>
  <c r="W35" i="204" a="1"/>
  <c r="W35" i="204" s="1"/>
  <c r="V35" i="204" a="1"/>
  <c r="V35" i="204" s="1"/>
  <c r="U35" i="204" a="1"/>
  <c r="U35" i="204" s="1"/>
  <c r="T35" i="204" a="1"/>
  <c r="T35" i="204" s="1"/>
  <c r="S35" i="204" a="1"/>
  <c r="S35" i="204" s="1"/>
  <c r="R35" i="204" a="1"/>
  <c r="R35" i="204" s="1"/>
  <c r="Q35" i="204" a="1"/>
  <c r="Q35" i="204" s="1"/>
  <c r="P35" i="204" a="1"/>
  <c r="P35" i="204" s="1"/>
  <c r="O35" i="204" a="1"/>
  <c r="O35" i="204" s="1"/>
  <c r="N35" i="204" a="1"/>
  <c r="N35" i="204" s="1"/>
  <c r="M35" i="204" a="1"/>
  <c r="M35" i="204" s="1"/>
  <c r="L35" i="204" a="1"/>
  <c r="L35" i="204" s="1"/>
  <c r="K35" i="204" a="1"/>
  <c r="K35" i="204" s="1"/>
  <c r="J35" i="204" a="1"/>
  <c r="J35" i="204" s="1"/>
  <c r="I35" i="204" a="1"/>
  <c r="I35" i="204" s="1"/>
  <c r="H35" i="204" a="1"/>
  <c r="H35" i="204" s="1"/>
  <c r="G35" i="204" a="1"/>
  <c r="G35" i="204" s="1"/>
  <c r="F35" i="204" a="1"/>
  <c r="F35" i="204" s="1"/>
  <c r="E35" i="204" a="1"/>
  <c r="E35" i="204" s="1"/>
  <c r="D35" i="204" a="1"/>
  <c r="D35" i="204" s="1"/>
  <c r="AA34" i="204" a="1"/>
  <c r="AA34" i="204" s="1"/>
  <c r="Z34" i="204" a="1"/>
  <c r="Z34" i="204" s="1"/>
  <c r="Y34" i="204" a="1"/>
  <c r="Y34" i="204" s="1"/>
  <c r="X34" i="204" a="1"/>
  <c r="X34" i="204" s="1"/>
  <c r="W34" i="204" a="1"/>
  <c r="W34" i="204" s="1"/>
  <c r="V34" i="204" a="1"/>
  <c r="V34" i="204" s="1"/>
  <c r="U34" i="204" a="1"/>
  <c r="U34" i="204" s="1"/>
  <c r="T34" i="204" a="1"/>
  <c r="T34" i="204" s="1"/>
  <c r="S34" i="204" a="1"/>
  <c r="S34" i="204" s="1"/>
  <c r="R34" i="204" a="1"/>
  <c r="R34" i="204" s="1"/>
  <c r="Q34" i="204" a="1"/>
  <c r="Q34" i="204" s="1"/>
  <c r="P34" i="204" a="1"/>
  <c r="P34" i="204" s="1"/>
  <c r="O34" i="204" a="1"/>
  <c r="O34" i="204" s="1"/>
  <c r="N34" i="204" a="1"/>
  <c r="N34" i="204" s="1"/>
  <c r="M34" i="204" a="1"/>
  <c r="M34" i="204" s="1"/>
  <c r="L34" i="204" a="1"/>
  <c r="L34" i="204" s="1"/>
  <c r="K34" i="204" a="1"/>
  <c r="K34" i="204" s="1"/>
  <c r="J34" i="204" a="1"/>
  <c r="J34" i="204" s="1"/>
  <c r="I34" i="204" a="1"/>
  <c r="I34" i="204" s="1"/>
  <c r="H34" i="204" a="1"/>
  <c r="H34" i="204" s="1"/>
  <c r="G34" i="204" a="1"/>
  <c r="G34" i="204" s="1"/>
  <c r="F34" i="204" a="1"/>
  <c r="F34" i="204" s="1"/>
  <c r="E34" i="204" a="1"/>
  <c r="E34" i="204" s="1"/>
  <c r="D34" i="204" a="1"/>
  <c r="D34" i="204" s="1"/>
  <c r="AA33" i="204" a="1"/>
  <c r="AA33" i="204" s="1"/>
  <c r="Z33" i="204" a="1"/>
  <c r="Z33" i="204" s="1"/>
  <c r="Y33" i="204" a="1"/>
  <c r="Y33" i="204" s="1"/>
  <c r="X33" i="204" a="1"/>
  <c r="X33" i="204" s="1"/>
  <c r="W33" i="204" a="1"/>
  <c r="W33" i="204" s="1"/>
  <c r="V33" i="204" a="1"/>
  <c r="V33" i="204" s="1"/>
  <c r="U33" i="204" a="1"/>
  <c r="U33" i="204" s="1"/>
  <c r="T33" i="204" a="1"/>
  <c r="T33" i="204" s="1"/>
  <c r="S33" i="204" a="1"/>
  <c r="S33" i="204" s="1"/>
  <c r="R33" i="204" a="1"/>
  <c r="R33" i="204" s="1"/>
  <c r="Q33" i="204" a="1"/>
  <c r="Q33" i="204" s="1"/>
  <c r="P33" i="204" a="1"/>
  <c r="P33" i="204" s="1"/>
  <c r="O33" i="204" a="1"/>
  <c r="O33" i="204" s="1"/>
  <c r="N33" i="204" a="1"/>
  <c r="N33" i="204" s="1"/>
  <c r="M33" i="204" a="1"/>
  <c r="M33" i="204" s="1"/>
  <c r="L33" i="204" a="1"/>
  <c r="L33" i="204" s="1"/>
  <c r="K33" i="204" a="1"/>
  <c r="K33" i="204" s="1"/>
  <c r="J33" i="204" a="1"/>
  <c r="J33" i="204" s="1"/>
  <c r="I33" i="204" a="1"/>
  <c r="I33" i="204" s="1"/>
  <c r="H33" i="204" a="1"/>
  <c r="H33" i="204" s="1"/>
  <c r="G33" i="204" a="1"/>
  <c r="G33" i="204" s="1"/>
  <c r="F33" i="204" a="1"/>
  <c r="F33" i="204" s="1"/>
  <c r="E33" i="204" a="1"/>
  <c r="E33" i="204" s="1"/>
  <c r="D33" i="204" a="1"/>
  <c r="D33" i="204" s="1"/>
  <c r="AA32" i="204" a="1"/>
  <c r="AA32" i="204" s="1"/>
  <c r="Z32" i="204" a="1"/>
  <c r="Z32" i="204" s="1"/>
  <c r="Y32" i="204" a="1"/>
  <c r="Y32" i="204" s="1"/>
  <c r="X32" i="204" a="1"/>
  <c r="X32" i="204" s="1"/>
  <c r="W32" i="204" a="1"/>
  <c r="W32" i="204" s="1"/>
  <c r="V32" i="204" a="1"/>
  <c r="V32" i="204" s="1"/>
  <c r="U32" i="204" a="1"/>
  <c r="U32" i="204" s="1"/>
  <c r="T32" i="204" a="1"/>
  <c r="T32" i="204" s="1"/>
  <c r="S32" i="204" a="1"/>
  <c r="S32" i="204" s="1"/>
  <c r="R32" i="204" a="1"/>
  <c r="R32" i="204" s="1"/>
  <c r="Q32" i="204" a="1"/>
  <c r="Q32" i="204" s="1"/>
  <c r="P32" i="204" a="1"/>
  <c r="P32" i="204" s="1"/>
  <c r="O32" i="204" a="1"/>
  <c r="O32" i="204" s="1"/>
  <c r="N32" i="204" a="1"/>
  <c r="N32" i="204" s="1"/>
  <c r="M32" i="204" a="1"/>
  <c r="M32" i="204" s="1"/>
  <c r="L32" i="204" a="1"/>
  <c r="L32" i="204" s="1"/>
  <c r="K32" i="204" a="1"/>
  <c r="K32" i="204" s="1"/>
  <c r="J32" i="204" a="1"/>
  <c r="J32" i="204" s="1"/>
  <c r="I32" i="204" a="1"/>
  <c r="I32" i="204" s="1"/>
  <c r="H32" i="204" a="1"/>
  <c r="H32" i="204" s="1"/>
  <c r="G32" i="204" a="1"/>
  <c r="G32" i="204" s="1"/>
  <c r="F32" i="204" a="1"/>
  <c r="F32" i="204" s="1"/>
  <c r="E32" i="204" a="1"/>
  <c r="E32" i="204" s="1"/>
  <c r="D32" i="204" a="1"/>
  <c r="D32" i="204" s="1"/>
  <c r="AA31" i="204" a="1"/>
  <c r="AA31" i="204" s="1"/>
  <c r="Z31" i="204" a="1"/>
  <c r="Z31" i="204" s="1"/>
  <c r="Y31" i="204" a="1"/>
  <c r="Y31" i="204" s="1"/>
  <c r="X31" i="204" a="1"/>
  <c r="X31" i="204" s="1"/>
  <c r="W31" i="204" a="1"/>
  <c r="W31" i="204" s="1"/>
  <c r="V31" i="204" a="1"/>
  <c r="V31" i="204" s="1"/>
  <c r="U31" i="204" a="1"/>
  <c r="U31" i="204" s="1"/>
  <c r="T31" i="204" a="1"/>
  <c r="T31" i="204" s="1"/>
  <c r="S31" i="204" a="1"/>
  <c r="S31" i="204" s="1"/>
  <c r="R31" i="204" a="1"/>
  <c r="R31" i="204" s="1"/>
  <c r="Q31" i="204" a="1"/>
  <c r="Q31" i="204" s="1"/>
  <c r="P31" i="204" a="1"/>
  <c r="P31" i="204" s="1"/>
  <c r="O31" i="204" a="1"/>
  <c r="O31" i="204" s="1"/>
  <c r="N31" i="204" a="1"/>
  <c r="N31" i="204" s="1"/>
  <c r="M31" i="204" a="1"/>
  <c r="M31" i="204" s="1"/>
  <c r="L31" i="204" a="1"/>
  <c r="L31" i="204" s="1"/>
  <c r="K31" i="204" a="1"/>
  <c r="K31" i="204" s="1"/>
  <c r="J31" i="204" a="1"/>
  <c r="J31" i="204" s="1"/>
  <c r="I31" i="204" a="1"/>
  <c r="I31" i="204" s="1"/>
  <c r="H31" i="204" a="1"/>
  <c r="H31" i="204" s="1"/>
  <c r="G31" i="204" a="1"/>
  <c r="G31" i="204" s="1"/>
  <c r="F31" i="204" a="1"/>
  <c r="F31" i="204" s="1"/>
  <c r="E31" i="204" a="1"/>
  <c r="E31" i="204" s="1"/>
  <c r="D31" i="204" a="1"/>
  <c r="D31" i="204" s="1"/>
  <c r="AA37" i="205" a="1"/>
  <c r="AA37" i="205" s="1"/>
  <c r="Z37" i="205" a="1"/>
  <c r="Z37" i="205" s="1"/>
  <c r="Y37" i="205" a="1"/>
  <c r="Y37" i="205" s="1"/>
  <c r="X37" i="205" a="1"/>
  <c r="X37" i="205" s="1"/>
  <c r="W37" i="205" a="1"/>
  <c r="W37" i="205" s="1"/>
  <c r="V37" i="205" a="1"/>
  <c r="V37" i="205" s="1"/>
  <c r="U37" i="205" a="1"/>
  <c r="U37" i="205" s="1"/>
  <c r="T37" i="205" a="1"/>
  <c r="T37" i="205" s="1"/>
  <c r="S37" i="205" a="1"/>
  <c r="S37" i="205" s="1"/>
  <c r="R37" i="205" a="1"/>
  <c r="R37" i="205" s="1"/>
  <c r="Q37" i="205" a="1"/>
  <c r="Q37" i="205" s="1"/>
  <c r="P37" i="205" a="1"/>
  <c r="P37" i="205" s="1"/>
  <c r="O37" i="205" a="1"/>
  <c r="O37" i="205" s="1"/>
  <c r="N37" i="205" a="1"/>
  <c r="N37" i="205" s="1"/>
  <c r="M37" i="205" a="1"/>
  <c r="M37" i="205" s="1"/>
  <c r="L37" i="205" a="1"/>
  <c r="L37" i="205" s="1"/>
  <c r="K37" i="205" a="1"/>
  <c r="K37" i="205" s="1"/>
  <c r="J37" i="205" a="1"/>
  <c r="J37" i="205" s="1"/>
  <c r="I37" i="205" a="1"/>
  <c r="I37" i="205" s="1"/>
  <c r="H37" i="205" a="1"/>
  <c r="H37" i="205" s="1"/>
  <c r="G37" i="205" a="1"/>
  <c r="G37" i="205" s="1"/>
  <c r="F37" i="205" a="1"/>
  <c r="F37" i="205" s="1"/>
  <c r="E37" i="205" a="1"/>
  <c r="E37" i="205" s="1"/>
  <c r="D37" i="205" a="1"/>
  <c r="D37" i="205" s="1"/>
  <c r="AA36" i="205" a="1"/>
  <c r="AA36" i="205" s="1"/>
  <c r="Z36" i="205" a="1"/>
  <c r="Z36" i="205" s="1"/>
  <c r="Y36" i="205" a="1"/>
  <c r="Y36" i="205" s="1"/>
  <c r="X36" i="205" a="1"/>
  <c r="X36" i="205" s="1"/>
  <c r="W36" i="205" a="1"/>
  <c r="W36" i="205" s="1"/>
  <c r="V36" i="205" a="1"/>
  <c r="V36" i="205" s="1"/>
  <c r="U36" i="205" a="1"/>
  <c r="U36" i="205" s="1"/>
  <c r="T36" i="205" a="1"/>
  <c r="T36" i="205" s="1"/>
  <c r="S36" i="205" a="1"/>
  <c r="S36" i="205" s="1"/>
  <c r="R36" i="205" a="1"/>
  <c r="R36" i="205" s="1"/>
  <c r="Q36" i="205" a="1"/>
  <c r="Q36" i="205" s="1"/>
  <c r="P36" i="205" a="1"/>
  <c r="P36" i="205" s="1"/>
  <c r="O36" i="205" a="1"/>
  <c r="O36" i="205" s="1"/>
  <c r="N36" i="205" a="1"/>
  <c r="N36" i="205" s="1"/>
  <c r="M36" i="205" a="1"/>
  <c r="M36" i="205" s="1"/>
  <c r="L36" i="205" a="1"/>
  <c r="L36" i="205" s="1"/>
  <c r="K36" i="205" a="1"/>
  <c r="K36" i="205" s="1"/>
  <c r="J36" i="205" a="1"/>
  <c r="J36" i="205" s="1"/>
  <c r="I36" i="205" a="1"/>
  <c r="I36" i="205" s="1"/>
  <c r="H36" i="205" a="1"/>
  <c r="H36" i="205" s="1"/>
  <c r="G36" i="205" a="1"/>
  <c r="G36" i="205" s="1"/>
  <c r="F36" i="205" a="1"/>
  <c r="F36" i="205" s="1"/>
  <c r="E36" i="205" a="1"/>
  <c r="E36" i="205" s="1"/>
  <c r="D36" i="205" a="1"/>
  <c r="D36" i="205" s="1"/>
  <c r="AA35" i="205" a="1"/>
  <c r="AA35" i="205" s="1"/>
  <c r="Z35" i="205" a="1"/>
  <c r="Z35" i="205" s="1"/>
  <c r="Y35" i="205" a="1"/>
  <c r="Y35" i="205" s="1"/>
  <c r="X35" i="205" a="1"/>
  <c r="X35" i="205" s="1"/>
  <c r="W35" i="205" a="1"/>
  <c r="W35" i="205" s="1"/>
  <c r="V35" i="205" a="1"/>
  <c r="V35" i="205" s="1"/>
  <c r="U35" i="205" a="1"/>
  <c r="U35" i="205" s="1"/>
  <c r="T35" i="205" a="1"/>
  <c r="T35" i="205" s="1"/>
  <c r="S35" i="205" a="1"/>
  <c r="S35" i="205" s="1"/>
  <c r="R35" i="205" a="1"/>
  <c r="R35" i="205" s="1"/>
  <c r="Q35" i="205" a="1"/>
  <c r="Q35" i="205" s="1"/>
  <c r="P35" i="205" a="1"/>
  <c r="P35" i="205" s="1"/>
  <c r="O35" i="205" a="1"/>
  <c r="O35" i="205" s="1"/>
  <c r="N35" i="205" a="1"/>
  <c r="N35" i="205" s="1"/>
  <c r="M35" i="205" a="1"/>
  <c r="M35" i="205" s="1"/>
  <c r="L35" i="205" a="1"/>
  <c r="L35" i="205" s="1"/>
  <c r="K35" i="205" a="1"/>
  <c r="K35" i="205" s="1"/>
  <c r="J35" i="205" a="1"/>
  <c r="J35" i="205" s="1"/>
  <c r="I35" i="205" a="1"/>
  <c r="I35" i="205" s="1"/>
  <c r="H35" i="205" a="1"/>
  <c r="H35" i="205" s="1"/>
  <c r="G35" i="205" a="1"/>
  <c r="G35" i="205" s="1"/>
  <c r="F35" i="205" a="1"/>
  <c r="F35" i="205" s="1"/>
  <c r="E35" i="205" a="1"/>
  <c r="E35" i="205" s="1"/>
  <c r="D35" i="205" a="1"/>
  <c r="D35" i="205" s="1"/>
  <c r="AA34" i="205" a="1"/>
  <c r="AA34" i="205" s="1"/>
  <c r="Z34" i="205" a="1"/>
  <c r="Z34" i="205" s="1"/>
  <c r="Y34" i="205" a="1"/>
  <c r="Y34" i="205" s="1"/>
  <c r="X34" i="205" a="1"/>
  <c r="X34" i="205" s="1"/>
  <c r="W34" i="205" a="1"/>
  <c r="W34" i="205" s="1"/>
  <c r="V34" i="205" a="1"/>
  <c r="V34" i="205" s="1"/>
  <c r="U34" i="205" a="1"/>
  <c r="U34" i="205" s="1"/>
  <c r="T34" i="205" a="1"/>
  <c r="T34" i="205" s="1"/>
  <c r="S34" i="205" a="1"/>
  <c r="S34" i="205" s="1"/>
  <c r="R34" i="205" a="1"/>
  <c r="R34" i="205" s="1"/>
  <c r="Q34" i="205" a="1"/>
  <c r="Q34" i="205" s="1"/>
  <c r="P34" i="205" a="1"/>
  <c r="P34" i="205" s="1"/>
  <c r="O34" i="205" a="1"/>
  <c r="O34" i="205" s="1"/>
  <c r="N34" i="205" a="1"/>
  <c r="N34" i="205" s="1"/>
  <c r="M34" i="205" a="1"/>
  <c r="M34" i="205" s="1"/>
  <c r="L34" i="205" a="1"/>
  <c r="L34" i="205" s="1"/>
  <c r="K34" i="205" a="1"/>
  <c r="K34" i="205" s="1"/>
  <c r="J34" i="205" a="1"/>
  <c r="J34" i="205" s="1"/>
  <c r="I34" i="205" a="1"/>
  <c r="I34" i="205" s="1"/>
  <c r="H34" i="205" a="1"/>
  <c r="H34" i="205" s="1"/>
  <c r="G34" i="205" a="1"/>
  <c r="G34" i="205" s="1"/>
  <c r="F34" i="205" a="1"/>
  <c r="F34" i="205" s="1"/>
  <c r="E34" i="205" a="1"/>
  <c r="E34" i="205" s="1"/>
  <c r="D34" i="205" a="1"/>
  <c r="D34" i="205" s="1"/>
  <c r="AA33" i="205" a="1"/>
  <c r="AA33" i="205" s="1"/>
  <c r="Z33" i="205" a="1"/>
  <c r="Z33" i="205" s="1"/>
  <c r="Y33" i="205" a="1"/>
  <c r="Y33" i="205" s="1"/>
  <c r="X33" i="205" a="1"/>
  <c r="X33" i="205" s="1"/>
  <c r="W33" i="205" a="1"/>
  <c r="W33" i="205" s="1"/>
  <c r="V33" i="205" a="1"/>
  <c r="V33" i="205" s="1"/>
  <c r="U33" i="205" a="1"/>
  <c r="U33" i="205" s="1"/>
  <c r="T33" i="205" a="1"/>
  <c r="T33" i="205" s="1"/>
  <c r="S33" i="205" a="1"/>
  <c r="S33" i="205" s="1"/>
  <c r="R33" i="205" a="1"/>
  <c r="R33" i="205" s="1"/>
  <c r="Q33" i="205" a="1"/>
  <c r="Q33" i="205" s="1"/>
  <c r="P33" i="205" a="1"/>
  <c r="P33" i="205" s="1"/>
  <c r="O33" i="205" a="1"/>
  <c r="O33" i="205" s="1"/>
  <c r="N33" i="205" a="1"/>
  <c r="N33" i="205" s="1"/>
  <c r="M33" i="205" a="1"/>
  <c r="M33" i="205" s="1"/>
  <c r="L33" i="205" a="1"/>
  <c r="L33" i="205" s="1"/>
  <c r="K33" i="205" a="1"/>
  <c r="K33" i="205" s="1"/>
  <c r="J33" i="205" a="1"/>
  <c r="J33" i="205" s="1"/>
  <c r="I33" i="205" a="1"/>
  <c r="I33" i="205" s="1"/>
  <c r="H33" i="205" a="1"/>
  <c r="H33" i="205" s="1"/>
  <c r="G33" i="205" a="1"/>
  <c r="G33" i="205" s="1"/>
  <c r="F33" i="205" a="1"/>
  <c r="F33" i="205" s="1"/>
  <c r="E33" i="205" a="1"/>
  <c r="E33" i="205" s="1"/>
  <c r="D33" i="205" a="1"/>
  <c r="D33" i="205" s="1"/>
  <c r="AA32" i="205"/>
  <c r="AA32" i="205" a="1"/>
  <c r="Z32" i="205" a="1"/>
  <c r="Z32" i="205" s="1"/>
  <c r="Y32" i="205"/>
  <c r="Y32" i="205" a="1"/>
  <c r="X32" i="205"/>
  <c r="X32" i="205" a="1"/>
  <c r="W32" i="205" a="1"/>
  <c r="W32" i="205" s="1"/>
  <c r="V32" i="205" a="1"/>
  <c r="V32" i="205" s="1"/>
  <c r="U32" i="205" a="1"/>
  <c r="U32" i="205" s="1"/>
  <c r="T32" i="205" a="1"/>
  <c r="T32" i="205" s="1"/>
  <c r="S32" i="205" a="1"/>
  <c r="S32" i="205" s="1"/>
  <c r="R32" i="205" a="1"/>
  <c r="R32" i="205" s="1"/>
  <c r="Q32" i="205" a="1"/>
  <c r="Q32" i="205" s="1"/>
  <c r="P32" i="205" a="1"/>
  <c r="P32" i="205" s="1"/>
  <c r="O32" i="205"/>
  <c r="O32" i="205" a="1"/>
  <c r="N32" i="205" a="1"/>
  <c r="N32" i="205" s="1"/>
  <c r="M32" i="205" a="1"/>
  <c r="M32" i="205" s="1"/>
  <c r="L32" i="205" a="1"/>
  <c r="L32" i="205" s="1"/>
  <c r="K32" i="205" a="1"/>
  <c r="K32" i="205" s="1"/>
  <c r="J32" i="205" a="1"/>
  <c r="J32" i="205" s="1"/>
  <c r="I32" i="205" a="1"/>
  <c r="I32" i="205" s="1"/>
  <c r="H32" i="205" a="1"/>
  <c r="H32" i="205" s="1"/>
  <c r="G32" i="205" a="1"/>
  <c r="G32" i="205" s="1"/>
  <c r="F32" i="205" a="1"/>
  <c r="F32" i="205" s="1"/>
  <c r="E32" i="205" a="1"/>
  <c r="E32" i="205" s="1"/>
  <c r="D32" i="205" a="1"/>
  <c r="D32" i="205" s="1"/>
  <c r="AA31" i="205"/>
  <c r="AA31" i="205" a="1"/>
  <c r="Z31" i="205"/>
  <c r="Z31" i="205" a="1"/>
  <c r="Y31" i="205" a="1"/>
  <c r="Y31" i="205" s="1"/>
  <c r="X31" i="205"/>
  <c r="X31" i="205" a="1"/>
  <c r="W31" i="205" a="1"/>
  <c r="W31" i="205" s="1"/>
  <c r="V31" i="205" a="1"/>
  <c r="V31" i="205" s="1"/>
  <c r="U31" i="205" a="1"/>
  <c r="U31" i="205" s="1"/>
  <c r="T31" i="205" a="1"/>
  <c r="T31" i="205" s="1"/>
  <c r="S31" i="205" a="1"/>
  <c r="S31" i="205" s="1"/>
  <c r="R31" i="205" a="1"/>
  <c r="R31" i="205" s="1"/>
  <c r="Q31" i="205" a="1"/>
  <c r="Q31" i="205" s="1"/>
  <c r="P31" i="205" a="1"/>
  <c r="P31" i="205" s="1"/>
  <c r="O31" i="205" a="1"/>
  <c r="O31" i="205" s="1"/>
  <c r="N31" i="205"/>
  <c r="N31" i="205" a="1"/>
  <c r="M31" i="205" a="1"/>
  <c r="M31" i="205" s="1"/>
  <c r="L31" i="205" a="1"/>
  <c r="L31" i="205" s="1"/>
  <c r="K31" i="205" a="1"/>
  <c r="K31" i="205" s="1"/>
  <c r="J31" i="205" a="1"/>
  <c r="J31" i="205" s="1"/>
  <c r="I31" i="205" a="1"/>
  <c r="I31" i="205" s="1"/>
  <c r="H31" i="205" a="1"/>
  <c r="H31" i="205" s="1"/>
  <c r="G31" i="205" a="1"/>
  <c r="G31" i="205" s="1"/>
  <c r="F31" i="205" a="1"/>
  <c r="F31" i="205" s="1"/>
  <c r="E31" i="205" a="1"/>
  <c r="E31" i="205" s="1"/>
  <c r="D31" i="205"/>
  <c r="D31" i="205" a="1"/>
  <c r="AA37" i="206" a="1"/>
  <c r="AA37" i="206" s="1"/>
  <c r="Z37" i="206" a="1"/>
  <c r="Z37" i="206" s="1"/>
  <c r="Y37" i="206"/>
  <c r="Y37" i="206" a="1"/>
  <c r="X37" i="206" a="1"/>
  <c r="X37" i="206" s="1"/>
  <c r="W37" i="206" a="1"/>
  <c r="W37" i="206" s="1"/>
  <c r="V37" i="206" a="1"/>
  <c r="V37" i="206" s="1"/>
  <c r="U37" i="206" a="1"/>
  <c r="U37" i="206" s="1"/>
  <c r="T37" i="206" a="1"/>
  <c r="T37" i="206" s="1"/>
  <c r="S37" i="206" a="1"/>
  <c r="S37" i="206" s="1"/>
  <c r="R37" i="206" a="1"/>
  <c r="R37" i="206" s="1"/>
  <c r="Q37" i="206" a="1"/>
  <c r="Q37" i="206" s="1"/>
  <c r="P37" i="206" a="1"/>
  <c r="P37" i="206" s="1"/>
  <c r="O37" i="206" a="1"/>
  <c r="O37" i="206" s="1"/>
  <c r="N37" i="206" a="1"/>
  <c r="N37" i="206" s="1"/>
  <c r="M37" i="206"/>
  <c r="M37" i="206" a="1"/>
  <c r="L37" i="206" a="1"/>
  <c r="L37" i="206" s="1"/>
  <c r="K37" i="206" a="1"/>
  <c r="K37" i="206" s="1"/>
  <c r="J37" i="206" a="1"/>
  <c r="J37" i="206" s="1"/>
  <c r="I37" i="206" a="1"/>
  <c r="I37" i="206" s="1"/>
  <c r="H37" i="206" a="1"/>
  <c r="H37" i="206" s="1"/>
  <c r="G37" i="206" a="1"/>
  <c r="G37" i="206" s="1"/>
  <c r="F37" i="206" a="1"/>
  <c r="F37" i="206" s="1"/>
  <c r="E37" i="206" a="1"/>
  <c r="E37" i="206" s="1"/>
  <c r="D37" i="206"/>
  <c r="D37" i="206" a="1"/>
  <c r="AA36" i="206"/>
  <c r="AA36" i="206" a="1"/>
  <c r="Z36" i="206" a="1"/>
  <c r="Z36" i="206" s="1"/>
  <c r="Y36" i="206"/>
  <c r="Y36" i="206" a="1"/>
  <c r="X36" i="206"/>
  <c r="X36" i="206" a="1"/>
  <c r="W36" i="206" a="1"/>
  <c r="W36" i="206" s="1"/>
  <c r="V36" i="206" a="1"/>
  <c r="V36" i="206" s="1"/>
  <c r="U36" i="206" a="1"/>
  <c r="U36" i="206" s="1"/>
  <c r="T36" i="206" a="1"/>
  <c r="T36" i="206" s="1"/>
  <c r="S36" i="206" a="1"/>
  <c r="S36" i="206" s="1"/>
  <c r="R36" i="206" a="1"/>
  <c r="R36" i="206" s="1"/>
  <c r="Q36" i="206" a="1"/>
  <c r="Q36" i="206" s="1"/>
  <c r="P36" i="206"/>
  <c r="P36" i="206" a="1"/>
  <c r="O36" i="206" a="1"/>
  <c r="O36" i="206" s="1"/>
  <c r="N36" i="206" a="1"/>
  <c r="N36" i="206" s="1"/>
  <c r="M36" i="206" a="1"/>
  <c r="M36" i="206" s="1"/>
  <c r="L36" i="206"/>
  <c r="L36" i="206" a="1"/>
  <c r="K36" i="206" a="1"/>
  <c r="K36" i="206" s="1"/>
  <c r="J36" i="206" a="1"/>
  <c r="J36" i="206" s="1"/>
  <c r="I36" i="206" a="1"/>
  <c r="I36" i="206" s="1"/>
  <c r="H36" i="206" a="1"/>
  <c r="H36" i="206" s="1"/>
  <c r="G36" i="206" a="1"/>
  <c r="G36" i="206" s="1"/>
  <c r="F36" i="206" a="1"/>
  <c r="F36" i="206" s="1"/>
  <c r="E36" i="206" a="1"/>
  <c r="E36" i="206" s="1"/>
  <c r="D36" i="206"/>
  <c r="D36" i="206" a="1"/>
  <c r="AA35" i="206"/>
  <c r="AA35" i="206" a="1"/>
  <c r="Z35" i="206"/>
  <c r="Z35" i="206" a="1"/>
  <c r="Y35" i="206"/>
  <c r="Y35" i="206" a="1"/>
  <c r="X35" i="206" a="1"/>
  <c r="X35" i="206" s="1"/>
  <c r="W35" i="206" a="1"/>
  <c r="W35" i="206" s="1"/>
  <c r="V35" i="206" a="1"/>
  <c r="V35" i="206" s="1"/>
  <c r="U35" i="206" a="1"/>
  <c r="U35" i="206" s="1"/>
  <c r="T35" i="206" a="1"/>
  <c r="T35" i="206" s="1"/>
  <c r="S35" i="206" a="1"/>
  <c r="S35" i="206" s="1"/>
  <c r="R35" i="206" a="1"/>
  <c r="R35" i="206" s="1"/>
  <c r="Q35" i="206" a="1"/>
  <c r="Q35" i="206" s="1"/>
  <c r="P35" i="206" a="1"/>
  <c r="P35" i="206" s="1"/>
  <c r="O35" i="206"/>
  <c r="O35" i="206" a="1"/>
  <c r="N35" i="206" a="1"/>
  <c r="N35" i="206" s="1"/>
  <c r="M35" i="206" a="1"/>
  <c r="M35" i="206" s="1"/>
  <c r="L35" i="206" a="1"/>
  <c r="L35" i="206" s="1"/>
  <c r="K35" i="206" a="1"/>
  <c r="K35" i="206" s="1"/>
  <c r="J35" i="206" a="1"/>
  <c r="J35" i="206" s="1"/>
  <c r="I35" i="206" a="1"/>
  <c r="I35" i="206" s="1"/>
  <c r="H35" i="206" a="1"/>
  <c r="H35" i="206" s="1"/>
  <c r="G35" i="206" a="1"/>
  <c r="G35" i="206" s="1"/>
  <c r="F35" i="206" a="1"/>
  <c r="F35" i="206" s="1"/>
  <c r="E35" i="206" a="1"/>
  <c r="E35" i="206" s="1"/>
  <c r="D35" i="206"/>
  <c r="D35" i="206" a="1"/>
  <c r="AA34" i="206" a="1"/>
  <c r="AA34" i="206" s="1"/>
  <c r="Z34" i="206"/>
  <c r="Z34" i="206" a="1"/>
  <c r="Y34" i="206"/>
  <c r="Y34" i="206" a="1"/>
  <c r="X34" i="206" a="1"/>
  <c r="X34" i="206" s="1"/>
  <c r="W34" i="206" a="1"/>
  <c r="W34" i="206" s="1"/>
  <c r="V34" i="206" a="1"/>
  <c r="V34" i="206" s="1"/>
  <c r="U34" i="206" a="1"/>
  <c r="U34" i="206" s="1"/>
  <c r="T34" i="206" a="1"/>
  <c r="T34" i="206" s="1"/>
  <c r="S34" i="206" a="1"/>
  <c r="S34" i="206" s="1"/>
  <c r="R34" i="206" a="1"/>
  <c r="R34" i="206" s="1"/>
  <c r="Q34" i="206" a="1"/>
  <c r="Q34" i="206" s="1"/>
  <c r="P34" i="206" a="1"/>
  <c r="P34" i="206" s="1"/>
  <c r="O34" i="206" a="1"/>
  <c r="O34" i="206" s="1"/>
  <c r="N34" i="206" a="1"/>
  <c r="N34" i="206" s="1"/>
  <c r="M34" i="206"/>
  <c r="M34" i="206" a="1"/>
  <c r="L34" i="206" a="1"/>
  <c r="L34" i="206" s="1"/>
  <c r="K34" i="206" a="1"/>
  <c r="K34" i="206" s="1"/>
  <c r="J34" i="206" a="1"/>
  <c r="J34" i="206" s="1"/>
  <c r="I34" i="206" a="1"/>
  <c r="I34" i="206" s="1"/>
  <c r="H34" i="206" a="1"/>
  <c r="H34" i="206" s="1"/>
  <c r="G34" i="206" a="1"/>
  <c r="G34" i="206" s="1"/>
  <c r="F34" i="206" a="1"/>
  <c r="F34" i="206" s="1"/>
  <c r="E34" i="206" a="1"/>
  <c r="E34" i="206" s="1"/>
  <c r="D34" i="206" a="1"/>
  <c r="D34" i="206" s="1"/>
  <c r="AA33" i="206"/>
  <c r="AA33" i="206" a="1"/>
  <c r="Z33" i="206" a="1"/>
  <c r="Z33" i="206" s="1"/>
  <c r="Y33" i="206" a="1"/>
  <c r="Y33" i="206" s="1"/>
  <c r="X33" i="206"/>
  <c r="X33" i="206" a="1"/>
  <c r="W33" i="206" a="1"/>
  <c r="W33" i="206" s="1"/>
  <c r="V33" i="206" a="1"/>
  <c r="V33" i="206" s="1"/>
  <c r="U33" i="206" a="1"/>
  <c r="U33" i="206" s="1"/>
  <c r="T33" i="206" a="1"/>
  <c r="T33" i="206" s="1"/>
  <c r="S33" i="206" a="1"/>
  <c r="S33" i="206" s="1"/>
  <c r="R33" i="206" a="1"/>
  <c r="R33" i="206" s="1"/>
  <c r="Q33" i="206" a="1"/>
  <c r="Q33" i="206" s="1"/>
  <c r="P33" i="206"/>
  <c r="P33" i="206" a="1"/>
  <c r="O33" i="206" a="1"/>
  <c r="O33" i="206" s="1"/>
  <c r="N33" i="206" a="1"/>
  <c r="N33" i="206" s="1"/>
  <c r="M33" i="206"/>
  <c r="M33" i="206" a="1"/>
  <c r="L33" i="206" a="1"/>
  <c r="L33" i="206" s="1"/>
  <c r="K33" i="206" a="1"/>
  <c r="K33" i="206" s="1"/>
  <c r="J33" i="206" a="1"/>
  <c r="J33" i="206" s="1"/>
  <c r="I33" i="206" a="1"/>
  <c r="I33" i="206" s="1"/>
  <c r="H33" i="206" a="1"/>
  <c r="H33" i="206" s="1"/>
  <c r="G33" i="206" a="1"/>
  <c r="G33" i="206" s="1"/>
  <c r="F33" i="206" a="1"/>
  <c r="F33" i="206" s="1"/>
  <c r="E33" i="206" a="1"/>
  <c r="E33" i="206" s="1"/>
  <c r="D33" i="206" a="1"/>
  <c r="D33" i="206" s="1"/>
  <c r="AA32" i="206" a="1"/>
  <c r="AA32" i="206" s="1"/>
  <c r="Z32" i="206"/>
  <c r="Z32" i="206" a="1"/>
  <c r="Y32" i="206" a="1"/>
  <c r="Y32" i="206" s="1"/>
  <c r="X32" i="206"/>
  <c r="X32" i="206" a="1"/>
  <c r="W32" i="206" a="1"/>
  <c r="W32" i="206" s="1"/>
  <c r="V32" i="206" a="1"/>
  <c r="V32" i="206" s="1"/>
  <c r="U32" i="206" a="1"/>
  <c r="U32" i="206" s="1"/>
  <c r="T32" i="206" a="1"/>
  <c r="T32" i="206" s="1"/>
  <c r="S32" i="206" a="1"/>
  <c r="S32" i="206" s="1"/>
  <c r="R32" i="206" a="1"/>
  <c r="R32" i="206" s="1"/>
  <c r="Q32" i="206" a="1"/>
  <c r="Q32" i="206" s="1"/>
  <c r="P32" i="206" a="1"/>
  <c r="P32" i="206" s="1"/>
  <c r="O32" i="206" a="1"/>
  <c r="O32" i="206" s="1"/>
  <c r="N32" i="206"/>
  <c r="N32" i="206" a="1"/>
  <c r="M32" i="206" a="1"/>
  <c r="M32" i="206" s="1"/>
  <c r="L32" i="206"/>
  <c r="L32" i="206" a="1"/>
  <c r="K32" i="206" a="1"/>
  <c r="K32" i="206" s="1"/>
  <c r="J32" i="206" a="1"/>
  <c r="J32" i="206" s="1"/>
  <c r="I32" i="206" a="1"/>
  <c r="I32" i="206" s="1"/>
  <c r="H32" i="206" a="1"/>
  <c r="H32" i="206" s="1"/>
  <c r="G32" i="206" a="1"/>
  <c r="G32" i="206" s="1"/>
  <c r="F32" i="206" a="1"/>
  <c r="F32" i="206" s="1"/>
  <c r="E32" i="206" a="1"/>
  <c r="E32" i="206" s="1"/>
  <c r="D32" i="206"/>
  <c r="D32" i="206" a="1"/>
  <c r="AA31" i="206"/>
  <c r="AA31" i="206" a="1"/>
  <c r="Z31" i="206" a="1"/>
  <c r="Z31" i="206" s="1"/>
  <c r="Y31" i="206" a="1"/>
  <c r="Y31" i="206" s="1"/>
  <c r="X31" i="206" a="1"/>
  <c r="X31" i="206" s="1"/>
  <c r="W31" i="206" a="1"/>
  <c r="W31" i="206" s="1"/>
  <c r="V31" i="206" a="1"/>
  <c r="V31" i="206" s="1"/>
  <c r="U31" i="206" a="1"/>
  <c r="U31" i="206" s="1"/>
  <c r="T31" i="206" a="1"/>
  <c r="T31" i="206" s="1"/>
  <c r="S31" i="206" a="1"/>
  <c r="S31" i="206" s="1"/>
  <c r="R31" i="206" a="1"/>
  <c r="R31" i="206" s="1"/>
  <c r="Q31" i="206" a="1"/>
  <c r="Q31" i="206" s="1"/>
  <c r="P31" i="206"/>
  <c r="P31" i="206" a="1"/>
  <c r="O31" i="206" a="1"/>
  <c r="O31" i="206" s="1"/>
  <c r="N31" i="206"/>
  <c r="N31" i="206" a="1"/>
  <c r="M31" i="206"/>
  <c r="M31" i="206" a="1"/>
  <c r="L31" i="206" a="1"/>
  <c r="L31" i="206" s="1"/>
  <c r="K31" i="206" a="1"/>
  <c r="K31" i="206" s="1"/>
  <c r="J31" i="206" a="1"/>
  <c r="J31" i="206" s="1"/>
  <c r="I31" i="206" a="1"/>
  <c r="I31" i="206" s="1"/>
  <c r="H31" i="206" a="1"/>
  <c r="H31" i="206" s="1"/>
  <c r="G31" i="206" a="1"/>
  <c r="G31" i="206" s="1"/>
  <c r="F31" i="206" a="1"/>
  <c r="F31" i="206" s="1"/>
  <c r="E31" i="206" a="1"/>
  <c r="E31" i="206" s="1"/>
  <c r="D31" i="206" a="1"/>
  <c r="D31" i="206" s="1"/>
  <c r="AA37" i="207"/>
  <c r="AA37" i="207" a="1"/>
  <c r="Z37" i="207" a="1"/>
  <c r="Z37" i="207" s="1"/>
  <c r="Y37" i="207"/>
  <c r="Y37" i="207" a="1"/>
  <c r="X37" i="207"/>
  <c r="X37" i="207" a="1"/>
  <c r="W37" i="207" a="1"/>
  <c r="W37" i="207" s="1"/>
  <c r="V37" i="207" a="1"/>
  <c r="V37" i="207" s="1"/>
  <c r="U37" i="207" a="1"/>
  <c r="U37" i="207" s="1"/>
  <c r="T37" i="207" a="1"/>
  <c r="T37" i="207" s="1"/>
  <c r="S37" i="207" a="1"/>
  <c r="S37" i="207" s="1"/>
  <c r="R37" i="207" a="1"/>
  <c r="R37" i="207" s="1"/>
  <c r="Q37" i="207" a="1"/>
  <c r="Q37" i="207" s="1"/>
  <c r="P37" i="207"/>
  <c r="P37" i="207" a="1"/>
  <c r="O37" i="207" a="1"/>
  <c r="O37" i="207" s="1"/>
  <c r="N37" i="207" a="1"/>
  <c r="N37" i="207" s="1"/>
  <c r="M37" i="207" a="1"/>
  <c r="M37" i="207" s="1"/>
  <c r="L37" i="207" a="1"/>
  <c r="L37" i="207" s="1"/>
  <c r="K37" i="207" a="1"/>
  <c r="K37" i="207" s="1"/>
  <c r="J37" i="207" a="1"/>
  <c r="J37" i="207" s="1"/>
  <c r="I37" i="207" a="1"/>
  <c r="I37" i="207" s="1"/>
  <c r="H37" i="207" a="1"/>
  <c r="H37" i="207" s="1"/>
  <c r="G37" i="207" a="1"/>
  <c r="G37" i="207" s="1"/>
  <c r="F37" i="207" a="1"/>
  <c r="F37" i="207" s="1"/>
  <c r="E37" i="207" a="1"/>
  <c r="E37" i="207" s="1"/>
  <c r="D37" i="207" a="1"/>
  <c r="D37" i="207" s="1"/>
  <c r="AA36" i="207" a="1"/>
  <c r="AA36" i="207" s="1"/>
  <c r="Z36" i="207"/>
  <c r="Z36" i="207" a="1"/>
  <c r="Y36" i="207" a="1"/>
  <c r="Y36" i="207" s="1"/>
  <c r="X36" i="207"/>
  <c r="X36" i="207" a="1"/>
  <c r="W36" i="207" a="1"/>
  <c r="W36" i="207" s="1"/>
  <c r="V36" i="207" a="1"/>
  <c r="V36" i="207" s="1"/>
  <c r="U36" i="207" a="1"/>
  <c r="U36" i="207" s="1"/>
  <c r="T36" i="207" a="1"/>
  <c r="T36" i="207" s="1"/>
  <c r="S36" i="207" a="1"/>
  <c r="S36" i="207" s="1"/>
  <c r="R36" i="207" a="1"/>
  <c r="R36" i="207" s="1"/>
  <c r="Q36" i="207" a="1"/>
  <c r="Q36" i="207" s="1"/>
  <c r="P36" i="207" a="1"/>
  <c r="P36" i="207" s="1"/>
  <c r="O36" i="207" a="1"/>
  <c r="O36" i="207" s="1"/>
  <c r="N36" i="207"/>
  <c r="N36" i="207" a="1"/>
  <c r="M36" i="207"/>
  <c r="M36" i="207" a="1"/>
  <c r="L36" i="207" a="1"/>
  <c r="L36" i="207" s="1"/>
  <c r="K36" i="207" a="1"/>
  <c r="K36" i="207" s="1"/>
  <c r="J36" i="207" a="1"/>
  <c r="J36" i="207" s="1"/>
  <c r="I36" i="207"/>
  <c r="I36" i="207" a="1"/>
  <c r="H36" i="207"/>
  <c r="H36" i="207" a="1"/>
  <c r="G36" i="207" a="1"/>
  <c r="G36" i="207" s="1"/>
  <c r="F36" i="207" a="1"/>
  <c r="F36" i="207" s="1"/>
  <c r="E36" i="207"/>
  <c r="E36" i="207" a="1"/>
  <c r="D36" i="207" a="1"/>
  <c r="D36" i="207" s="1"/>
  <c r="AA35" i="207"/>
  <c r="AA35" i="207" a="1"/>
  <c r="Z35" i="207" a="1"/>
  <c r="Z35" i="207" s="1"/>
  <c r="Y35" i="207"/>
  <c r="Y35" i="207" a="1"/>
  <c r="X35" i="207"/>
  <c r="X35" i="207" a="1"/>
  <c r="W35" i="207" a="1"/>
  <c r="W35" i="207" s="1"/>
  <c r="V35" i="207" a="1"/>
  <c r="V35" i="207" s="1"/>
  <c r="U35" i="207"/>
  <c r="U35" i="207" a="1"/>
  <c r="T35" i="207"/>
  <c r="T35" i="207" a="1"/>
  <c r="S35" i="207"/>
  <c r="S35" i="207" a="1"/>
  <c r="R35" i="207" a="1"/>
  <c r="R35" i="207" s="1"/>
  <c r="Q35" i="207" a="1"/>
  <c r="Q35" i="207" s="1"/>
  <c r="P35" i="207" a="1"/>
  <c r="P35" i="207" s="1"/>
  <c r="O35" i="207" a="1"/>
  <c r="O35" i="207" s="1"/>
  <c r="N35" i="207"/>
  <c r="N35" i="207" a="1"/>
  <c r="M35" i="207" a="1"/>
  <c r="M35" i="207" s="1"/>
  <c r="L35" i="207"/>
  <c r="L35" i="207" a="1"/>
  <c r="K35" i="207"/>
  <c r="K35" i="207" a="1"/>
  <c r="J35" i="207" a="1"/>
  <c r="J35" i="207" s="1"/>
  <c r="I35" i="207"/>
  <c r="I35" i="207" a="1"/>
  <c r="H35" i="207"/>
  <c r="H35" i="207" a="1"/>
  <c r="G35" i="207"/>
  <c r="G35" i="207" a="1"/>
  <c r="F35" i="207"/>
  <c r="F35" i="207" a="1"/>
  <c r="E35" i="207" a="1"/>
  <c r="E35" i="207" s="1"/>
  <c r="D35" i="207" a="1"/>
  <c r="D35" i="207" s="1"/>
  <c r="AA34" i="207" a="1"/>
  <c r="AA34" i="207" s="1"/>
  <c r="Z34" i="207" a="1"/>
  <c r="Z34" i="207" s="1"/>
  <c r="Y34" i="207"/>
  <c r="Y34" i="207" a="1"/>
  <c r="X34" i="207" a="1"/>
  <c r="X34" i="207" s="1"/>
  <c r="W34" i="207"/>
  <c r="W34" i="207" a="1"/>
  <c r="V34" i="207" a="1"/>
  <c r="V34" i="207" s="1"/>
  <c r="U34" i="207" a="1"/>
  <c r="U34" i="207" s="1"/>
  <c r="T34" i="207"/>
  <c r="T34" i="207" a="1"/>
  <c r="S34" i="207"/>
  <c r="S34" i="207" a="1"/>
  <c r="R34" i="207"/>
  <c r="R34" i="207" a="1"/>
  <c r="Q34" i="207"/>
  <c r="Q34" i="207" a="1"/>
  <c r="P34" i="207" a="1"/>
  <c r="P34" i="207" s="1"/>
  <c r="O34" i="207" a="1"/>
  <c r="O34" i="207" s="1"/>
  <c r="N34" i="207" a="1"/>
  <c r="N34" i="207" s="1"/>
  <c r="M34" i="207" a="1"/>
  <c r="M34" i="207" s="1"/>
  <c r="L34" i="207" a="1"/>
  <c r="L34" i="207" s="1"/>
  <c r="K34" i="207"/>
  <c r="K34" i="207" a="1"/>
  <c r="J34" i="207" a="1"/>
  <c r="J34" i="207" s="1"/>
  <c r="I34" i="207" a="1"/>
  <c r="I34" i="207" s="1"/>
  <c r="H34" i="207" a="1"/>
  <c r="H34" i="207" s="1"/>
  <c r="G34" i="207" a="1"/>
  <c r="G34" i="207" s="1"/>
  <c r="F34" i="207" a="1"/>
  <c r="F34" i="207" s="1"/>
  <c r="E34" i="207" a="1"/>
  <c r="E34" i="207" s="1"/>
  <c r="D34" i="207" a="1"/>
  <c r="D34" i="207" s="1"/>
  <c r="AA33" i="207" a="1"/>
  <c r="AA33" i="207" s="1"/>
  <c r="Z33" i="207" a="1"/>
  <c r="Z33" i="207" s="1"/>
  <c r="Y33" i="207" a="1"/>
  <c r="Y33" i="207" s="1"/>
  <c r="X33" i="207" a="1"/>
  <c r="X33" i="207" s="1"/>
  <c r="W33" i="207" a="1"/>
  <c r="W33" i="207" s="1"/>
  <c r="V33" i="207" a="1"/>
  <c r="V33" i="207" s="1"/>
  <c r="U33" i="207" a="1"/>
  <c r="U33" i="207" s="1"/>
  <c r="T33" i="207" a="1"/>
  <c r="T33" i="207" s="1"/>
  <c r="S33" i="207" a="1"/>
  <c r="S33" i="207" s="1"/>
  <c r="R33" i="207" a="1"/>
  <c r="R33" i="207" s="1"/>
  <c r="Q33" i="207" a="1"/>
  <c r="Q33" i="207" s="1"/>
  <c r="P33" i="207" a="1"/>
  <c r="P33" i="207" s="1"/>
  <c r="O33" i="207" a="1"/>
  <c r="O33" i="207" s="1"/>
  <c r="N33" i="207" a="1"/>
  <c r="N33" i="207" s="1"/>
  <c r="M33" i="207" a="1"/>
  <c r="M33" i="207" s="1"/>
  <c r="L33" i="207" a="1"/>
  <c r="L33" i="207" s="1"/>
  <c r="K33" i="207" a="1"/>
  <c r="K33" i="207" s="1"/>
  <c r="J33" i="207" a="1"/>
  <c r="J33" i="207" s="1"/>
  <c r="I33" i="207" a="1"/>
  <c r="I33" i="207" s="1"/>
  <c r="H33" i="207" a="1"/>
  <c r="H33" i="207" s="1"/>
  <c r="G33" i="207" a="1"/>
  <c r="G33" i="207" s="1"/>
  <c r="F33" i="207" a="1"/>
  <c r="F33" i="207" s="1"/>
  <c r="E33" i="207" a="1"/>
  <c r="E33" i="207" s="1"/>
  <c r="D33" i="207" a="1"/>
  <c r="D33" i="207" s="1"/>
  <c r="AA32" i="207" a="1"/>
  <c r="AA32" i="207" s="1"/>
  <c r="Z32" i="207" a="1"/>
  <c r="Z32" i="207" s="1"/>
  <c r="Y32" i="207" a="1"/>
  <c r="Y32" i="207" s="1"/>
  <c r="X32" i="207" a="1"/>
  <c r="X32" i="207" s="1"/>
  <c r="W32" i="207" a="1"/>
  <c r="W32" i="207" s="1"/>
  <c r="V32" i="207" a="1"/>
  <c r="V32" i="207" s="1"/>
  <c r="U32" i="207" a="1"/>
  <c r="U32" i="207" s="1"/>
  <c r="T32" i="207" a="1"/>
  <c r="T32" i="207" s="1"/>
  <c r="S32" i="207" a="1"/>
  <c r="S32" i="207" s="1"/>
  <c r="R32" i="207" a="1"/>
  <c r="R32" i="207" s="1"/>
  <c r="Q32" i="207" a="1"/>
  <c r="Q32" i="207" s="1"/>
  <c r="P32" i="207" a="1"/>
  <c r="P32" i="207" s="1"/>
  <c r="O32" i="207" a="1"/>
  <c r="O32" i="207" s="1"/>
  <c r="N32" i="207" a="1"/>
  <c r="N32" i="207" s="1"/>
  <c r="M32" i="207" a="1"/>
  <c r="M32" i="207" s="1"/>
  <c r="L32" i="207" a="1"/>
  <c r="L32" i="207" s="1"/>
  <c r="K32" i="207" a="1"/>
  <c r="K32" i="207" s="1"/>
  <c r="J32" i="207" a="1"/>
  <c r="J32" i="207" s="1"/>
  <c r="I32" i="207" a="1"/>
  <c r="I32" i="207" s="1"/>
  <c r="H32" i="207" a="1"/>
  <c r="H32" i="207" s="1"/>
  <c r="G32" i="207" a="1"/>
  <c r="G32" i="207" s="1"/>
  <c r="F32" i="207" a="1"/>
  <c r="F32" i="207" s="1"/>
  <c r="E32" i="207" a="1"/>
  <c r="E32" i="207" s="1"/>
  <c r="D32" i="207" a="1"/>
  <c r="D32" i="207" s="1"/>
  <c r="AA31" i="207" a="1"/>
  <c r="AA31" i="207" s="1"/>
  <c r="Z31" i="207" a="1"/>
  <c r="Z31" i="207" s="1"/>
  <c r="Y31" i="207" a="1"/>
  <c r="Y31" i="207" s="1"/>
  <c r="X31" i="207" a="1"/>
  <c r="X31" i="207" s="1"/>
  <c r="W31" i="207" a="1"/>
  <c r="W31" i="207" s="1"/>
  <c r="V31" i="207" a="1"/>
  <c r="V31" i="207" s="1"/>
  <c r="U31" i="207" a="1"/>
  <c r="U31" i="207" s="1"/>
  <c r="T31" i="207" a="1"/>
  <c r="T31" i="207" s="1"/>
  <c r="S31" i="207" a="1"/>
  <c r="S31" i="207" s="1"/>
  <c r="R31" i="207" a="1"/>
  <c r="R31" i="207" s="1"/>
  <c r="Q31" i="207" a="1"/>
  <c r="Q31" i="207" s="1"/>
  <c r="P31" i="207" a="1"/>
  <c r="P31" i="207" s="1"/>
  <c r="O31" i="207" a="1"/>
  <c r="O31" i="207" s="1"/>
  <c r="N31" i="207" a="1"/>
  <c r="N31" i="207" s="1"/>
  <c r="M31" i="207" a="1"/>
  <c r="M31" i="207" s="1"/>
  <c r="L31" i="207" a="1"/>
  <c r="L31" i="207" s="1"/>
  <c r="K31" i="207" a="1"/>
  <c r="K31" i="207" s="1"/>
  <c r="J31" i="207" a="1"/>
  <c r="J31" i="207" s="1"/>
  <c r="I31" i="207" a="1"/>
  <c r="I31" i="207" s="1"/>
  <c r="H31" i="207" a="1"/>
  <c r="H31" i="207" s="1"/>
  <c r="G31" i="207" a="1"/>
  <c r="G31" i="207" s="1"/>
  <c r="F31" i="207" a="1"/>
  <c r="F31" i="207" s="1"/>
  <c r="E31" i="207" a="1"/>
  <c r="E31" i="207" s="1"/>
  <c r="D31" i="207" a="1"/>
  <c r="D31" i="207" s="1"/>
  <c r="AA37" i="208" a="1"/>
  <c r="AA37" i="208" s="1"/>
  <c r="Z37" i="208" a="1"/>
  <c r="Z37" i="208" s="1"/>
  <c r="Y37" i="208" a="1"/>
  <c r="Y37" i="208" s="1"/>
  <c r="X37" i="208" a="1"/>
  <c r="X37" i="208" s="1"/>
  <c r="W37" i="208" a="1"/>
  <c r="W37" i="208" s="1"/>
  <c r="V37" i="208" a="1"/>
  <c r="V37" i="208" s="1"/>
  <c r="U37" i="208" a="1"/>
  <c r="U37" i="208" s="1"/>
  <c r="T37" i="208" a="1"/>
  <c r="T37" i="208" s="1"/>
  <c r="S37" i="208" a="1"/>
  <c r="S37" i="208" s="1"/>
  <c r="R37" i="208" a="1"/>
  <c r="R37" i="208" s="1"/>
  <c r="Q37" i="208" a="1"/>
  <c r="Q37" i="208" s="1"/>
  <c r="P37" i="208" a="1"/>
  <c r="P37" i="208" s="1"/>
  <c r="O37" i="208" a="1"/>
  <c r="O37" i="208" s="1"/>
  <c r="N37" i="208" a="1"/>
  <c r="N37" i="208" s="1"/>
  <c r="M37" i="208" a="1"/>
  <c r="M37" i="208" s="1"/>
  <c r="L37" i="208" a="1"/>
  <c r="L37" i="208" s="1"/>
  <c r="K37" i="208" a="1"/>
  <c r="K37" i="208" s="1"/>
  <c r="J37" i="208" a="1"/>
  <c r="J37" i="208" s="1"/>
  <c r="I37" i="208" a="1"/>
  <c r="I37" i="208" s="1"/>
  <c r="H37" i="208" a="1"/>
  <c r="H37" i="208" s="1"/>
  <c r="G37" i="208" a="1"/>
  <c r="G37" i="208" s="1"/>
  <c r="F37" i="208" a="1"/>
  <c r="F37" i="208" s="1"/>
  <c r="E37" i="208" a="1"/>
  <c r="E37" i="208" s="1"/>
  <c r="D37" i="208" a="1"/>
  <c r="D37" i="208" s="1"/>
  <c r="AA36" i="208" a="1"/>
  <c r="AA36" i="208" s="1"/>
  <c r="Z36" i="208" a="1"/>
  <c r="Z36" i="208" s="1"/>
  <c r="Y36" i="208" a="1"/>
  <c r="Y36" i="208" s="1"/>
  <c r="X36" i="208" a="1"/>
  <c r="X36" i="208" s="1"/>
  <c r="W36" i="208" a="1"/>
  <c r="W36" i="208" s="1"/>
  <c r="V36" i="208" a="1"/>
  <c r="V36" i="208" s="1"/>
  <c r="U36" i="208" a="1"/>
  <c r="U36" i="208" s="1"/>
  <c r="T36" i="208" a="1"/>
  <c r="T36" i="208" s="1"/>
  <c r="S36" i="208" a="1"/>
  <c r="S36" i="208" s="1"/>
  <c r="R36" i="208" a="1"/>
  <c r="R36" i="208" s="1"/>
  <c r="Q36" i="208" a="1"/>
  <c r="Q36" i="208" s="1"/>
  <c r="P36" i="208" a="1"/>
  <c r="P36" i="208" s="1"/>
  <c r="O36" i="208" a="1"/>
  <c r="O36" i="208" s="1"/>
  <c r="N36" i="208" a="1"/>
  <c r="N36" i="208" s="1"/>
  <c r="M36" i="208" a="1"/>
  <c r="M36" i="208" s="1"/>
  <c r="L36" i="208" a="1"/>
  <c r="L36" i="208" s="1"/>
  <c r="K36" i="208" a="1"/>
  <c r="K36" i="208" s="1"/>
  <c r="J36" i="208" a="1"/>
  <c r="J36" i="208" s="1"/>
  <c r="I36" i="208" a="1"/>
  <c r="I36" i="208" s="1"/>
  <c r="H36" i="208" a="1"/>
  <c r="H36" i="208" s="1"/>
  <c r="G36" i="208" a="1"/>
  <c r="G36" i="208" s="1"/>
  <c r="F36" i="208" a="1"/>
  <c r="F36" i="208" s="1"/>
  <c r="E36" i="208" a="1"/>
  <c r="E36" i="208" s="1"/>
  <c r="D36" i="208" a="1"/>
  <c r="D36" i="208" s="1"/>
  <c r="AA35" i="208" a="1"/>
  <c r="AA35" i="208" s="1"/>
  <c r="Z35" i="208" a="1"/>
  <c r="Z35" i="208" s="1"/>
  <c r="Y35" i="208" a="1"/>
  <c r="Y35" i="208" s="1"/>
  <c r="X35" i="208" a="1"/>
  <c r="X35" i="208" s="1"/>
  <c r="W35" i="208" a="1"/>
  <c r="W35" i="208" s="1"/>
  <c r="V35" i="208" a="1"/>
  <c r="V35" i="208" s="1"/>
  <c r="U35" i="208" a="1"/>
  <c r="U35" i="208" s="1"/>
  <c r="T35" i="208" a="1"/>
  <c r="T35" i="208" s="1"/>
  <c r="S35" i="208" a="1"/>
  <c r="S35" i="208" s="1"/>
  <c r="R35" i="208" a="1"/>
  <c r="R35" i="208" s="1"/>
  <c r="Q35" i="208" a="1"/>
  <c r="Q35" i="208" s="1"/>
  <c r="P35" i="208" a="1"/>
  <c r="P35" i="208" s="1"/>
  <c r="O35" i="208" a="1"/>
  <c r="O35" i="208" s="1"/>
  <c r="N35" i="208" a="1"/>
  <c r="N35" i="208" s="1"/>
  <c r="M35" i="208" a="1"/>
  <c r="M35" i="208" s="1"/>
  <c r="L35" i="208" a="1"/>
  <c r="L35" i="208" s="1"/>
  <c r="K35" i="208" a="1"/>
  <c r="K35" i="208" s="1"/>
  <c r="J35" i="208" a="1"/>
  <c r="J35" i="208" s="1"/>
  <c r="I35" i="208" a="1"/>
  <c r="I35" i="208" s="1"/>
  <c r="H35" i="208" a="1"/>
  <c r="H35" i="208" s="1"/>
  <c r="G35" i="208" a="1"/>
  <c r="G35" i="208" s="1"/>
  <c r="F35" i="208" a="1"/>
  <c r="F35" i="208" s="1"/>
  <c r="E35" i="208" a="1"/>
  <c r="E35" i="208" s="1"/>
  <c r="D35" i="208" a="1"/>
  <c r="D35" i="208" s="1"/>
  <c r="AA34" i="208" a="1"/>
  <c r="AA34" i="208" s="1"/>
  <c r="Z34" i="208" a="1"/>
  <c r="Z34" i="208" s="1"/>
  <c r="Y34" i="208" a="1"/>
  <c r="Y34" i="208" s="1"/>
  <c r="X34" i="208" a="1"/>
  <c r="X34" i="208" s="1"/>
  <c r="W34" i="208" a="1"/>
  <c r="W34" i="208" s="1"/>
  <c r="V34" i="208" a="1"/>
  <c r="V34" i="208" s="1"/>
  <c r="U34" i="208" a="1"/>
  <c r="U34" i="208" s="1"/>
  <c r="T34" i="208" a="1"/>
  <c r="T34" i="208" s="1"/>
  <c r="S34" i="208" a="1"/>
  <c r="S34" i="208" s="1"/>
  <c r="R34" i="208" a="1"/>
  <c r="R34" i="208" s="1"/>
  <c r="Q34" i="208" a="1"/>
  <c r="Q34" i="208" s="1"/>
  <c r="P34" i="208" a="1"/>
  <c r="P34" i="208" s="1"/>
  <c r="O34" i="208" a="1"/>
  <c r="O34" i="208" s="1"/>
  <c r="N34" i="208" a="1"/>
  <c r="N34" i="208" s="1"/>
  <c r="M34" i="208" a="1"/>
  <c r="M34" i="208" s="1"/>
  <c r="L34" i="208" a="1"/>
  <c r="L34" i="208" s="1"/>
  <c r="K34" i="208" a="1"/>
  <c r="K34" i="208" s="1"/>
  <c r="J34" i="208" a="1"/>
  <c r="J34" i="208" s="1"/>
  <c r="I34" i="208" a="1"/>
  <c r="I34" i="208" s="1"/>
  <c r="H34" i="208" a="1"/>
  <c r="H34" i="208" s="1"/>
  <c r="G34" i="208" a="1"/>
  <c r="G34" i="208" s="1"/>
  <c r="F34" i="208" a="1"/>
  <c r="F34" i="208" s="1"/>
  <c r="E34" i="208" a="1"/>
  <c r="E34" i="208" s="1"/>
  <c r="D34" i="208" a="1"/>
  <c r="D34" i="208" s="1"/>
  <c r="AA33" i="208" a="1"/>
  <c r="AA33" i="208" s="1"/>
  <c r="Z33" i="208" a="1"/>
  <c r="Z33" i="208" s="1"/>
  <c r="Y33" i="208" a="1"/>
  <c r="Y33" i="208" s="1"/>
  <c r="X33" i="208" a="1"/>
  <c r="X33" i="208" s="1"/>
  <c r="W33" i="208" a="1"/>
  <c r="W33" i="208" s="1"/>
  <c r="V33" i="208" a="1"/>
  <c r="V33" i="208" s="1"/>
  <c r="U33" i="208" a="1"/>
  <c r="U33" i="208" s="1"/>
  <c r="T33" i="208" a="1"/>
  <c r="T33" i="208" s="1"/>
  <c r="S33" i="208" a="1"/>
  <c r="S33" i="208" s="1"/>
  <c r="R33" i="208" a="1"/>
  <c r="R33" i="208" s="1"/>
  <c r="Q33" i="208" a="1"/>
  <c r="Q33" i="208" s="1"/>
  <c r="P33" i="208" a="1"/>
  <c r="P33" i="208" s="1"/>
  <c r="O33" i="208" a="1"/>
  <c r="O33" i="208" s="1"/>
  <c r="N33" i="208" a="1"/>
  <c r="N33" i="208" s="1"/>
  <c r="M33" i="208" a="1"/>
  <c r="M33" i="208" s="1"/>
  <c r="L33" i="208" a="1"/>
  <c r="L33" i="208" s="1"/>
  <c r="K33" i="208" a="1"/>
  <c r="K33" i="208" s="1"/>
  <c r="J33" i="208" a="1"/>
  <c r="J33" i="208" s="1"/>
  <c r="I33" i="208" a="1"/>
  <c r="I33" i="208" s="1"/>
  <c r="H33" i="208" a="1"/>
  <c r="H33" i="208" s="1"/>
  <c r="G33" i="208" a="1"/>
  <c r="G33" i="208" s="1"/>
  <c r="F33" i="208" a="1"/>
  <c r="F33" i="208" s="1"/>
  <c r="E33" i="208" a="1"/>
  <c r="E33" i="208" s="1"/>
  <c r="D33" i="208" a="1"/>
  <c r="D33" i="208" s="1"/>
  <c r="AA32" i="208" a="1"/>
  <c r="AA32" i="208" s="1"/>
  <c r="Z32" i="208" a="1"/>
  <c r="Z32" i="208" s="1"/>
  <c r="Y32" i="208" a="1"/>
  <c r="Y32" i="208" s="1"/>
  <c r="X32" i="208" a="1"/>
  <c r="X32" i="208" s="1"/>
  <c r="W32" i="208" a="1"/>
  <c r="W32" i="208" s="1"/>
  <c r="V32" i="208" a="1"/>
  <c r="V32" i="208" s="1"/>
  <c r="U32" i="208" a="1"/>
  <c r="U32" i="208" s="1"/>
  <c r="T32" i="208" a="1"/>
  <c r="T32" i="208" s="1"/>
  <c r="S32" i="208" a="1"/>
  <c r="S32" i="208" s="1"/>
  <c r="R32" i="208" a="1"/>
  <c r="R32" i="208" s="1"/>
  <c r="Q32" i="208" a="1"/>
  <c r="Q32" i="208" s="1"/>
  <c r="P32" i="208" a="1"/>
  <c r="P32" i="208" s="1"/>
  <c r="O32" i="208" a="1"/>
  <c r="O32" i="208" s="1"/>
  <c r="N32" i="208" a="1"/>
  <c r="N32" i="208" s="1"/>
  <c r="M32" i="208" a="1"/>
  <c r="M32" i="208" s="1"/>
  <c r="L32" i="208" a="1"/>
  <c r="L32" i="208" s="1"/>
  <c r="K32" i="208" a="1"/>
  <c r="K32" i="208" s="1"/>
  <c r="J32" i="208" a="1"/>
  <c r="J32" i="208" s="1"/>
  <c r="I32" i="208" a="1"/>
  <c r="I32" i="208" s="1"/>
  <c r="H32" i="208" a="1"/>
  <c r="H32" i="208" s="1"/>
  <c r="G32" i="208" a="1"/>
  <c r="G32" i="208" s="1"/>
  <c r="F32" i="208" a="1"/>
  <c r="F32" i="208" s="1"/>
  <c r="E32" i="208" a="1"/>
  <c r="E32" i="208" s="1"/>
  <c r="D32" i="208" a="1"/>
  <c r="D32" i="208" s="1"/>
  <c r="AA31" i="208" a="1"/>
  <c r="AA31" i="208" s="1"/>
  <c r="Z31" i="208" a="1"/>
  <c r="Z31" i="208" s="1"/>
  <c r="Y31" i="208" a="1"/>
  <c r="Y31" i="208" s="1"/>
  <c r="X31" i="208" a="1"/>
  <c r="X31" i="208" s="1"/>
  <c r="W31" i="208" a="1"/>
  <c r="W31" i="208" s="1"/>
  <c r="V31" i="208" a="1"/>
  <c r="V31" i="208" s="1"/>
  <c r="U31" i="208" a="1"/>
  <c r="U31" i="208" s="1"/>
  <c r="T31" i="208" a="1"/>
  <c r="T31" i="208" s="1"/>
  <c r="S31" i="208" a="1"/>
  <c r="S31" i="208" s="1"/>
  <c r="R31" i="208" a="1"/>
  <c r="R31" i="208" s="1"/>
  <c r="Q31" i="208" a="1"/>
  <c r="Q31" i="208" s="1"/>
  <c r="P31" i="208" a="1"/>
  <c r="P31" i="208" s="1"/>
  <c r="O31" i="208" a="1"/>
  <c r="O31" i="208" s="1"/>
  <c r="N31" i="208" a="1"/>
  <c r="N31" i="208" s="1"/>
  <c r="M31" i="208" a="1"/>
  <c r="M31" i="208" s="1"/>
  <c r="L31" i="208" a="1"/>
  <c r="L31" i="208" s="1"/>
  <c r="K31" i="208" a="1"/>
  <c r="K31" i="208" s="1"/>
  <c r="J31" i="208" a="1"/>
  <c r="J31" i="208" s="1"/>
  <c r="I31" i="208" a="1"/>
  <c r="I31" i="208" s="1"/>
  <c r="H31" i="208" a="1"/>
  <c r="H31" i="208" s="1"/>
  <c r="G31" i="208" a="1"/>
  <c r="G31" i="208" s="1"/>
  <c r="F31" i="208" a="1"/>
  <c r="F31" i="208" s="1"/>
  <c r="E31" i="208" a="1"/>
  <c r="E31" i="208" s="1"/>
  <c r="D31" i="208" a="1"/>
  <c r="D31" i="208" s="1"/>
  <c r="AA37" i="209" a="1"/>
  <c r="AA37" i="209" s="1"/>
  <c r="Z37" i="209" a="1"/>
  <c r="Z37" i="209" s="1"/>
  <c r="Y37" i="209" a="1"/>
  <c r="Y37" i="209" s="1"/>
  <c r="X37" i="209" a="1"/>
  <c r="X37" i="209" s="1"/>
  <c r="W37" i="209" a="1"/>
  <c r="W37" i="209" s="1"/>
  <c r="V37" i="209" a="1"/>
  <c r="V37" i="209" s="1"/>
  <c r="U37" i="209" a="1"/>
  <c r="U37" i="209" s="1"/>
  <c r="T37" i="209" a="1"/>
  <c r="T37" i="209" s="1"/>
  <c r="S37" i="209" a="1"/>
  <c r="S37" i="209" s="1"/>
  <c r="R37" i="209" a="1"/>
  <c r="R37" i="209" s="1"/>
  <c r="Q37" i="209" a="1"/>
  <c r="Q37" i="209" s="1"/>
  <c r="P37" i="209" a="1"/>
  <c r="P37" i="209" s="1"/>
  <c r="O37" i="209" a="1"/>
  <c r="O37" i="209" s="1"/>
  <c r="N37" i="209"/>
  <c r="N37" i="209" a="1"/>
  <c r="M37" i="209"/>
  <c r="M37" i="209" a="1"/>
  <c r="L37" i="209"/>
  <c r="L37" i="209" a="1"/>
  <c r="K37" i="209"/>
  <c r="K37" i="209" a="1"/>
  <c r="J37" i="209"/>
  <c r="J37" i="209" a="1"/>
  <c r="I37" i="209" a="1"/>
  <c r="I37" i="209" s="1"/>
  <c r="H37" i="209" a="1"/>
  <c r="H37" i="209" s="1"/>
  <c r="F37" i="209" a="1"/>
  <c r="F37" i="209" s="1"/>
  <c r="E37" i="209" a="1"/>
  <c r="E37" i="209" s="1"/>
  <c r="D37" i="209" a="1"/>
  <c r="D37" i="209" s="1"/>
  <c r="AA36" i="209" a="1"/>
  <c r="AA36" i="209" s="1"/>
  <c r="Z36" i="209"/>
  <c r="Z36" i="209" a="1"/>
  <c r="Y36" i="209"/>
  <c r="Y36" i="209" a="1"/>
  <c r="X36" i="209"/>
  <c r="X36" i="209" a="1"/>
  <c r="W36" i="209"/>
  <c r="W36" i="209" a="1"/>
  <c r="V36" i="209"/>
  <c r="V36" i="209" a="1"/>
  <c r="U36" i="209" a="1"/>
  <c r="U36" i="209" s="1"/>
  <c r="T36" i="209" a="1"/>
  <c r="T36" i="209" s="1"/>
  <c r="S36" i="209" a="1"/>
  <c r="S36" i="209" s="1"/>
  <c r="R36" i="209" a="1"/>
  <c r="R36" i="209" s="1"/>
  <c r="Q36" i="209" a="1"/>
  <c r="Q36" i="209" s="1"/>
  <c r="P36" i="209"/>
  <c r="P36" i="209" a="1"/>
  <c r="O36" i="209" a="1"/>
  <c r="O36" i="209" s="1"/>
  <c r="N36" i="209" a="1"/>
  <c r="N36" i="209" s="1"/>
  <c r="M36" i="209" a="1"/>
  <c r="M36" i="209" s="1"/>
  <c r="L36" i="209" a="1"/>
  <c r="L36" i="209" s="1"/>
  <c r="K36" i="209" a="1"/>
  <c r="K36" i="209" s="1"/>
  <c r="J36" i="209"/>
  <c r="J36" i="209" a="1"/>
  <c r="I36" i="209" a="1"/>
  <c r="I36" i="209" s="1"/>
  <c r="H36" i="209" a="1"/>
  <c r="H36" i="209" s="1"/>
  <c r="F36" i="209" a="1"/>
  <c r="F36" i="209" s="1"/>
  <c r="E36" i="209" a="1"/>
  <c r="E36" i="209" s="1"/>
  <c r="D36" i="209"/>
  <c r="D36" i="209" a="1"/>
  <c r="AA35" i="209" a="1"/>
  <c r="AA35" i="209" s="1"/>
  <c r="Z35" i="209" a="1"/>
  <c r="Z35" i="209" s="1"/>
  <c r="Y35" i="209" a="1"/>
  <c r="Y35" i="209" s="1"/>
  <c r="X35" i="209" a="1"/>
  <c r="X35" i="209" s="1"/>
  <c r="W35" i="209" a="1"/>
  <c r="W35" i="209" s="1"/>
  <c r="V35" i="209"/>
  <c r="V35" i="209" a="1"/>
  <c r="U35" i="209" a="1"/>
  <c r="U35" i="209" s="1"/>
  <c r="T35" i="209" a="1"/>
  <c r="T35" i="209" s="1"/>
  <c r="S35" i="209" a="1"/>
  <c r="S35" i="209" s="1"/>
  <c r="R35" i="209" a="1"/>
  <c r="R35" i="209" s="1"/>
  <c r="Q35" i="209" a="1"/>
  <c r="Q35" i="209" s="1"/>
  <c r="P35" i="209" a="1"/>
  <c r="P35" i="209" s="1"/>
  <c r="O35" i="209" a="1"/>
  <c r="O35" i="209" s="1"/>
  <c r="N35" i="209"/>
  <c r="N35" i="209" a="1"/>
  <c r="M35" i="209"/>
  <c r="M35" i="209" a="1"/>
  <c r="L35" i="209" a="1"/>
  <c r="L35" i="209" s="1"/>
  <c r="K35" i="209" a="1"/>
  <c r="K35" i="209" s="1"/>
  <c r="J35" i="209"/>
  <c r="J35" i="209" a="1"/>
  <c r="I35" i="209" a="1"/>
  <c r="I35" i="209" s="1"/>
  <c r="H35" i="209" a="1"/>
  <c r="H35" i="209" s="1"/>
  <c r="F35" i="209" a="1"/>
  <c r="F35" i="209" s="1"/>
  <c r="E35" i="209" a="1"/>
  <c r="E35" i="209" s="1"/>
  <c r="D35" i="209"/>
  <c r="D35" i="209" a="1"/>
  <c r="AA34" i="209" a="1"/>
  <c r="AA34" i="209" s="1"/>
  <c r="Z34" i="209" a="1"/>
  <c r="Z34" i="209" s="1"/>
  <c r="Y34" i="209" a="1"/>
  <c r="Y34" i="209" s="1"/>
  <c r="X34" i="209" a="1"/>
  <c r="X34" i="209" s="1"/>
  <c r="W34" i="209" a="1"/>
  <c r="W34" i="209" s="1"/>
  <c r="V34" i="209"/>
  <c r="V34" i="209" a="1"/>
  <c r="U34" i="209" a="1"/>
  <c r="U34" i="209" s="1"/>
  <c r="T34" i="209" a="1"/>
  <c r="T34" i="209" s="1"/>
  <c r="S34" i="209" a="1"/>
  <c r="S34" i="209" s="1"/>
  <c r="R34" i="209" a="1"/>
  <c r="R34" i="209" s="1"/>
  <c r="Q34" i="209" a="1"/>
  <c r="Q34" i="209" s="1"/>
  <c r="P34" i="209"/>
  <c r="P34" i="209" a="1"/>
  <c r="O34" i="209" a="1"/>
  <c r="O34" i="209" s="1"/>
  <c r="N34" i="209" a="1"/>
  <c r="N34" i="209" s="1"/>
  <c r="M34" i="209" a="1"/>
  <c r="M34" i="209" s="1"/>
  <c r="L34" i="209" a="1"/>
  <c r="L34" i="209" s="1"/>
  <c r="K34" i="209" a="1"/>
  <c r="K34" i="209" s="1"/>
  <c r="J34" i="209" a="1"/>
  <c r="J34" i="209" s="1"/>
  <c r="I34" i="209" a="1"/>
  <c r="I34" i="209" s="1"/>
  <c r="H34" i="209" a="1"/>
  <c r="H34" i="209" s="1"/>
  <c r="F34" i="209" a="1"/>
  <c r="F34" i="209" s="1"/>
  <c r="E34" i="209" a="1"/>
  <c r="E34" i="209" s="1"/>
  <c r="D34" i="209"/>
  <c r="D34" i="209" a="1"/>
  <c r="AA33" i="209" a="1"/>
  <c r="AA33" i="209" s="1"/>
  <c r="Z33" i="209" a="1"/>
  <c r="Z33" i="209" s="1"/>
  <c r="Y33" i="209" a="1"/>
  <c r="Y33" i="209" s="1"/>
  <c r="X33" i="209" a="1"/>
  <c r="X33" i="209" s="1"/>
  <c r="W33" i="209" a="1"/>
  <c r="W33" i="209" s="1"/>
  <c r="V33" i="209" a="1"/>
  <c r="V33" i="209" s="1"/>
  <c r="U33" i="209" a="1"/>
  <c r="U33" i="209" s="1"/>
  <c r="T33" i="209" a="1"/>
  <c r="T33" i="209" s="1"/>
  <c r="S33" i="209" a="1"/>
  <c r="S33" i="209" s="1"/>
  <c r="R33" i="209" a="1"/>
  <c r="R33" i="209" s="1"/>
  <c r="Q33" i="209" a="1"/>
  <c r="Q33" i="209" s="1"/>
  <c r="P33" i="209"/>
  <c r="P33" i="209" a="1"/>
  <c r="O33" i="209" a="1"/>
  <c r="O33" i="209" s="1"/>
  <c r="N33" i="209" a="1"/>
  <c r="N33" i="209" s="1"/>
  <c r="M33" i="209" a="1"/>
  <c r="M33" i="209" s="1"/>
  <c r="L33" i="209" a="1"/>
  <c r="L33" i="209" s="1"/>
  <c r="K33" i="209" a="1"/>
  <c r="K33" i="209" s="1"/>
  <c r="J33" i="209" a="1"/>
  <c r="J33" i="209" s="1"/>
  <c r="I33" i="209" a="1"/>
  <c r="I33" i="209" s="1"/>
  <c r="H33" i="209" a="1"/>
  <c r="H33" i="209" s="1"/>
  <c r="F33" i="209" a="1"/>
  <c r="F33" i="209" s="1"/>
  <c r="E33" i="209" a="1"/>
  <c r="E33" i="209" s="1"/>
  <c r="D33" i="209"/>
  <c r="D33" i="209" a="1"/>
  <c r="AA32" i="209" a="1"/>
  <c r="AA32" i="209" s="1"/>
  <c r="Z32" i="209" a="1"/>
  <c r="Z32" i="209" s="1"/>
  <c r="Y32" i="209" a="1"/>
  <c r="Y32" i="209" s="1"/>
  <c r="X32" i="209" a="1"/>
  <c r="X32" i="209" s="1"/>
  <c r="W32" i="209" a="1"/>
  <c r="W32" i="209" s="1"/>
  <c r="V32" i="209" a="1"/>
  <c r="V32" i="209" s="1"/>
  <c r="U32" i="209" a="1"/>
  <c r="U32" i="209" s="1"/>
  <c r="T32" i="209" a="1"/>
  <c r="T32" i="209" s="1"/>
  <c r="S32" i="209" a="1"/>
  <c r="S32" i="209" s="1"/>
  <c r="R32" i="209" a="1"/>
  <c r="R32" i="209" s="1"/>
  <c r="Q32" i="209" a="1"/>
  <c r="Q32" i="209" s="1"/>
  <c r="P32" i="209"/>
  <c r="P32" i="209" a="1"/>
  <c r="O32" i="209" a="1"/>
  <c r="O32" i="209" s="1"/>
  <c r="N32" i="209" a="1"/>
  <c r="N32" i="209" s="1"/>
  <c r="M32" i="209" a="1"/>
  <c r="M32" i="209" s="1"/>
  <c r="L32" i="209" a="1"/>
  <c r="L32" i="209" s="1"/>
  <c r="K32" i="209" a="1"/>
  <c r="K32" i="209" s="1"/>
  <c r="J32" i="209" a="1"/>
  <c r="J32" i="209" s="1"/>
  <c r="I32" i="209" a="1"/>
  <c r="I32" i="209" s="1"/>
  <c r="H32" i="209" a="1"/>
  <c r="H32" i="209" s="1"/>
  <c r="F32" i="209" a="1"/>
  <c r="F32" i="209" s="1"/>
  <c r="E32" i="209" a="1"/>
  <c r="E32" i="209" s="1"/>
  <c r="D32" i="209"/>
  <c r="D32" i="209" a="1"/>
  <c r="AA31" i="209" a="1"/>
  <c r="AA31" i="209" s="1"/>
  <c r="Z31" i="209" a="1"/>
  <c r="Z31" i="209" s="1"/>
  <c r="Y31" i="209" a="1"/>
  <c r="Y31" i="209" s="1"/>
  <c r="X31" i="209" a="1"/>
  <c r="X31" i="209" s="1"/>
  <c r="W31" i="209" a="1"/>
  <c r="W31" i="209" s="1"/>
  <c r="V31" i="209" a="1"/>
  <c r="V31" i="209" s="1"/>
  <c r="U31" i="209" a="1"/>
  <c r="U31" i="209" s="1"/>
  <c r="T31" i="209" a="1"/>
  <c r="T31" i="209" s="1"/>
  <c r="S31" i="209" a="1"/>
  <c r="S31" i="209" s="1"/>
  <c r="R31" i="209" a="1"/>
  <c r="R31" i="209" s="1"/>
  <c r="Q31" i="209" a="1"/>
  <c r="Q31" i="209" s="1"/>
  <c r="P31" i="209"/>
  <c r="P31" i="209" a="1"/>
  <c r="O31" i="209" a="1"/>
  <c r="O31" i="209" s="1"/>
  <c r="N31" i="209" a="1"/>
  <c r="N31" i="209" s="1"/>
  <c r="M31" i="209" a="1"/>
  <c r="M31" i="209" s="1"/>
  <c r="L31" i="209" a="1"/>
  <c r="L31" i="209" s="1"/>
  <c r="K31" i="209" a="1"/>
  <c r="K31" i="209" s="1"/>
  <c r="J31" i="209" a="1"/>
  <c r="J31" i="209" s="1"/>
  <c r="I31" i="209" a="1"/>
  <c r="I31" i="209" s="1"/>
  <c r="H31" i="209" a="1"/>
  <c r="H31" i="209" s="1"/>
  <c r="F31" i="209" a="1"/>
  <c r="F31" i="209" s="1"/>
  <c r="E31" i="209" a="1"/>
  <c r="E31" i="209" s="1"/>
  <c r="D31" i="209"/>
  <c r="D31" i="209" a="1"/>
  <c r="AA37" i="210" a="1"/>
  <c r="AA37" i="210" s="1"/>
  <c r="Z37" i="210" a="1"/>
  <c r="Z37" i="210" s="1"/>
  <c r="Y37" i="210" a="1"/>
  <c r="Y37" i="210" s="1"/>
  <c r="X37" i="210" a="1"/>
  <c r="X37" i="210" s="1"/>
  <c r="W37" i="210" a="1"/>
  <c r="W37" i="210" s="1"/>
  <c r="V37" i="210" a="1"/>
  <c r="V37" i="210" s="1"/>
  <c r="U37" i="210" a="1"/>
  <c r="U37" i="210" s="1"/>
  <c r="T37" i="210" a="1"/>
  <c r="T37" i="210" s="1"/>
  <c r="S37" i="210" a="1"/>
  <c r="S37" i="210" s="1"/>
  <c r="R37" i="210" a="1"/>
  <c r="R37" i="210" s="1"/>
  <c r="Q37" i="210" a="1"/>
  <c r="Q37" i="210" s="1"/>
  <c r="P37" i="210"/>
  <c r="P37" i="210" a="1"/>
  <c r="O37" i="210" a="1"/>
  <c r="O37" i="210" s="1"/>
  <c r="N37" i="210" a="1"/>
  <c r="N37" i="210" s="1"/>
  <c r="M37" i="210" a="1"/>
  <c r="M37" i="210" s="1"/>
  <c r="L37" i="210" a="1"/>
  <c r="L37" i="210" s="1"/>
  <c r="K37" i="210" a="1"/>
  <c r="K37" i="210" s="1"/>
  <c r="J37" i="210" a="1"/>
  <c r="J37" i="210" s="1"/>
  <c r="I37" i="210" a="1"/>
  <c r="I37" i="210" s="1"/>
  <c r="H37" i="210" a="1"/>
  <c r="H37" i="210" s="1"/>
  <c r="F37" i="210" a="1"/>
  <c r="F37" i="210" s="1"/>
  <c r="E37" i="210" a="1"/>
  <c r="E37" i="210" s="1"/>
  <c r="D37" i="210"/>
  <c r="D37" i="210" a="1"/>
  <c r="AA36" i="210" a="1"/>
  <c r="AA36" i="210" s="1"/>
  <c r="Z36" i="210" a="1"/>
  <c r="Z36" i="210" s="1"/>
  <c r="Y36" i="210" a="1"/>
  <c r="Y36" i="210" s="1"/>
  <c r="X36" i="210" a="1"/>
  <c r="X36" i="210" s="1"/>
  <c r="W36" i="210" a="1"/>
  <c r="W36" i="210" s="1"/>
  <c r="V36" i="210" a="1"/>
  <c r="V36" i="210" s="1"/>
  <c r="U36" i="210" a="1"/>
  <c r="U36" i="210" s="1"/>
  <c r="T36" i="210" a="1"/>
  <c r="T36" i="210" s="1"/>
  <c r="S36" i="210" a="1"/>
  <c r="S36" i="210" s="1"/>
  <c r="R36" i="210" a="1"/>
  <c r="R36" i="210" s="1"/>
  <c r="Q36" i="210" a="1"/>
  <c r="Q36" i="210" s="1"/>
  <c r="P36" i="210"/>
  <c r="P36" i="210" a="1"/>
  <c r="O36" i="210" a="1"/>
  <c r="O36" i="210" s="1"/>
  <c r="N36" i="210" a="1"/>
  <c r="N36" i="210" s="1"/>
  <c r="M36" i="210" a="1"/>
  <c r="M36" i="210" s="1"/>
  <c r="L36" i="210" a="1"/>
  <c r="L36" i="210" s="1"/>
  <c r="K36" i="210" a="1"/>
  <c r="K36" i="210" s="1"/>
  <c r="J36" i="210" a="1"/>
  <c r="J36" i="210" s="1"/>
  <c r="I36" i="210" a="1"/>
  <c r="I36" i="210" s="1"/>
  <c r="H36" i="210" a="1"/>
  <c r="H36" i="210" s="1"/>
  <c r="F36" i="210" a="1"/>
  <c r="F36" i="210" s="1"/>
  <c r="E36" i="210" a="1"/>
  <c r="E36" i="210" s="1"/>
  <c r="D36" i="210"/>
  <c r="D36" i="210" a="1"/>
  <c r="AA35" i="210" a="1"/>
  <c r="AA35" i="210" s="1"/>
  <c r="Z35" i="210" a="1"/>
  <c r="Z35" i="210" s="1"/>
  <c r="Y35" i="210" a="1"/>
  <c r="Y35" i="210" s="1"/>
  <c r="X35" i="210" a="1"/>
  <c r="X35" i="210" s="1"/>
  <c r="W35" i="210" a="1"/>
  <c r="W35" i="210" s="1"/>
  <c r="V35" i="210" a="1"/>
  <c r="V35" i="210" s="1"/>
  <c r="U35" i="210" a="1"/>
  <c r="U35" i="210" s="1"/>
  <c r="T35" i="210" a="1"/>
  <c r="T35" i="210" s="1"/>
  <c r="S35" i="210" a="1"/>
  <c r="S35" i="210" s="1"/>
  <c r="R35" i="210" a="1"/>
  <c r="R35" i="210" s="1"/>
  <c r="Q35" i="210" a="1"/>
  <c r="Q35" i="210" s="1"/>
  <c r="P35" i="210"/>
  <c r="P35" i="210" a="1"/>
  <c r="O35" i="210" a="1"/>
  <c r="O35" i="210" s="1"/>
  <c r="N35" i="210" a="1"/>
  <c r="N35" i="210" s="1"/>
  <c r="M35" i="210" a="1"/>
  <c r="M35" i="210" s="1"/>
  <c r="L35" i="210" a="1"/>
  <c r="L35" i="210" s="1"/>
  <c r="K35" i="210" a="1"/>
  <c r="K35" i="210" s="1"/>
  <c r="J35" i="210" a="1"/>
  <c r="J35" i="210" s="1"/>
  <c r="I35" i="210" a="1"/>
  <c r="I35" i="210" s="1"/>
  <c r="H35" i="210" a="1"/>
  <c r="H35" i="210" s="1"/>
  <c r="F35" i="210" a="1"/>
  <c r="F35" i="210" s="1"/>
  <c r="E35" i="210" a="1"/>
  <c r="E35" i="210" s="1"/>
  <c r="D35" i="210"/>
  <c r="D35" i="210" a="1"/>
  <c r="AA34" i="210" a="1"/>
  <c r="AA34" i="210" s="1"/>
  <c r="Z34" i="210" a="1"/>
  <c r="Z34" i="210" s="1"/>
  <c r="Y34" i="210" a="1"/>
  <c r="Y34" i="210" s="1"/>
  <c r="X34" i="210" a="1"/>
  <c r="X34" i="210" s="1"/>
  <c r="W34" i="210" a="1"/>
  <c r="W34" i="210" s="1"/>
  <c r="V34" i="210" a="1"/>
  <c r="V34" i="210" s="1"/>
  <c r="U34" i="210" a="1"/>
  <c r="U34" i="210" s="1"/>
  <c r="T34" i="210" a="1"/>
  <c r="T34" i="210" s="1"/>
  <c r="S34" i="210" a="1"/>
  <c r="S34" i="210" s="1"/>
  <c r="R34" i="210" a="1"/>
  <c r="R34" i="210" s="1"/>
  <c r="Q34" i="210" a="1"/>
  <c r="Q34" i="210" s="1"/>
  <c r="P34" i="210"/>
  <c r="P34" i="210" a="1"/>
  <c r="O34" i="210" a="1"/>
  <c r="O34" i="210" s="1"/>
  <c r="N34" i="210" a="1"/>
  <c r="N34" i="210" s="1"/>
  <c r="M34" i="210" a="1"/>
  <c r="M34" i="210" s="1"/>
  <c r="L34" i="210" a="1"/>
  <c r="L34" i="210" s="1"/>
  <c r="K34" i="210" a="1"/>
  <c r="K34" i="210" s="1"/>
  <c r="J34" i="210" a="1"/>
  <c r="J34" i="210" s="1"/>
  <c r="I34" i="210" a="1"/>
  <c r="I34" i="210" s="1"/>
  <c r="H34" i="210" a="1"/>
  <c r="H34" i="210" s="1"/>
  <c r="F34" i="210" a="1"/>
  <c r="F34" i="210" s="1"/>
  <c r="E34" i="210" a="1"/>
  <c r="E34" i="210" s="1"/>
  <c r="D34" i="210"/>
  <c r="D34" i="210" a="1"/>
  <c r="AA33" i="210" a="1"/>
  <c r="AA33" i="210" s="1"/>
  <c r="Z33" i="210" a="1"/>
  <c r="Z33" i="210" s="1"/>
  <c r="Y33" i="210" a="1"/>
  <c r="Y33" i="210" s="1"/>
  <c r="X33" i="210" a="1"/>
  <c r="X33" i="210" s="1"/>
  <c r="W33" i="210" a="1"/>
  <c r="W33" i="210" s="1"/>
  <c r="V33" i="210" a="1"/>
  <c r="V33" i="210" s="1"/>
  <c r="U33" i="210" a="1"/>
  <c r="U33" i="210" s="1"/>
  <c r="T33" i="210" a="1"/>
  <c r="T33" i="210" s="1"/>
  <c r="S33" i="210" a="1"/>
  <c r="S33" i="210" s="1"/>
  <c r="R33" i="210" a="1"/>
  <c r="R33" i="210" s="1"/>
  <c r="Q33" i="210" a="1"/>
  <c r="Q33" i="210" s="1"/>
  <c r="P33" i="210"/>
  <c r="P33" i="210" a="1"/>
  <c r="O33" i="210" a="1"/>
  <c r="O33" i="210" s="1"/>
  <c r="N33" i="210" a="1"/>
  <c r="N33" i="210" s="1"/>
  <c r="M33" i="210" a="1"/>
  <c r="M33" i="210" s="1"/>
  <c r="L33" i="210" a="1"/>
  <c r="L33" i="210" s="1"/>
  <c r="K33" i="210" a="1"/>
  <c r="K33" i="210" s="1"/>
  <c r="J33" i="210" a="1"/>
  <c r="J33" i="210" s="1"/>
  <c r="I33" i="210" a="1"/>
  <c r="I33" i="210" s="1"/>
  <c r="H33" i="210" a="1"/>
  <c r="H33" i="210" s="1"/>
  <c r="F33" i="210" a="1"/>
  <c r="F33" i="210" s="1"/>
  <c r="E33" i="210" a="1"/>
  <c r="E33" i="210" s="1"/>
  <c r="D33" i="210"/>
  <c r="D33" i="210" a="1"/>
  <c r="AA32" i="210" a="1"/>
  <c r="AA32" i="210" s="1"/>
  <c r="Z32" i="210" a="1"/>
  <c r="Z32" i="210" s="1"/>
  <c r="Y32" i="210" a="1"/>
  <c r="Y32" i="210" s="1"/>
  <c r="X32" i="210" a="1"/>
  <c r="X32" i="210" s="1"/>
  <c r="W32" i="210" a="1"/>
  <c r="W32" i="210" s="1"/>
  <c r="V32" i="210" a="1"/>
  <c r="V32" i="210" s="1"/>
  <c r="U32" i="210" a="1"/>
  <c r="U32" i="210" s="1"/>
  <c r="T32" i="210" a="1"/>
  <c r="T32" i="210" s="1"/>
  <c r="S32" i="210" a="1"/>
  <c r="S32" i="210" s="1"/>
  <c r="R32" i="210" a="1"/>
  <c r="R32" i="210" s="1"/>
  <c r="Q32" i="210" a="1"/>
  <c r="Q32" i="210" s="1"/>
  <c r="P32" i="210"/>
  <c r="P32" i="210" a="1"/>
  <c r="O32" i="210" a="1"/>
  <c r="O32" i="210" s="1"/>
  <c r="N32" i="210" a="1"/>
  <c r="N32" i="210" s="1"/>
  <c r="M32" i="210" a="1"/>
  <c r="M32" i="210" s="1"/>
  <c r="L32" i="210" a="1"/>
  <c r="L32" i="210" s="1"/>
  <c r="K32" i="210" a="1"/>
  <c r="K32" i="210" s="1"/>
  <c r="J32" i="210" a="1"/>
  <c r="J32" i="210" s="1"/>
  <c r="I32" i="210" a="1"/>
  <c r="I32" i="210" s="1"/>
  <c r="H32" i="210" a="1"/>
  <c r="H32" i="210" s="1"/>
  <c r="F32" i="210" a="1"/>
  <c r="F32" i="210" s="1"/>
  <c r="E32" i="210" a="1"/>
  <c r="E32" i="210" s="1"/>
  <c r="D32" i="210"/>
  <c r="D32" i="210" a="1"/>
  <c r="AA31" i="210" a="1"/>
  <c r="AA31" i="210" s="1"/>
  <c r="Z31" i="210" a="1"/>
  <c r="Z31" i="210" s="1"/>
  <c r="Y31" i="210" a="1"/>
  <c r="Y31" i="210" s="1"/>
  <c r="X31" i="210" a="1"/>
  <c r="X31" i="210" s="1"/>
  <c r="W31" i="210" a="1"/>
  <c r="W31" i="210" s="1"/>
  <c r="V31" i="210" a="1"/>
  <c r="V31" i="210" s="1"/>
  <c r="U31" i="210" a="1"/>
  <c r="U31" i="210" s="1"/>
  <c r="T31" i="210" a="1"/>
  <c r="T31" i="210" s="1"/>
  <c r="S31" i="210" a="1"/>
  <c r="S31" i="210" s="1"/>
  <c r="R31" i="210" a="1"/>
  <c r="R31" i="210" s="1"/>
  <c r="Q31" i="210" a="1"/>
  <c r="Q31" i="210" s="1"/>
  <c r="P31" i="210"/>
  <c r="P31" i="210" a="1"/>
  <c r="O31" i="210" a="1"/>
  <c r="O31" i="210" s="1"/>
  <c r="N31" i="210" a="1"/>
  <c r="N31" i="210" s="1"/>
  <c r="M31" i="210" a="1"/>
  <c r="M31" i="210" s="1"/>
  <c r="L31" i="210" a="1"/>
  <c r="L31" i="210" s="1"/>
  <c r="K31" i="210" a="1"/>
  <c r="K31" i="210" s="1"/>
  <c r="J31" i="210" a="1"/>
  <c r="J31" i="210" s="1"/>
  <c r="I31" i="210" a="1"/>
  <c r="I31" i="210" s="1"/>
  <c r="H31" i="210" a="1"/>
  <c r="H31" i="210" s="1"/>
  <c r="F31" i="210" a="1"/>
  <c r="F31" i="210" s="1"/>
  <c r="E31" i="210" a="1"/>
  <c r="E31" i="210" s="1"/>
  <c r="D31" i="210"/>
  <c r="D31" i="210" a="1"/>
  <c r="AA37" i="175" a="1"/>
  <c r="AA37" i="175" s="1"/>
  <c r="Z37" i="175" a="1"/>
  <c r="Z37" i="175" s="1"/>
  <c r="Y37" i="175" a="1"/>
  <c r="Y37" i="175" s="1"/>
  <c r="X37" i="175" a="1"/>
  <c r="X37" i="175" s="1"/>
  <c r="W37" i="175" a="1"/>
  <c r="W37" i="175" s="1"/>
  <c r="V37" i="175" a="1"/>
  <c r="V37" i="175" s="1"/>
  <c r="U37" i="175" a="1"/>
  <c r="U37" i="175" s="1"/>
  <c r="T37" i="175" a="1"/>
  <c r="T37" i="175" s="1"/>
  <c r="S37" i="175" a="1"/>
  <c r="S37" i="175" s="1"/>
  <c r="R37" i="175" a="1"/>
  <c r="R37" i="175" s="1"/>
  <c r="Q37" i="175" a="1"/>
  <c r="Q37" i="175" s="1"/>
  <c r="P37" i="175"/>
  <c r="P37" i="175" a="1"/>
  <c r="O37" i="175" a="1"/>
  <c r="O37" i="175" s="1"/>
  <c r="N37" i="175" a="1"/>
  <c r="N37" i="175" s="1"/>
  <c r="M37" i="175" a="1"/>
  <c r="M37" i="175" s="1"/>
  <c r="L37" i="175" a="1"/>
  <c r="L37" i="175" s="1"/>
  <c r="K37" i="175" a="1"/>
  <c r="K37" i="175" s="1"/>
  <c r="J37" i="175" a="1"/>
  <c r="J37" i="175" s="1"/>
  <c r="I37" i="175" a="1"/>
  <c r="I37" i="175" s="1"/>
  <c r="H37" i="175" a="1"/>
  <c r="H37" i="175" s="1"/>
  <c r="F37" i="175" a="1"/>
  <c r="F37" i="175" s="1"/>
  <c r="E37" i="175" a="1"/>
  <c r="E37" i="175" s="1"/>
  <c r="D37" i="175"/>
  <c r="D37" i="175" a="1"/>
  <c r="AA36" i="175" a="1"/>
  <c r="AA36" i="175" s="1"/>
  <c r="Z36" i="175" a="1"/>
  <c r="Z36" i="175" s="1"/>
  <c r="Y36" i="175" a="1"/>
  <c r="Y36" i="175" s="1"/>
  <c r="X36" i="175" a="1"/>
  <c r="X36" i="175" s="1"/>
  <c r="W36" i="175" a="1"/>
  <c r="W36" i="175" s="1"/>
  <c r="V36" i="175" a="1"/>
  <c r="V36" i="175" s="1"/>
  <c r="U36" i="175" a="1"/>
  <c r="U36" i="175" s="1"/>
  <c r="T36" i="175" a="1"/>
  <c r="T36" i="175" s="1"/>
  <c r="S36" i="175" a="1"/>
  <c r="S36" i="175" s="1"/>
  <c r="R36" i="175" a="1"/>
  <c r="R36" i="175" s="1"/>
  <c r="Q36" i="175" a="1"/>
  <c r="Q36" i="175" s="1"/>
  <c r="P36" i="175"/>
  <c r="P36" i="175" a="1"/>
  <c r="O36" i="175" a="1"/>
  <c r="O36" i="175" s="1"/>
  <c r="N36" i="175" a="1"/>
  <c r="N36" i="175" s="1"/>
  <c r="M36" i="175" a="1"/>
  <c r="M36" i="175" s="1"/>
  <c r="L36" i="175" a="1"/>
  <c r="L36" i="175" s="1"/>
  <c r="K36" i="175" a="1"/>
  <c r="K36" i="175" s="1"/>
  <c r="J36" i="175" a="1"/>
  <c r="J36" i="175" s="1"/>
  <c r="I36" i="175" a="1"/>
  <c r="I36" i="175" s="1"/>
  <c r="H36" i="175" a="1"/>
  <c r="H36" i="175" s="1"/>
  <c r="F36" i="175" a="1"/>
  <c r="F36" i="175" s="1"/>
  <c r="E36" i="175" a="1"/>
  <c r="E36" i="175" s="1"/>
  <c r="D36" i="175"/>
  <c r="D36" i="175" a="1"/>
  <c r="AA35" i="175" a="1"/>
  <c r="AA35" i="175" s="1"/>
  <c r="Z35" i="175" a="1"/>
  <c r="Z35" i="175" s="1"/>
  <c r="Y35" i="175" a="1"/>
  <c r="Y35" i="175" s="1"/>
  <c r="X35" i="175" a="1"/>
  <c r="X35" i="175" s="1"/>
  <c r="W35" i="175" a="1"/>
  <c r="W35" i="175" s="1"/>
  <c r="V35" i="175" a="1"/>
  <c r="V35" i="175" s="1"/>
  <c r="U35" i="175" a="1"/>
  <c r="U35" i="175" s="1"/>
  <c r="T35" i="175" a="1"/>
  <c r="T35" i="175" s="1"/>
  <c r="S35" i="175" a="1"/>
  <c r="S35" i="175" s="1"/>
  <c r="R35" i="175" a="1"/>
  <c r="R35" i="175" s="1"/>
  <c r="Q35" i="175" a="1"/>
  <c r="Q35" i="175" s="1"/>
  <c r="P35" i="175"/>
  <c r="P35" i="175" a="1"/>
  <c r="O35" i="175" a="1"/>
  <c r="O35" i="175" s="1"/>
  <c r="N35" i="175" a="1"/>
  <c r="N35" i="175" s="1"/>
  <c r="M35" i="175" a="1"/>
  <c r="M35" i="175" s="1"/>
  <c r="L35" i="175" a="1"/>
  <c r="L35" i="175" s="1"/>
  <c r="K35" i="175" a="1"/>
  <c r="K35" i="175" s="1"/>
  <c r="J35" i="175" a="1"/>
  <c r="J35" i="175" s="1"/>
  <c r="I35" i="175" a="1"/>
  <c r="I35" i="175" s="1"/>
  <c r="H35" i="175" a="1"/>
  <c r="H35" i="175" s="1"/>
  <c r="F35" i="175" a="1"/>
  <c r="F35" i="175" s="1"/>
  <c r="E35" i="175" a="1"/>
  <c r="E35" i="175" s="1"/>
  <c r="D35" i="175"/>
  <c r="D35" i="175" a="1"/>
  <c r="AA34" i="175" a="1"/>
  <c r="AA34" i="175" s="1"/>
  <c r="Z34" i="175" a="1"/>
  <c r="Z34" i="175" s="1"/>
  <c r="Y34" i="175" a="1"/>
  <c r="Y34" i="175" s="1"/>
  <c r="X34" i="175" a="1"/>
  <c r="X34" i="175" s="1"/>
  <c r="W34" i="175" a="1"/>
  <c r="W34" i="175" s="1"/>
  <c r="V34" i="175" a="1"/>
  <c r="V34" i="175" s="1"/>
  <c r="U34" i="175" a="1"/>
  <c r="U34" i="175" s="1"/>
  <c r="T34" i="175" a="1"/>
  <c r="T34" i="175" s="1"/>
  <c r="S34" i="175" a="1"/>
  <c r="S34" i="175" s="1"/>
  <c r="R34" i="175" a="1"/>
  <c r="R34" i="175" s="1"/>
  <c r="Q34" i="175" a="1"/>
  <c r="Q34" i="175" s="1"/>
  <c r="P34" i="175"/>
  <c r="P34" i="175" a="1"/>
  <c r="O34" i="175" a="1"/>
  <c r="O34" i="175" s="1"/>
  <c r="N34" i="175" a="1"/>
  <c r="N34" i="175" s="1"/>
  <c r="M34" i="175" a="1"/>
  <c r="M34" i="175" s="1"/>
  <c r="L34" i="175" a="1"/>
  <c r="L34" i="175" s="1"/>
  <c r="K34" i="175" a="1"/>
  <c r="K34" i="175" s="1"/>
  <c r="J34" i="175" a="1"/>
  <c r="J34" i="175" s="1"/>
  <c r="I34" i="175" a="1"/>
  <c r="I34" i="175" s="1"/>
  <c r="H34" i="175" a="1"/>
  <c r="H34" i="175" s="1"/>
  <c r="F34" i="175" a="1"/>
  <c r="F34" i="175" s="1"/>
  <c r="E34" i="175" a="1"/>
  <c r="E34" i="175" s="1"/>
  <c r="D34" i="175"/>
  <c r="D34" i="175" a="1"/>
  <c r="AA33" i="175" a="1"/>
  <c r="AA33" i="175" s="1"/>
  <c r="Z33" i="175" a="1"/>
  <c r="Z33" i="175" s="1"/>
  <c r="Y33" i="175" a="1"/>
  <c r="Y33" i="175" s="1"/>
  <c r="X33" i="175" a="1"/>
  <c r="X33" i="175" s="1"/>
  <c r="W33" i="175" a="1"/>
  <c r="W33" i="175" s="1"/>
  <c r="V33" i="175" a="1"/>
  <c r="V33" i="175" s="1"/>
  <c r="U33" i="175" a="1"/>
  <c r="U33" i="175" s="1"/>
  <c r="T33" i="175" a="1"/>
  <c r="T33" i="175" s="1"/>
  <c r="S33" i="175" a="1"/>
  <c r="S33" i="175" s="1"/>
  <c r="R33" i="175" a="1"/>
  <c r="R33" i="175" s="1"/>
  <c r="Q33" i="175" a="1"/>
  <c r="Q33" i="175" s="1"/>
  <c r="P33" i="175"/>
  <c r="P33" i="175" a="1"/>
  <c r="O33" i="175" a="1"/>
  <c r="O33" i="175" s="1"/>
  <c r="N33" i="175" a="1"/>
  <c r="N33" i="175" s="1"/>
  <c r="M33" i="175" a="1"/>
  <c r="M33" i="175" s="1"/>
  <c r="L33" i="175" a="1"/>
  <c r="L33" i="175" s="1"/>
  <c r="K33" i="175" a="1"/>
  <c r="K33" i="175" s="1"/>
  <c r="J33" i="175" a="1"/>
  <c r="J33" i="175" s="1"/>
  <c r="I33" i="175" a="1"/>
  <c r="I33" i="175" s="1"/>
  <c r="H33" i="175" a="1"/>
  <c r="H33" i="175" s="1"/>
  <c r="F33" i="175" a="1"/>
  <c r="F33" i="175" s="1"/>
  <c r="E33" i="175" a="1"/>
  <c r="E33" i="175" s="1"/>
  <c r="D33" i="175" a="1"/>
  <c r="D33" i="175" s="1"/>
  <c r="AA32" i="175" a="1"/>
  <c r="AA32" i="175" s="1"/>
  <c r="Z32" i="175" a="1"/>
  <c r="Z32" i="175" s="1"/>
  <c r="Y32" i="175" a="1"/>
  <c r="Y32" i="175" s="1"/>
  <c r="X32" i="175" a="1"/>
  <c r="X32" i="175" s="1"/>
  <c r="W32" i="175" a="1"/>
  <c r="W32" i="175" s="1"/>
  <c r="V32" i="175" a="1"/>
  <c r="V32" i="175" s="1"/>
  <c r="U32" i="175" a="1"/>
  <c r="U32" i="175" s="1"/>
  <c r="T32" i="175" a="1"/>
  <c r="T32" i="175" s="1"/>
  <c r="S32" i="175" a="1"/>
  <c r="S32" i="175" s="1"/>
  <c r="R32" i="175" a="1"/>
  <c r="R32" i="175" s="1"/>
  <c r="Q32" i="175" a="1"/>
  <c r="Q32" i="175" s="1"/>
  <c r="P32" i="175" a="1"/>
  <c r="P32" i="175" s="1"/>
  <c r="O32" i="175" a="1"/>
  <c r="O32" i="175" s="1"/>
  <c r="N32" i="175" a="1"/>
  <c r="N32" i="175" s="1"/>
  <c r="M32" i="175" a="1"/>
  <c r="M32" i="175" s="1"/>
  <c r="L32" i="175" a="1"/>
  <c r="L32" i="175" s="1"/>
  <c r="K32" i="175" a="1"/>
  <c r="K32" i="175" s="1"/>
  <c r="J32" i="175" a="1"/>
  <c r="J32" i="175" s="1"/>
  <c r="I32" i="175" a="1"/>
  <c r="I32" i="175" s="1"/>
  <c r="H32" i="175" a="1"/>
  <c r="H32" i="175" s="1"/>
  <c r="F32" i="175" a="1"/>
  <c r="F32" i="175" s="1"/>
  <c r="E32" i="175" a="1"/>
  <c r="E32" i="175" s="1"/>
  <c r="D32" i="175" a="1"/>
  <c r="D32" i="175" s="1"/>
  <c r="AA31" i="175" a="1"/>
  <c r="AA31" i="175" s="1"/>
  <c r="Z31" i="175" a="1"/>
  <c r="Z31" i="175" s="1"/>
  <c r="Y31" i="175" a="1"/>
  <c r="Y31" i="175" s="1"/>
  <c r="X31" i="175" a="1"/>
  <c r="X31" i="175" s="1"/>
  <c r="W31" i="175" a="1"/>
  <c r="W31" i="175" s="1"/>
  <c r="V31" i="175" a="1"/>
  <c r="V31" i="175" s="1"/>
  <c r="U31" i="175" a="1"/>
  <c r="U31" i="175" s="1"/>
  <c r="T31" i="175" a="1"/>
  <c r="T31" i="175" s="1"/>
  <c r="S31" i="175" a="1"/>
  <c r="S31" i="175" s="1"/>
  <c r="R31" i="175" a="1"/>
  <c r="R31" i="175" s="1"/>
  <c r="Q31" i="175" a="1"/>
  <c r="Q31" i="175" s="1"/>
  <c r="P31" i="175" a="1"/>
  <c r="P31" i="175" s="1"/>
  <c r="O31" i="175" a="1"/>
  <c r="O31" i="175" s="1"/>
  <c r="N31" i="175" a="1"/>
  <c r="N31" i="175" s="1"/>
  <c r="M31" i="175" a="1"/>
  <c r="M31" i="175" s="1"/>
  <c r="L31" i="175" a="1"/>
  <c r="L31" i="175" s="1"/>
  <c r="K31" i="175" a="1"/>
  <c r="K31" i="175" s="1"/>
  <c r="J31" i="175" a="1"/>
  <c r="J31" i="175" s="1"/>
  <c r="I31" i="175" a="1"/>
  <c r="I31" i="175" s="1"/>
  <c r="H31" i="175" a="1"/>
  <c r="H31" i="175" s="1"/>
  <c r="F31" i="175" a="1"/>
  <c r="F31" i="175" s="1"/>
  <c r="E31" i="175" a="1"/>
  <c r="E31" i="175" s="1"/>
  <c r="D31" i="175" a="1"/>
  <c r="D31" i="175" s="1"/>
  <c r="E32" i="174" a="1"/>
  <c r="E32" i="174" s="1"/>
  <c r="F32" i="174" a="1"/>
  <c r="F32" i="174" s="1"/>
  <c r="H32" i="174" a="1"/>
  <c r="H32" i="174" s="1"/>
  <c r="I32" i="174" a="1"/>
  <c r="I32" i="174" s="1"/>
  <c r="J32" i="174" a="1"/>
  <c r="J32" i="174" s="1"/>
  <c r="K32" i="174" a="1"/>
  <c r="K32" i="174" s="1"/>
  <c r="L32" i="174" a="1"/>
  <c r="L32" i="174" s="1"/>
  <c r="M32" i="174" a="1"/>
  <c r="M32" i="174" s="1"/>
  <c r="N32" i="174" a="1"/>
  <c r="N32" i="174" s="1"/>
  <c r="O32" i="174" a="1"/>
  <c r="O32" i="174" s="1"/>
  <c r="P32" i="174" a="1"/>
  <c r="P32" i="174" s="1"/>
  <c r="Q32" i="174" a="1"/>
  <c r="Q32" i="174" s="1"/>
  <c r="R32" i="174" a="1"/>
  <c r="R32" i="174" s="1"/>
  <c r="S32" i="174" a="1"/>
  <c r="S32" i="174" s="1"/>
  <c r="T32" i="174" a="1"/>
  <c r="T32" i="174" s="1"/>
  <c r="U32" i="174" a="1"/>
  <c r="U32" i="174" s="1"/>
  <c r="V32" i="174" a="1"/>
  <c r="V32" i="174" s="1"/>
  <c r="W32" i="174" a="1"/>
  <c r="W32" i="174" s="1"/>
  <c r="X32" i="174" a="1"/>
  <c r="X32" i="174" s="1"/>
  <c r="Y32" i="174" a="1"/>
  <c r="Y32" i="174" s="1"/>
  <c r="Z32" i="174" a="1"/>
  <c r="Z32" i="174" s="1"/>
  <c r="AA32" i="174" a="1"/>
  <c r="AA32" i="174" s="1"/>
  <c r="D33" i="174" a="1"/>
  <c r="D33" i="174" s="1"/>
  <c r="E33" i="174" a="1"/>
  <c r="E33" i="174" s="1"/>
  <c r="F33" i="174" a="1"/>
  <c r="F33" i="174" s="1"/>
  <c r="H33" i="174" a="1"/>
  <c r="H33" i="174" s="1"/>
  <c r="I33" i="174" a="1"/>
  <c r="I33" i="174" s="1"/>
  <c r="J33" i="174" a="1"/>
  <c r="J33" i="174" s="1"/>
  <c r="K33" i="174" a="1"/>
  <c r="K33" i="174" s="1"/>
  <c r="L33" i="174" a="1"/>
  <c r="L33" i="174" s="1"/>
  <c r="M33" i="174" a="1"/>
  <c r="M33" i="174" s="1"/>
  <c r="N33" i="174" a="1"/>
  <c r="N33" i="174" s="1"/>
  <c r="O33" i="174" a="1"/>
  <c r="O33" i="174" s="1"/>
  <c r="P33" i="174" a="1"/>
  <c r="P33" i="174" s="1"/>
  <c r="Q33" i="174" a="1"/>
  <c r="Q33" i="174" s="1"/>
  <c r="R33" i="174" a="1"/>
  <c r="R33" i="174" s="1"/>
  <c r="S33" i="174" a="1"/>
  <c r="S33" i="174" s="1"/>
  <c r="T33" i="174" a="1"/>
  <c r="T33" i="174" s="1"/>
  <c r="U33" i="174" a="1"/>
  <c r="U33" i="174" s="1"/>
  <c r="V33" i="174" a="1"/>
  <c r="V33" i="174" s="1"/>
  <c r="W33" i="174" a="1"/>
  <c r="W33" i="174" s="1"/>
  <c r="X33" i="174" a="1"/>
  <c r="X33" i="174" s="1"/>
  <c r="Y33" i="174" a="1"/>
  <c r="Y33" i="174" s="1"/>
  <c r="Z33" i="174" a="1"/>
  <c r="Z33" i="174" s="1"/>
  <c r="AA33" i="174" a="1"/>
  <c r="AA33" i="174" s="1"/>
  <c r="D34" i="174" a="1"/>
  <c r="D34" i="174" s="1"/>
  <c r="E34" i="174" a="1"/>
  <c r="E34" i="174" s="1"/>
  <c r="F34" i="174" a="1"/>
  <c r="F34" i="174" s="1"/>
  <c r="H34" i="174" a="1"/>
  <c r="H34" i="174" s="1"/>
  <c r="I34" i="174" a="1"/>
  <c r="I34" i="174" s="1"/>
  <c r="J34" i="174" a="1"/>
  <c r="J34" i="174" s="1"/>
  <c r="K34" i="174" a="1"/>
  <c r="K34" i="174" s="1"/>
  <c r="L34" i="174" a="1"/>
  <c r="L34" i="174" s="1"/>
  <c r="M34" i="174" a="1"/>
  <c r="M34" i="174" s="1"/>
  <c r="N34" i="174" a="1"/>
  <c r="N34" i="174" s="1"/>
  <c r="O34" i="174" a="1"/>
  <c r="O34" i="174" s="1"/>
  <c r="P34" i="174" a="1"/>
  <c r="P34" i="174" s="1"/>
  <c r="Q34" i="174" a="1"/>
  <c r="Q34" i="174" s="1"/>
  <c r="R34" i="174" a="1"/>
  <c r="R34" i="174" s="1"/>
  <c r="S34" i="174" a="1"/>
  <c r="S34" i="174" s="1"/>
  <c r="T34" i="174" a="1"/>
  <c r="T34" i="174" s="1"/>
  <c r="U34" i="174" a="1"/>
  <c r="U34" i="174" s="1"/>
  <c r="V34" i="174" a="1"/>
  <c r="V34" i="174" s="1"/>
  <c r="W34" i="174" a="1"/>
  <c r="W34" i="174" s="1"/>
  <c r="X34" i="174" a="1"/>
  <c r="X34" i="174" s="1"/>
  <c r="Y34" i="174" a="1"/>
  <c r="Y34" i="174" s="1"/>
  <c r="Z34" i="174" a="1"/>
  <c r="Z34" i="174" s="1"/>
  <c r="AA34" i="174" a="1"/>
  <c r="AA34" i="174" s="1"/>
  <c r="D35" i="174" a="1"/>
  <c r="D35" i="174" s="1"/>
  <c r="E35" i="174" a="1"/>
  <c r="E35" i="174" s="1"/>
  <c r="F35" i="174" a="1"/>
  <c r="F35" i="174" s="1"/>
  <c r="H35" i="174" a="1"/>
  <c r="H35" i="174" s="1"/>
  <c r="I35" i="174" a="1"/>
  <c r="I35" i="174" s="1"/>
  <c r="J35" i="174" a="1"/>
  <c r="J35" i="174" s="1"/>
  <c r="K35" i="174" a="1"/>
  <c r="K35" i="174" s="1"/>
  <c r="L35" i="174" a="1"/>
  <c r="L35" i="174" s="1"/>
  <c r="M35" i="174" a="1"/>
  <c r="M35" i="174" s="1"/>
  <c r="N35" i="174" a="1"/>
  <c r="N35" i="174" s="1"/>
  <c r="O35" i="174" a="1"/>
  <c r="O35" i="174" s="1"/>
  <c r="P35" i="174" a="1"/>
  <c r="P35" i="174" s="1"/>
  <c r="Q35" i="174" a="1"/>
  <c r="Q35" i="174" s="1"/>
  <c r="R35" i="174" a="1"/>
  <c r="R35" i="174" s="1"/>
  <c r="S35" i="174" a="1"/>
  <c r="S35" i="174" s="1"/>
  <c r="T35" i="174" a="1"/>
  <c r="T35" i="174" s="1"/>
  <c r="U35" i="174" a="1"/>
  <c r="U35" i="174" s="1"/>
  <c r="V35" i="174" a="1"/>
  <c r="V35" i="174" s="1"/>
  <c r="W35" i="174" a="1"/>
  <c r="W35" i="174" s="1"/>
  <c r="X35" i="174" a="1"/>
  <c r="X35" i="174" s="1"/>
  <c r="Y35" i="174" a="1"/>
  <c r="Y35" i="174" s="1"/>
  <c r="Z35" i="174" a="1"/>
  <c r="Z35" i="174" s="1"/>
  <c r="AA35" i="174" a="1"/>
  <c r="AA35" i="174" s="1"/>
  <c r="D36" i="174" a="1"/>
  <c r="D36" i="174" s="1"/>
  <c r="E36" i="174" a="1"/>
  <c r="E36" i="174" s="1"/>
  <c r="F36" i="174" a="1"/>
  <c r="F36" i="174" s="1"/>
  <c r="H36" i="174" a="1"/>
  <c r="H36" i="174" s="1"/>
  <c r="I36" i="174" a="1"/>
  <c r="I36" i="174" s="1"/>
  <c r="J36" i="174" a="1"/>
  <c r="J36" i="174" s="1"/>
  <c r="K36" i="174" a="1"/>
  <c r="K36" i="174" s="1"/>
  <c r="L36" i="174" a="1"/>
  <c r="L36" i="174" s="1"/>
  <c r="M36" i="174" a="1"/>
  <c r="M36" i="174" s="1"/>
  <c r="N36" i="174" a="1"/>
  <c r="N36" i="174" s="1"/>
  <c r="O36" i="174" a="1"/>
  <c r="O36" i="174" s="1"/>
  <c r="P36" i="174" a="1"/>
  <c r="P36" i="174" s="1"/>
  <c r="Q36" i="174" a="1"/>
  <c r="Q36" i="174" s="1"/>
  <c r="R36" i="174" a="1"/>
  <c r="R36" i="174" s="1"/>
  <c r="S36" i="174" a="1"/>
  <c r="S36" i="174" s="1"/>
  <c r="T36" i="174" a="1"/>
  <c r="T36" i="174" s="1"/>
  <c r="U36" i="174" a="1"/>
  <c r="U36" i="174" s="1"/>
  <c r="V36" i="174" a="1"/>
  <c r="V36" i="174" s="1"/>
  <c r="W36" i="174" a="1"/>
  <c r="W36" i="174" s="1"/>
  <c r="X36" i="174" a="1"/>
  <c r="X36" i="174" s="1"/>
  <c r="Y36" i="174" a="1"/>
  <c r="Y36" i="174" s="1"/>
  <c r="Z36" i="174" a="1"/>
  <c r="Z36" i="174" s="1"/>
  <c r="AA36" i="174" a="1"/>
  <c r="AA36" i="174" s="1"/>
  <c r="D37" i="174" a="1"/>
  <c r="D37" i="174" s="1"/>
  <c r="E37" i="174" a="1"/>
  <c r="E37" i="174" s="1"/>
  <c r="F37" i="174" a="1"/>
  <c r="F37" i="174" s="1"/>
  <c r="H37" i="174" a="1"/>
  <c r="H37" i="174" s="1"/>
  <c r="I37" i="174" a="1"/>
  <c r="I37" i="174" s="1"/>
  <c r="J37" i="174" a="1"/>
  <c r="J37" i="174" s="1"/>
  <c r="K37" i="174" a="1"/>
  <c r="K37" i="174" s="1"/>
  <c r="L37" i="174" a="1"/>
  <c r="L37" i="174" s="1"/>
  <c r="M37" i="174" a="1"/>
  <c r="M37" i="174" s="1"/>
  <c r="N37" i="174" a="1"/>
  <c r="N37" i="174" s="1"/>
  <c r="O37" i="174" a="1"/>
  <c r="O37" i="174" s="1"/>
  <c r="P37" i="174" a="1"/>
  <c r="P37" i="174" s="1"/>
  <c r="Q37" i="174" a="1"/>
  <c r="Q37" i="174" s="1"/>
  <c r="R37" i="174" a="1"/>
  <c r="R37" i="174" s="1"/>
  <c r="S37" i="174" a="1"/>
  <c r="S37" i="174" s="1"/>
  <c r="T37" i="174" a="1"/>
  <c r="T37" i="174" s="1"/>
  <c r="U37" i="174" a="1"/>
  <c r="U37" i="174" s="1"/>
  <c r="V37" i="174" a="1"/>
  <c r="V37" i="174" s="1"/>
  <c r="W37" i="174" a="1"/>
  <c r="W37" i="174" s="1"/>
  <c r="X37" i="174" a="1"/>
  <c r="X37" i="174" s="1"/>
  <c r="Y37" i="174" a="1"/>
  <c r="Y37" i="174" s="1"/>
  <c r="Z37" i="174" a="1"/>
  <c r="Z37" i="174" s="1"/>
  <c r="AA37" i="174" a="1"/>
  <c r="AA37" i="174" s="1"/>
  <c r="H31" i="174" a="1"/>
  <c r="H31" i="174" s="1"/>
  <c r="I31" i="174" a="1"/>
  <c r="I31" i="174" s="1"/>
  <c r="J31" i="174" a="1"/>
  <c r="J31" i="174" s="1"/>
  <c r="K31" i="174" a="1"/>
  <c r="K31" i="174" s="1"/>
  <c r="L31" i="174" a="1"/>
  <c r="L31" i="174" s="1"/>
  <c r="M31" i="174" a="1"/>
  <c r="M31" i="174" s="1"/>
  <c r="N31" i="174" a="1"/>
  <c r="N31" i="174" s="1"/>
  <c r="O31" i="174" a="1"/>
  <c r="O31" i="174" s="1"/>
  <c r="P31" i="174" a="1"/>
  <c r="P31" i="174" s="1"/>
  <c r="Q31" i="174" a="1"/>
  <c r="Q31" i="174" s="1"/>
  <c r="R31" i="174" a="1"/>
  <c r="R31" i="174" s="1"/>
  <c r="S31" i="174" a="1"/>
  <c r="S31" i="174" s="1"/>
  <c r="T31" i="174" a="1"/>
  <c r="T31" i="174" s="1"/>
  <c r="U31" i="174" a="1"/>
  <c r="U31" i="174" s="1"/>
  <c r="V31" i="174" a="1"/>
  <c r="V31" i="174" s="1"/>
  <c r="W31" i="174" a="1"/>
  <c r="W31" i="174" s="1"/>
  <c r="X31" i="174" a="1"/>
  <c r="X31" i="174" s="1"/>
  <c r="Y31" i="174" a="1"/>
  <c r="Y31" i="174" s="1"/>
  <c r="Z31" i="174" a="1"/>
  <c r="Z31" i="174" s="1"/>
  <c r="AA31" i="174" a="1"/>
  <c r="AA31" i="174" s="1"/>
  <c r="F31" i="174" a="1"/>
  <c r="F31" i="174" s="1"/>
  <c r="E31" i="174" a="1"/>
  <c r="E31" i="174" s="1"/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A41" i="1" l="1"/>
  <c r="A42" i="1"/>
  <c r="A43" i="1"/>
  <c r="A44" i="1"/>
  <c r="A45" i="1"/>
  <c r="A46" i="1"/>
  <c r="A47" i="1"/>
  <c r="A48" i="1"/>
  <c r="A49" i="1"/>
  <c r="A50" i="1"/>
  <c r="A51" i="1"/>
  <c r="A29" i="1"/>
  <c r="A30" i="1"/>
  <c r="A31" i="1"/>
  <c r="A32" i="1"/>
  <c r="A33" i="1"/>
  <c r="A34" i="1"/>
  <c r="A35" i="1"/>
  <c r="H35" i="1"/>
  <c r="A36" i="1"/>
  <c r="A37" i="1"/>
  <c r="A38" i="1"/>
  <c r="A39" i="1"/>
  <c r="A40" i="1"/>
  <c r="A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C28" i="1"/>
  <c r="B27" i="1"/>
  <c r="B28" i="1" l="1"/>
  <c r="C29" i="1"/>
  <c r="B29" i="1" s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C30" i="1"/>
  <c r="B30" i="1" s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C31" i="1"/>
  <c r="B31" i="1" s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C35" i="1"/>
  <c r="D35" i="1"/>
  <c r="E35" i="1"/>
  <c r="F35" i="1"/>
  <c r="G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C42" i="1"/>
  <c r="B42" i="1" s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C46" i="1"/>
  <c r="B46" i="1" s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B35" i="1" l="1"/>
  <c r="B34" i="1"/>
  <c r="B32" i="1"/>
  <c r="B50" i="1"/>
  <c r="B45" i="1"/>
  <c r="B41" i="1"/>
  <c r="B40" i="1"/>
  <c r="B38" i="1"/>
  <c r="B36" i="1"/>
  <c r="B49" i="1"/>
  <c r="B37" i="1"/>
  <c r="B47" i="1"/>
  <c r="B43" i="1"/>
  <c r="B39" i="1"/>
  <c r="B48" i="1"/>
  <c r="B44" i="1"/>
  <c r="B33" i="1"/>
  <c r="B51" i="1"/>
</calcChain>
</file>

<file path=xl/connections.xml><?xml version="1.0" encoding="utf-8"?>
<connections xmlns="http://schemas.openxmlformats.org/spreadsheetml/2006/main">
  <connection id="1" name="historico-velocidades-4708-10-0 All -1" type="6" refreshedVersion="6" background="1" saveData="1">
    <textPr prompt="0" codePage="850" sourceFile="C:\ondrv\usp.br\larsen - Documentos\Data\Scip\historico-velocidades-4708-10-0 All -1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historico-velocidades-4708-10-0-1" type="6" refreshedVersion="6" background="1" saveData="1">
    <textPr prompt="0" codePage="850" sourceFile="C:\ondrv\usp.br\larsen - Documentos\Data\Scip\historico-velocidades-4708-10-0-1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historico-velocidades-4708-10-0-10" type="6" refreshedVersion="6" background="1" saveData="1">
    <textPr prompt="0" codePage="850" sourceFile="C:\ondrv\usp.br\larsen - Documentos\Data\Scip\historico-velocidades-4708-10-0-10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historico-velocidades-4708-10-0-11" type="6" refreshedVersion="6" background="1" saveData="1">
    <textPr prompt="0" codePage="850" sourceFile="C:\ondrv\usp.br\larsen - Documentos\Data\Scip\historico-velocidades-4708-10-0-11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historico-velocidades-4708-10-0-12" type="6" refreshedVersion="6" background="1" saveData="1">
    <textPr prompt="0" codePage="850" sourceFile="C:\ondrv\usp.br\larsen - Documentos\Data\Scip\historico-velocidades-4708-10-0-12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historico-velocidades-4708-10-0-13" type="6" refreshedVersion="6" background="1" saveData="1">
    <textPr prompt="0" codePage="850" sourceFile="C:\ondrv\usp.br\larsen - Documentos\Data\Scip\historico-velocidades-4708-10-0-13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historico-velocidades-4708-10-0-14" type="6" refreshedVersion="6" background="1" saveData="1">
    <textPr prompt="0" codePage="850" sourceFile="C:\ondrv\usp.br\larsen - Documentos\Data\Scip\historico-velocidades-4708-10-0-14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historico-velocidades-4708-10-0-15" type="6" refreshedVersion="6" background="1" saveData="1">
    <textPr prompt="0" codePage="850" sourceFile="C:\ondrv\usp.br\larsen - Documentos\Data\Scip\historico-velocidades-4708-10-0-15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historico-velocidades-4708-10-0-16" type="6" refreshedVersion="6" background="1" saveData="1">
    <textPr prompt="0" codePage="850" sourceFile="C:\ondrv\usp.br\larsen - Documentos\Data\Scip\historico-velocidades-4708-10-0-16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historico-velocidades-4708-10-0-17" type="6" refreshedVersion="6" background="1" saveData="1">
    <textPr prompt="0" codePage="850" sourceFile="C:\ondrv\usp.br\larsen - Documentos\Data\Scip\historico-velocidades-4708-10-0-17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historico-velocidades-4708-10-0-18" type="6" refreshedVersion="6" background="1" saveData="1">
    <textPr prompt="0" codePage="850" sourceFile="C:\ondrv\usp.br\larsen - Documentos\Data\Scip\historico-velocidades-4708-10-0-18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historico-velocidades-4708-10-0-19" type="6" refreshedVersion="6" background="1" saveData="1">
    <textPr prompt="0" codePage="850" sourceFile="C:\ondrv\usp.br\larsen - Documentos\Data\Scip\historico-velocidades-4708-10-0-19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historico-velocidades-4708-10-0-2" type="6" refreshedVersion="6" background="1" saveData="1">
    <textPr prompt="0" codePage="850" sourceFile="C:\ondrv\usp.br\larsen - Documentos\Data\Scip\historico-velocidades-4708-10-0-2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historico-velocidades-4708-10-0-20" type="6" refreshedVersion="6" background="1" saveData="1">
    <textPr prompt="0" codePage="850" sourceFile="C:\ondrv\usp.br\larsen - Documentos\Data\Scip\historico-velocidades-4708-10-0-20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historico-velocidades-4708-10-0-21" type="6" refreshedVersion="6" background="1" saveData="1">
    <textPr prompt="0" codePage="850" sourceFile="C:\ondrv\usp.br\larsen - Documentos\Data\Scip\historico-velocidades-4708-10-0-21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historico-velocidades-4708-10-0-22" type="6" refreshedVersion="6" background="1" saveData="1">
    <textPr prompt="0" codePage="850" sourceFile="C:\ondrv\usp.br\larsen - Documentos\Data\Scip\historico-velocidades-4708-10-0-22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historico-velocidades-4708-10-0-23" type="6" refreshedVersion="0" background="1">
    <textPr prompt="0" sourceFile="D:\Gustavo Larsen\usp.br\larsen - Documentos\Data\Scip\historico-velocidades-4708-10-0-23.csv" decimal="," thousands=".">
      <textFields>
        <textField/>
      </textFields>
    </textPr>
  </connection>
  <connection id="18" name="historico-velocidades-4708-10-0-231" type="6" refreshedVersion="6" background="1" saveData="1">
    <textPr prompt="0" codePage="850" sourceFile="C:\ondrv\usp.br\larsen - Documentos\Data\Scip\historico-velocidades-4708-10-0-23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historico-velocidades-4708-10-0-24" type="6" refreshedVersion="6" background="1" saveData="1">
    <textPr prompt="0" codePage="850" sourceFile="C:\ondrv\usp.br\larsen - Documentos\Data\Scip\historico-velocidades-4708-10-0-24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historico-velocidades-4708-10-0-25" type="6" refreshedVersion="6" background="1" saveData="1">
    <textPr prompt="0" codePage="850" sourceFile="C:\ondrv\usp.br\larsen - Documentos\Data\Scip\historico-velocidades-4708-10-0-25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historico-velocidades-4708-10-0-26" type="6" refreshedVersion="6" background="1" saveData="1">
    <textPr prompt="0" codePage="850" sourceFile="C:\ondrv\usp.br\larsen - Documentos\Data\Scip\historico-velocidades-4708-10-0-26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historico-velocidades-4708-10-0-27" type="6" refreshedVersion="6" background="1" saveData="1">
    <textPr prompt="0" codePage="850" sourceFile="C:\ondrv\usp.br\larsen - Documentos\Data\Scip\historico-velocidades-4708-10-0-27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historico-velocidades-4708-10-0-28" type="6" refreshedVersion="6" background="1" saveData="1">
    <textPr prompt="0" codePage="850" sourceFile="C:\ondrv\usp.br\larsen - Documentos\Data\Scip\historico-velocidades-4708-10-0-28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historico-velocidades-4708-10-0-29" type="6" refreshedVersion="6" background="1" saveData="1">
    <textPr prompt="0" codePage="850" sourceFile="C:\ondrv\usp.br\larsen - Documentos\Data\Scip\historico-velocidades-4708-10-0-29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historico-velocidades-4708-10-0-3" type="6" refreshedVersion="6" background="1" saveData="1">
    <textPr prompt="0" codePage="850" sourceFile="C:\ondrv\usp.br\larsen - Documentos\Data\Scip\historico-velocidades-4708-10-0-3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historico-velocidades-4708-10-0-30" type="6" refreshedVersion="6" background="1" saveData="1">
    <textPr prompt="0" codePage="850" sourceFile="C:\ondrv\usp.br\larsen - Documentos\Data\Scip\historico-velocidades-4708-10-0-30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historico-velocidades-4708-10-0-31" type="6" refreshedVersion="6" background="1" saveData="1">
    <textPr prompt="0" codePage="850" sourceFile="C:\ondrv\usp.br\larsen - Documentos\Data\Scip\historico-velocidades-4708-10-0-31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historico-velocidades-4708-10-0-32" type="6" refreshedVersion="6" background="1" saveData="1">
    <textPr prompt="0" codePage="850" sourceFile="C:\ondrv\usp.br\larsen - Documentos\Data\Scip\historico-velocidades-4708-10-0-32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historico-velocidades-4708-10-0-33" type="6" refreshedVersion="6" background="1" saveData="1">
    <textPr prompt="0" codePage="850" sourceFile="C:\ondrv\usp.br\larsen - Documentos\Data\Scip\historico-velocidades-4708-10-0-33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historico-velocidades-4708-10-0-34" type="6" refreshedVersion="6" background="1" saveData="1">
    <textPr prompt="0" codePage="850" sourceFile="C:\ondrv\usp.br\larsen - Documentos\Data\Scip\historico-velocidades-4708-10-0-34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historico-velocidades-4708-10-0-35" type="6" refreshedVersion="6" background="1" saveData="1">
    <textPr prompt="0" codePage="850" sourceFile="C:\ondrv\usp.br\larsen - Documentos\Data\Scip\historico-velocidades-4708-10-0-35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historico-velocidades-4708-10-0-4" type="6" refreshedVersion="6" background="1" saveData="1">
    <textPr prompt="0" codePage="850" sourceFile="C:\ondrv\usp.br\larsen - Documentos\Data\Scip\historico-velocidades-4708-10-0-4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historico-velocidades-4708-10-0-5" type="6" refreshedVersion="6" background="1" saveData="1">
    <textPr prompt="0" codePage="850" sourceFile="C:\ondrv\usp.br\larsen - Documentos\Data\Scip\historico-velocidades-4708-10-0-5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historico-velocidades-4708-10-0-6" type="6" refreshedVersion="6" background="1" saveData="1">
    <textPr prompt="0" codePage="850" sourceFile="C:\ondrv\usp.br\larsen - Documentos\Data\Scip\historico-velocidades-4708-10-0-6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historico-velocidades-4708-10-0-7" type="6" refreshedVersion="6" background="1" saveData="1">
    <textPr prompt="0" codePage="850" sourceFile="C:\ondrv\usp.br\larsen - Documentos\Data\Scip\historico-velocidades-4708-10-0-7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historico-velocidades-4708-10-0-8" type="6" refreshedVersion="6" background="1" saveData="1">
    <textPr prompt="0" codePage="850" sourceFile="C:\ondrv\usp.br\larsen - Documentos\Data\Scip\historico-velocidades-4708-10-0-8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historico-velocidades-4708-10-0-9" type="6" refreshedVersion="6" background="1" saveData="1">
    <textPr prompt="0" codePage="850" sourceFile="C:\ondrv\usp.br\larsen - Documentos\Data\Scip\historico-velocidades-4708-10-0-9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Sciphistorico-velocidades-4708-10-0-0" type="6" refreshedVersion="0" background="1">
    <textPr prompt="0" sourceFile="D:\Gustavo Larsen\usp.br\larsen - Documentos\Data\Sciphistorico-velocidades-4708-10-0-0.csv" decimal="," thousands=".">
      <textFields>
        <textField/>
      </textFields>
    </textPr>
  </connection>
  <connection id="39" name="Sciphistorico-velocidades-4708-10-0-1" type="6" refreshedVersion="0" background="1">
    <textPr prompt="0" sourceFile="D:\Gustavo Larsen\usp.br\larsen - Documentos\Data\Sciphistorico-velocidades-4708-10-0-1.csv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<sst xmlns="http://schemas.openxmlformats.org/spreadsheetml/2006/main" count="171" uniqueCount="63">
  <si>
    <t>data</t>
  </si>
  <si>
    <t>data (Excel)</t>
  </si>
  <si>
    <t>dia (0 = domingo)</t>
  </si>
  <si>
    <t>=PROCV($A$1;'0'!$A:$AA;$A2+4;0)</t>
  </si>
  <si>
    <t>=PROCV($A$1;'1'!$A:$AA;$A2+4;0)</t>
  </si>
  <si>
    <t>=PROCV($A$1;'2'!$A:$AA;$A2+4;0)</t>
  </si>
  <si>
    <t>=PROCV($A$1;'3'!$A:$AA;$A2+4;0)</t>
  </si>
  <si>
    <t>=PROCV($A$1;'4'!$A:$AA;$A2+4;0)</t>
  </si>
  <si>
    <t>=PROCV($A$1;'5'!$A:$AA;$A2+4;0)</t>
  </si>
  <si>
    <t>=PROCV($A$1;'6'!$A:$AA;$A2+4;0)</t>
  </si>
  <si>
    <t>=PROCV($A$1;'7'!$A:$AA;$A2+4;0)</t>
  </si>
  <si>
    <t>=PROCV($A$1;'8'!$A:$AA;$A2+4;0)</t>
  </si>
  <si>
    <t>=PROCV($A$1;'9'!$A:$AA;$A2+4;0)</t>
  </si>
  <si>
    <t>=PROCV($A$1;'10'!$A:$AA;$A2+4;0)</t>
  </si>
  <si>
    <t>=PROCV($A$1;'11'!$A:$AA;$A2+4;0)</t>
  </si>
  <si>
    <t>=PROCV($A$1;'12'!$A:$AA;$A2+4;0)</t>
  </si>
  <si>
    <t>=PROCV($A$1;'13'!$A:$AA;$A2+4;0)</t>
  </si>
  <si>
    <t>=PROCV($A$1;'15'!$A:$AA;$A2+4;0)</t>
  </si>
  <si>
    <t>=PROCV($A$1;'16'!$A:$AA;$A2+4;0)</t>
  </si>
  <si>
    <t>=PROCV($A$1;'17'!$A:$AA;$A2+4;0)</t>
  </si>
  <si>
    <t>=PROCV($A$1;'18'!$A:$AA;$A2+4;0)</t>
  </si>
  <si>
    <t>=PROCV($A$1;'19'!$A:$AA;$A2+4;0)</t>
  </si>
  <si>
    <t>=PROCV($A$1;'20'!$A:$AA;$A2+4;0)</t>
  </si>
  <si>
    <t>=PROCV($A$1;'21'!$A:$AA;$A2+4;0)</t>
  </si>
  <si>
    <t>=PROCV($A$1;'22'!$A:$AA;$A2+4;0)</t>
  </si>
  <si>
    <t>=PROCV($A$1;'23'!$A:$AA;$A2+4;0)</t>
  </si>
  <si>
    <t>=PROCV($A$1;'24'!$A:$AA;$A2+4;0)</t>
  </si>
  <si>
    <t>=PROCV($A$1;'25'!$A:$AA;$A2+4;0)</t>
  </si>
  <si>
    <t>=PROCV($A$1;'26'!$A:$AA;$A2+4;0)</t>
  </si>
  <si>
    <t>=PROCV($A$1;'27'!$A:$AA;$A2+4;0)</t>
  </si>
  <si>
    <t>=PROCV($A$1;'28'!$A:$AA;$A2+4;0)</t>
  </si>
  <si>
    <t>=PROCV($A$1;'29'!$A:$AA;$A2+4;0)</t>
  </si>
  <si>
    <t>=PROCV($A$1;'30'!$A:$AA;$A2+4;0)</t>
  </si>
  <si>
    <t>=PROCV($A$1;'31'!$A:$AA;$A2+4;0)</t>
  </si>
  <si>
    <t>=PROCV($A$1;'32'!$A:$AA;$A2+4;0)</t>
  </si>
  <si>
    <t>=PROCV($A$1;'33'!$A:$AA;$A2+4;0)</t>
  </si>
  <si>
    <t>=PROCV($A$1;'34'!$A:$AA;$A2+4;0)</t>
  </si>
  <si>
    <t>=PROCV($A$1;'35'!$A:$AA;$A2+4;0)</t>
  </si>
  <si>
    <t>=PROCV($A$1;'14'!$A:$AA;$A2+4;0)</t>
  </si>
  <si>
    <t>00:00</t>
  </si>
  <si>
    <t>01:00</t>
  </si>
  <si>
    <t>02:00</t>
  </si>
  <si>
    <t>03:00</t>
  </si>
  <si>
    <t>04:00</t>
  </si>
  <si>
    <t>05:00</t>
  </si>
  <si>
    <t>06:00</t>
  </si>
  <si>
    <t>07:00</t>
  </si>
  <si>
    <t>08:00</t>
  </si>
  <si>
    <t>09:00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</si>
  <si>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</si>
  <si>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</si>
  <si>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</si>
  <si>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</si>
  <si>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</si>
  <si>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</si>
  <si>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</si>
  <si>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</si>
  <si>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18:00</t>
  </si>
  <si>
    <t>19:00</t>
  </si>
  <si>
    <t>20:00</t>
  </si>
  <si>
    <t>21:00</t>
  </si>
  <si>
    <t>22:00</t>
  </si>
  <si>
    <t>23:00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</si>
</sst>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0" fontId="0" fillId="0" borderId="0" xfId="0" applyNumberFormat="1"/>
    <xf numFmtId="14" fontId="0" fillId="0" borderId="0" xfId="0" applyNumberFormat="1"/>
    <xf numFmtId="3" fontId="0" fillId="0" borderId="0" xfId="0" applyNumberFormat="1"/>
    <xf numFmtId="49" fontId="0" fillId="0" borderId="0" xfId="0" applyNumberFormat="1"/>
    <xf numFmtId="0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connections" Target="connections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historico-velocidades-4708-10-0-1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istorico-velocidades-4708-10-0-2" connectionId="1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istorico-velocidades-4708-10-0-3" connectionId="2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istorico-velocidades-4708-10-0-4" connectionId="3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istorico-velocidades-4708-10-0-5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istorico-velocidades-4708-10-0-6" connectionId="3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istorico-velocidades-4708-10-0-7" connectionId="3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istorico-velocidades-4708-10-0-8" connectionId="3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istorico-velocidades-4708-10-0-9" connectionId="3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istorico-velocidades-4708-10-0-10" connectionId="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istorico-velocidades-4708-10-0-11" connectionId="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istorico-velocidades-4708-10-0-12" connectionId="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istorico-velocidades-4708-10-0-13" connectionId="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istorico-velocidades-4708-10-0-14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istorico-velocidades-4708-10-0-15" connectionId="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istorico-velocidades-4708-10-0-16" connectionId="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istorico-velocidades-4708-10-0-17" connectionId="1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istorico-velocidades-4708-10-0-18" connectionId="1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istorico-velocidades-4708-10-0-19" connectionId="1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istorico-velocidades-4708-10-0-20" connectionId="1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istorico-velocidades-4708-10-0-21" connectionId="1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istorico-velocidades-4708-10-0-22" connectionId="1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istorico-velocidades-4708-10-0-23" connectionId="1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istorico-velocidades-4708-10-0-24" connectionId="1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istorico-velocidades-4708-10-0-25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istorico-velocidades-4708-10-0-26" connectionId="2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istorico-velocidades-4708-10-0-27" connectionId="2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istorico-velocidades-4708-10-0-28" connectionId="2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istorico-velocidades-4708-10-0-29" connectionId="2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istorico-velocidades-4708-10-0-30" connectionId="2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istorico-velocidades-4708-10-0-31" connectionId="2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istorico-velocidades-4708-10-0-32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istorico-velocidades-4708-10-0-33" connectionId="2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istorico-velocidades-4708-10-0-34" connectionId="3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istorico-velocidades-4708-10-0-35" connectionId="3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istorico-velocidades-4708-10-0-All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L51"/>
  <sheetViews>
    <sheetView workbookViewId="0"/>
  </sheetViews>
  <sheetFormatPr defaultRowHeight="15" x14ac:dyDescent="0.25"/>
  <cols>
    <col min="1" max="1" width="10.7109375" style="4" bestFit="1" customWidth="1"/>
    <col min="2" max="3" width="7.7109375" style="5" bestFit="1" customWidth="1"/>
    <col min="4" max="6" width="6.5703125" style="5" bestFit="1" customWidth="1"/>
    <col min="7" max="22" width="7.7109375" style="5" bestFit="1" customWidth="1"/>
    <col min="23" max="26" width="6.5703125" style="5" bestFit="1" customWidth="1"/>
    <col min="27" max="27" width="5.5703125" style="5" bestFit="1" customWidth="1"/>
    <col min="28" max="29" width="6.5703125" style="5" bestFit="1" customWidth="1"/>
    <col min="30" max="37" width="7.7109375" style="5" bestFit="1" customWidth="1"/>
    <col min="38" max="38" width="9.140625" style="5"/>
    <col min="39" max="16384" width="9.140625" style="4"/>
  </cols>
  <sheetData>
    <row r="1" spans="1:37" x14ac:dyDescent="0.25">
      <c r="A1" s="2">
        <v>43466</v>
      </c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>
        <v>28</v>
      </c>
      <c r="AE1" s="5">
        <v>29</v>
      </c>
      <c r="AF1" s="5">
        <v>30</v>
      </c>
      <c r="AG1" s="5">
        <v>31</v>
      </c>
      <c r="AH1" s="5">
        <v>32</v>
      </c>
      <c r="AI1" s="5">
        <v>33</v>
      </c>
      <c r="AJ1" s="5">
        <v>34</v>
      </c>
      <c r="AK1" s="5">
        <v>35</v>
      </c>
    </row>
    <row r="2" spans="1:37" x14ac:dyDescent="0.25">
      <c r="A2" s="4">
        <v>0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4" t="s">
        <v>8</v>
      </c>
      <c r="H2" s="4" t="s">
        <v>9</v>
      </c>
      <c r="I2" s="4" t="s">
        <v>10</v>
      </c>
      <c r="J2" s="4" t="s">
        <v>11</v>
      </c>
      <c r="K2" s="4" t="s">
        <v>12</v>
      </c>
      <c r="L2" s="4" t="s">
        <v>13</v>
      </c>
      <c r="M2" s="4" t="s">
        <v>14</v>
      </c>
      <c r="N2" s="4" t="s">
        <v>15</v>
      </c>
      <c r="O2" s="4" t="s">
        <v>16</v>
      </c>
      <c r="P2" s="4" t="s">
        <v>38</v>
      </c>
      <c r="Q2" s="4" t="s">
        <v>17</v>
      </c>
      <c r="R2" s="4" t="s">
        <v>18</v>
      </c>
      <c r="S2" s="4" t="s">
        <v>19</v>
      </c>
      <c r="T2" s="4" t="s">
        <v>20</v>
      </c>
      <c r="U2" s="4" t="s">
        <v>21</v>
      </c>
      <c r="V2" s="4" t="s">
        <v>22</v>
      </c>
      <c r="W2" s="4" t="s">
        <v>23</v>
      </c>
      <c r="X2" s="4" t="s">
        <v>24</v>
      </c>
      <c r="Y2" s="4" t="s">
        <v>25</v>
      </c>
      <c r="Z2" s="4" t="s">
        <v>26</v>
      </c>
      <c r="AA2" s="4" t="s">
        <v>27</v>
      </c>
      <c r="AB2" s="4" t="s">
        <v>28</v>
      </c>
      <c r="AC2" s="4" t="s">
        <v>29</v>
      </c>
      <c r="AD2" s="4" t="s">
        <v>30</v>
      </c>
      <c r="AE2" s="4" t="s">
        <v>31</v>
      </c>
      <c r="AF2" s="4" t="s">
        <v>32</v>
      </c>
      <c r="AG2" s="4" t="s">
        <v>33</v>
      </c>
      <c r="AH2" s="4" t="s">
        <v>34</v>
      </c>
      <c r="AI2" s="4" t="s">
        <v>35</v>
      </c>
      <c r="AJ2" s="4" t="s">
        <v>36</v>
      </c>
      <c r="AK2" s="4" t="s">
        <v>37</v>
      </c>
    </row>
    <row r="3" spans="1:37" x14ac:dyDescent="0.25">
      <c r="A3" s="4">
        <v>1</v>
      </c>
      <c r="B3" s="5" t="e">
        <f>VLOOKUP($A$1,#REF!,$A3+4,0)</f>
        <v>#REF!</v>
      </c>
      <c r="C3" s="5" t="e">
        <f>VLOOKUP($A$1,#REF!,$A3+4,0)</f>
        <v>#REF!</v>
      </c>
      <c r="D3" s="5" t="e">
        <f>VLOOKUP($A$1,#REF!,$A3+4,0)</f>
        <v>#REF!</v>
      </c>
      <c r="E3" s="5" t="e">
        <f>VLOOKUP($A$1,#REF!,$A3+4,0)</f>
        <v>#REF!</v>
      </c>
      <c r="F3" s="5" t="e">
        <f>VLOOKUP($A$1,#REF!,$A3+4,0)</f>
        <v>#REF!</v>
      </c>
      <c r="G3" s="5" t="e">
        <f>VLOOKUP($A$1,#REF!,$A3+4,0)</f>
        <v>#REF!</v>
      </c>
      <c r="H3" s="5" t="e">
        <f>VLOOKUP($A$1,#REF!,$A3+4,0)</f>
        <v>#REF!</v>
      </c>
      <c r="I3" s="5" t="e">
        <f>VLOOKUP($A$1,#REF!,$A3+4,0)</f>
        <v>#REF!</v>
      </c>
      <c r="J3" s="5" t="e">
        <f>VLOOKUP($A$1,#REF!,$A3+4,0)</f>
        <v>#REF!</v>
      </c>
      <c r="K3" s="5" t="e">
        <f>VLOOKUP($A$1,#REF!,$A3+4,0)</f>
        <v>#REF!</v>
      </c>
      <c r="L3" s="5" t="e">
        <f>VLOOKUP($A$1,#REF!,$A3+4,0)</f>
        <v>#REF!</v>
      </c>
      <c r="M3" s="5" t="e">
        <f>VLOOKUP($A$1,#REF!,$A3+4,0)</f>
        <v>#REF!</v>
      </c>
      <c r="N3" s="5" t="e">
        <f>VLOOKUP($A$1,#REF!,$A3+4,0)</f>
        <v>#REF!</v>
      </c>
      <c r="O3" s="5" t="e">
        <f>VLOOKUP($A$1,#REF!,$A3+4,0)</f>
        <v>#REF!</v>
      </c>
      <c r="P3" s="5" t="e">
        <f>VLOOKUP($A$1,#REF!,$A3+4,0)</f>
        <v>#REF!</v>
      </c>
      <c r="Q3" s="5" t="e">
        <f>VLOOKUP($A$1,#REF!,$A3+4,0)</f>
        <v>#REF!</v>
      </c>
      <c r="R3" s="5" t="e">
        <f>VLOOKUP($A$1,#REF!,$A3+4,0)</f>
        <v>#REF!</v>
      </c>
      <c r="S3" s="5" t="e">
        <f>VLOOKUP($A$1,#REF!,$A3+4,0)</f>
        <v>#REF!</v>
      </c>
      <c r="T3" s="5" t="e">
        <f>VLOOKUP($A$1,#REF!,$A3+4,0)</f>
        <v>#REF!</v>
      </c>
      <c r="U3" s="5" t="e">
        <f>VLOOKUP($A$1,#REF!,$A3+4,0)</f>
        <v>#REF!</v>
      </c>
      <c r="V3" s="5" t="e">
        <f>VLOOKUP($A$1,#REF!,$A3+4,0)</f>
        <v>#REF!</v>
      </c>
      <c r="W3" s="5" t="e">
        <f>VLOOKUP($A$1,#REF!,$A3+4,0)</f>
        <v>#REF!</v>
      </c>
      <c r="X3" s="5" t="e">
        <f>VLOOKUP($A$1,#REF!,$A3+4,0)</f>
        <v>#REF!</v>
      </c>
      <c r="Y3" s="5" t="e">
        <f>VLOOKUP($A$1,#REF!,$A3+4,0)</f>
        <v>#REF!</v>
      </c>
      <c r="Z3" s="5" t="e">
        <f>VLOOKUP($A$1,#REF!,$A3+4,0)</f>
        <v>#REF!</v>
      </c>
      <c r="AA3" s="5" t="e">
        <f>VLOOKUP($A$1,#REF!,$A3+4,0)</f>
        <v>#REF!</v>
      </c>
      <c r="AB3" s="5" t="e">
        <f>VLOOKUP($A$1,#REF!,$A3+4,0)</f>
        <v>#REF!</v>
      </c>
      <c r="AC3" s="5" t="e">
        <f>VLOOKUP($A$1,#REF!,$A3+4,0)</f>
        <v>#REF!</v>
      </c>
      <c r="AD3" s="5" t="e">
        <f>VLOOKUP($A$1,#REF!,$A3+4,0)</f>
        <v>#REF!</v>
      </c>
      <c r="AE3" s="5" t="e">
        <f>VLOOKUP($A$1,#REF!,$A3+4,0)</f>
        <v>#REF!</v>
      </c>
      <c r="AF3" s="5" t="e">
        <f>VLOOKUP($A$1,#REF!,$A3+4,0)</f>
        <v>#REF!</v>
      </c>
      <c r="AG3" s="5" t="e">
        <f>VLOOKUP($A$1,#REF!,$A3+4,0)</f>
        <v>#REF!</v>
      </c>
      <c r="AH3" s="5" t="e">
        <f>VLOOKUP($A$1,#REF!,$A3+4,0)</f>
        <v>#REF!</v>
      </c>
      <c r="AI3" s="5" t="e">
        <f>VLOOKUP($A$1,#REF!,$A3+4,0)</f>
        <v>#REF!</v>
      </c>
      <c r="AJ3" s="5" t="e">
        <f>VLOOKUP($A$1,#REF!,$A3+4,0)</f>
        <v>#REF!</v>
      </c>
      <c r="AK3" s="5" t="e">
        <f>VLOOKUP($A$1,#REF!,$A3+4,0)</f>
        <v>#REF!</v>
      </c>
    </row>
    <row r="4" spans="1:37" x14ac:dyDescent="0.25">
      <c r="A4" s="4">
        <v>2</v>
      </c>
      <c r="B4" s="5" t="e">
        <f>VLOOKUP($A$1,#REF!,$A4+4,0)</f>
        <v>#REF!</v>
      </c>
      <c r="C4" s="5" t="e">
        <f>VLOOKUP($A$1,#REF!,$A4+4,0)</f>
        <v>#REF!</v>
      </c>
      <c r="D4" s="5" t="e">
        <f>VLOOKUP($A$1,#REF!,$A4+4,0)</f>
        <v>#REF!</v>
      </c>
      <c r="E4" s="5" t="e">
        <f>VLOOKUP($A$1,#REF!,$A4+4,0)</f>
        <v>#REF!</v>
      </c>
      <c r="F4" s="5" t="e">
        <f>VLOOKUP($A$1,#REF!,$A4+4,0)</f>
        <v>#REF!</v>
      </c>
      <c r="G4" s="5" t="e">
        <f>VLOOKUP($A$1,#REF!,$A4+4,0)</f>
        <v>#REF!</v>
      </c>
      <c r="H4" s="5" t="e">
        <f>VLOOKUP($A$1,#REF!,$A4+4,0)</f>
        <v>#REF!</v>
      </c>
      <c r="I4" s="5" t="e">
        <f>VLOOKUP($A$1,#REF!,$A4+4,0)</f>
        <v>#REF!</v>
      </c>
      <c r="J4" s="5" t="e">
        <f>VLOOKUP($A$1,#REF!,$A4+4,0)</f>
        <v>#REF!</v>
      </c>
      <c r="K4" s="5" t="e">
        <f>VLOOKUP($A$1,#REF!,$A4+4,0)</f>
        <v>#REF!</v>
      </c>
      <c r="L4" s="5" t="e">
        <f>VLOOKUP($A$1,#REF!,$A4+4,0)</f>
        <v>#REF!</v>
      </c>
      <c r="M4" s="5" t="e">
        <f>VLOOKUP($A$1,#REF!,$A4+4,0)</f>
        <v>#REF!</v>
      </c>
      <c r="N4" s="5" t="e">
        <f>VLOOKUP($A$1,#REF!,$A4+4,0)</f>
        <v>#REF!</v>
      </c>
      <c r="O4" s="5" t="e">
        <f>VLOOKUP($A$1,#REF!,$A4+4,0)</f>
        <v>#REF!</v>
      </c>
      <c r="P4" s="5" t="e">
        <f>VLOOKUP($A$1,#REF!,$A4+4,0)</f>
        <v>#REF!</v>
      </c>
      <c r="Q4" s="5" t="e">
        <f>VLOOKUP($A$1,#REF!,$A4+4,0)</f>
        <v>#REF!</v>
      </c>
      <c r="R4" s="5" t="e">
        <f>VLOOKUP($A$1,#REF!,$A4+4,0)</f>
        <v>#REF!</v>
      </c>
      <c r="S4" s="5" t="e">
        <f>VLOOKUP($A$1,#REF!,$A4+4,0)</f>
        <v>#REF!</v>
      </c>
      <c r="T4" s="5" t="e">
        <f>VLOOKUP($A$1,#REF!,$A4+4,0)</f>
        <v>#REF!</v>
      </c>
      <c r="U4" s="5" t="e">
        <f>VLOOKUP($A$1,#REF!,$A4+4,0)</f>
        <v>#REF!</v>
      </c>
      <c r="V4" s="5" t="e">
        <f>VLOOKUP($A$1,#REF!,$A4+4,0)</f>
        <v>#REF!</v>
      </c>
      <c r="W4" s="5" t="e">
        <f>VLOOKUP($A$1,#REF!,$A4+4,0)</f>
        <v>#REF!</v>
      </c>
      <c r="X4" s="5" t="e">
        <f>VLOOKUP($A$1,#REF!,$A4+4,0)</f>
        <v>#REF!</v>
      </c>
      <c r="Y4" s="5" t="e">
        <f>VLOOKUP($A$1,#REF!,$A4+4,0)</f>
        <v>#REF!</v>
      </c>
      <c r="Z4" s="5" t="e">
        <f>VLOOKUP($A$1,#REF!,$A4+4,0)</f>
        <v>#REF!</v>
      </c>
      <c r="AA4" s="5" t="e">
        <f>VLOOKUP($A$1,#REF!,$A4+4,0)</f>
        <v>#REF!</v>
      </c>
      <c r="AB4" s="5" t="e">
        <f>VLOOKUP($A$1,#REF!,$A4+4,0)</f>
        <v>#REF!</v>
      </c>
      <c r="AC4" s="5" t="e">
        <f>VLOOKUP($A$1,#REF!,$A4+4,0)</f>
        <v>#REF!</v>
      </c>
      <c r="AD4" s="5" t="e">
        <f>VLOOKUP($A$1,#REF!,$A4+4,0)</f>
        <v>#REF!</v>
      </c>
      <c r="AE4" s="5" t="e">
        <f>VLOOKUP($A$1,#REF!,$A4+4,0)</f>
        <v>#REF!</v>
      </c>
      <c r="AF4" s="5" t="e">
        <f>VLOOKUP($A$1,#REF!,$A4+4,0)</f>
        <v>#REF!</v>
      </c>
      <c r="AG4" s="5" t="e">
        <f>VLOOKUP($A$1,#REF!,$A4+4,0)</f>
        <v>#REF!</v>
      </c>
      <c r="AH4" s="5" t="e">
        <f>VLOOKUP($A$1,#REF!,$A4+4,0)</f>
        <v>#REF!</v>
      </c>
      <c r="AI4" s="5" t="e">
        <f>VLOOKUP($A$1,#REF!,$A4+4,0)</f>
        <v>#REF!</v>
      </c>
      <c r="AJ4" s="5" t="e">
        <f>VLOOKUP($A$1,#REF!,$A4+4,0)</f>
        <v>#REF!</v>
      </c>
      <c r="AK4" s="5" t="e">
        <f>VLOOKUP($A$1,#REF!,$A4+4,0)</f>
        <v>#REF!</v>
      </c>
    </row>
    <row r="5" spans="1:37" x14ac:dyDescent="0.25">
      <c r="A5" s="4">
        <v>3</v>
      </c>
      <c r="B5" s="5" t="e">
        <f>VLOOKUP($A$1,#REF!,$A5+4,0)</f>
        <v>#REF!</v>
      </c>
      <c r="C5" s="5" t="e">
        <f>VLOOKUP($A$1,#REF!,$A5+4,0)</f>
        <v>#REF!</v>
      </c>
      <c r="D5" s="5" t="e">
        <f>VLOOKUP($A$1,#REF!,$A5+4,0)</f>
        <v>#REF!</v>
      </c>
      <c r="E5" s="5" t="e">
        <f>VLOOKUP($A$1,#REF!,$A5+4,0)</f>
        <v>#REF!</v>
      </c>
      <c r="F5" s="5" t="e">
        <f>VLOOKUP($A$1,#REF!,$A5+4,0)</f>
        <v>#REF!</v>
      </c>
      <c r="G5" s="5" t="e">
        <f>VLOOKUP($A$1,#REF!,$A5+4,0)</f>
        <v>#REF!</v>
      </c>
      <c r="H5" s="5" t="e">
        <f>VLOOKUP($A$1,#REF!,$A5+4,0)</f>
        <v>#REF!</v>
      </c>
      <c r="I5" s="5" t="e">
        <f>VLOOKUP($A$1,#REF!,$A5+4,0)</f>
        <v>#REF!</v>
      </c>
      <c r="J5" s="5" t="e">
        <f>VLOOKUP($A$1,#REF!,$A5+4,0)</f>
        <v>#REF!</v>
      </c>
      <c r="K5" s="5" t="e">
        <f>VLOOKUP($A$1,#REF!,$A5+4,0)</f>
        <v>#REF!</v>
      </c>
      <c r="L5" s="5" t="e">
        <f>VLOOKUP($A$1,#REF!,$A5+4,0)</f>
        <v>#REF!</v>
      </c>
      <c r="M5" s="5" t="e">
        <f>VLOOKUP($A$1,#REF!,$A5+4,0)</f>
        <v>#REF!</v>
      </c>
      <c r="N5" s="5" t="e">
        <f>VLOOKUP($A$1,#REF!,$A5+4,0)</f>
        <v>#REF!</v>
      </c>
      <c r="O5" s="5" t="e">
        <f>VLOOKUP($A$1,#REF!,$A5+4,0)</f>
        <v>#REF!</v>
      </c>
      <c r="P5" s="5" t="e">
        <f>VLOOKUP($A$1,#REF!,$A5+4,0)</f>
        <v>#REF!</v>
      </c>
      <c r="Q5" s="5" t="e">
        <f>VLOOKUP($A$1,#REF!,$A5+4,0)</f>
        <v>#REF!</v>
      </c>
      <c r="R5" s="5" t="e">
        <f>VLOOKUP($A$1,#REF!,$A5+4,0)</f>
        <v>#REF!</v>
      </c>
      <c r="S5" s="5" t="e">
        <f>VLOOKUP($A$1,#REF!,$A5+4,0)</f>
        <v>#REF!</v>
      </c>
      <c r="T5" s="5" t="e">
        <f>VLOOKUP($A$1,#REF!,$A5+4,0)</f>
        <v>#REF!</v>
      </c>
      <c r="U5" s="5" t="e">
        <f>VLOOKUP($A$1,#REF!,$A5+4,0)</f>
        <v>#REF!</v>
      </c>
      <c r="V5" s="5" t="e">
        <f>VLOOKUP($A$1,#REF!,$A5+4,0)</f>
        <v>#REF!</v>
      </c>
      <c r="W5" s="5" t="e">
        <f>VLOOKUP($A$1,#REF!,$A5+4,0)</f>
        <v>#REF!</v>
      </c>
      <c r="X5" s="5" t="e">
        <f>VLOOKUP($A$1,#REF!,$A5+4,0)</f>
        <v>#REF!</v>
      </c>
      <c r="Y5" s="5" t="e">
        <f>VLOOKUP($A$1,#REF!,$A5+4,0)</f>
        <v>#REF!</v>
      </c>
      <c r="Z5" s="5" t="e">
        <f>VLOOKUP($A$1,#REF!,$A5+4,0)</f>
        <v>#REF!</v>
      </c>
      <c r="AA5" s="5" t="e">
        <f>VLOOKUP($A$1,#REF!,$A5+4,0)</f>
        <v>#REF!</v>
      </c>
      <c r="AB5" s="5" t="e">
        <f>VLOOKUP($A$1,#REF!,$A5+4,0)</f>
        <v>#REF!</v>
      </c>
      <c r="AC5" s="5" t="e">
        <f>VLOOKUP($A$1,#REF!,$A5+4,0)</f>
        <v>#REF!</v>
      </c>
      <c r="AD5" s="5" t="e">
        <f>VLOOKUP($A$1,#REF!,$A5+4,0)</f>
        <v>#REF!</v>
      </c>
      <c r="AE5" s="5" t="e">
        <f>VLOOKUP($A$1,#REF!,$A5+4,0)</f>
        <v>#REF!</v>
      </c>
      <c r="AF5" s="5" t="e">
        <f>VLOOKUP($A$1,#REF!,$A5+4,0)</f>
        <v>#REF!</v>
      </c>
      <c r="AG5" s="5" t="e">
        <f>VLOOKUP($A$1,#REF!,$A5+4,0)</f>
        <v>#REF!</v>
      </c>
      <c r="AH5" s="5" t="e">
        <f>VLOOKUP($A$1,#REF!,$A5+4,0)</f>
        <v>#REF!</v>
      </c>
      <c r="AI5" s="5" t="e">
        <f>VLOOKUP($A$1,#REF!,$A5+4,0)</f>
        <v>#REF!</v>
      </c>
      <c r="AJ5" s="5" t="e">
        <f>VLOOKUP($A$1,#REF!,$A5+4,0)</f>
        <v>#REF!</v>
      </c>
      <c r="AK5" s="5" t="e">
        <f>VLOOKUP($A$1,#REF!,$A5+4,0)</f>
        <v>#REF!</v>
      </c>
    </row>
    <row r="6" spans="1:37" x14ac:dyDescent="0.25">
      <c r="A6" s="4">
        <v>4</v>
      </c>
      <c r="B6" s="5" t="e">
        <f>VLOOKUP($A$1,#REF!,$A6+4,0)</f>
        <v>#REF!</v>
      </c>
      <c r="C6" s="5" t="e">
        <f>VLOOKUP($A$1,#REF!,$A6+4,0)</f>
        <v>#REF!</v>
      </c>
      <c r="D6" s="5" t="e">
        <f>VLOOKUP($A$1,#REF!,$A6+4,0)</f>
        <v>#REF!</v>
      </c>
      <c r="E6" s="5" t="e">
        <f>VLOOKUP($A$1,#REF!,$A6+4,0)</f>
        <v>#REF!</v>
      </c>
      <c r="F6" s="5" t="e">
        <f>VLOOKUP($A$1,#REF!,$A6+4,0)</f>
        <v>#REF!</v>
      </c>
      <c r="G6" s="5" t="e">
        <f>VLOOKUP($A$1,#REF!,$A6+4,0)</f>
        <v>#REF!</v>
      </c>
      <c r="H6" s="5" t="e">
        <f>VLOOKUP($A$1,#REF!,$A6+4,0)</f>
        <v>#REF!</v>
      </c>
      <c r="I6" s="5" t="e">
        <f>VLOOKUP($A$1,#REF!,$A6+4,0)</f>
        <v>#REF!</v>
      </c>
      <c r="J6" s="5" t="e">
        <f>VLOOKUP($A$1,#REF!,$A6+4,0)</f>
        <v>#REF!</v>
      </c>
      <c r="K6" s="5" t="e">
        <f>VLOOKUP($A$1,#REF!,$A6+4,0)</f>
        <v>#REF!</v>
      </c>
      <c r="L6" s="5" t="e">
        <f>VLOOKUP($A$1,#REF!,$A6+4,0)</f>
        <v>#REF!</v>
      </c>
      <c r="M6" s="5" t="e">
        <f>VLOOKUP($A$1,#REF!,$A6+4,0)</f>
        <v>#REF!</v>
      </c>
      <c r="N6" s="5" t="e">
        <f>VLOOKUP($A$1,#REF!,$A6+4,0)</f>
        <v>#REF!</v>
      </c>
      <c r="O6" s="5" t="e">
        <f>VLOOKUP($A$1,#REF!,$A6+4,0)</f>
        <v>#REF!</v>
      </c>
      <c r="P6" s="5" t="e">
        <f>VLOOKUP($A$1,#REF!,$A6+4,0)</f>
        <v>#REF!</v>
      </c>
      <c r="Q6" s="5" t="e">
        <f>VLOOKUP($A$1,#REF!,$A6+4,0)</f>
        <v>#REF!</v>
      </c>
      <c r="R6" s="5" t="e">
        <f>VLOOKUP($A$1,#REF!,$A6+4,0)</f>
        <v>#REF!</v>
      </c>
      <c r="S6" s="5" t="e">
        <f>VLOOKUP($A$1,#REF!,$A6+4,0)</f>
        <v>#REF!</v>
      </c>
      <c r="T6" s="5" t="e">
        <f>VLOOKUP($A$1,#REF!,$A6+4,0)</f>
        <v>#REF!</v>
      </c>
      <c r="U6" s="5" t="e">
        <f>VLOOKUP($A$1,#REF!,$A6+4,0)</f>
        <v>#REF!</v>
      </c>
      <c r="V6" s="5" t="e">
        <f>VLOOKUP($A$1,#REF!,$A6+4,0)</f>
        <v>#REF!</v>
      </c>
      <c r="W6" s="5" t="e">
        <f>VLOOKUP($A$1,#REF!,$A6+4,0)</f>
        <v>#REF!</v>
      </c>
      <c r="X6" s="5" t="e">
        <f>VLOOKUP($A$1,#REF!,$A6+4,0)</f>
        <v>#REF!</v>
      </c>
      <c r="Y6" s="5" t="e">
        <f>VLOOKUP($A$1,#REF!,$A6+4,0)</f>
        <v>#REF!</v>
      </c>
      <c r="Z6" s="5" t="e">
        <f>VLOOKUP($A$1,#REF!,$A6+4,0)</f>
        <v>#REF!</v>
      </c>
      <c r="AA6" s="5" t="e">
        <f>VLOOKUP($A$1,#REF!,$A6+4,0)</f>
        <v>#REF!</v>
      </c>
      <c r="AB6" s="5" t="e">
        <f>VLOOKUP($A$1,#REF!,$A6+4,0)</f>
        <v>#REF!</v>
      </c>
      <c r="AC6" s="5" t="e">
        <f>VLOOKUP($A$1,#REF!,$A6+4,0)</f>
        <v>#REF!</v>
      </c>
      <c r="AD6" s="5" t="e">
        <f>VLOOKUP($A$1,#REF!,$A6+4,0)</f>
        <v>#REF!</v>
      </c>
      <c r="AE6" s="5" t="e">
        <f>VLOOKUP($A$1,#REF!,$A6+4,0)</f>
        <v>#REF!</v>
      </c>
      <c r="AF6" s="5" t="e">
        <f>VLOOKUP($A$1,#REF!,$A6+4,0)</f>
        <v>#REF!</v>
      </c>
      <c r="AG6" s="5" t="e">
        <f>VLOOKUP($A$1,#REF!,$A6+4,0)</f>
        <v>#REF!</v>
      </c>
      <c r="AH6" s="5" t="e">
        <f>VLOOKUP($A$1,#REF!,$A6+4,0)</f>
        <v>#REF!</v>
      </c>
      <c r="AI6" s="5" t="e">
        <f>VLOOKUP($A$1,#REF!,$A6+4,0)</f>
        <v>#REF!</v>
      </c>
      <c r="AJ6" s="5" t="e">
        <f>VLOOKUP($A$1,#REF!,$A6+4,0)</f>
        <v>#REF!</v>
      </c>
      <c r="AK6" s="5" t="e">
        <f>VLOOKUP($A$1,#REF!,$A6+4,0)</f>
        <v>#REF!</v>
      </c>
    </row>
    <row r="7" spans="1:37" x14ac:dyDescent="0.25">
      <c r="A7" s="4">
        <v>5</v>
      </c>
      <c r="B7" s="5" t="e">
        <f>VLOOKUP($A$1,#REF!,$A7+4,0)</f>
        <v>#REF!</v>
      </c>
      <c r="C7" s="5" t="e">
        <f>VLOOKUP($A$1,#REF!,$A7+4,0)</f>
        <v>#REF!</v>
      </c>
      <c r="D7" s="5" t="e">
        <f>VLOOKUP($A$1,#REF!,$A7+4,0)</f>
        <v>#REF!</v>
      </c>
      <c r="E7" s="5" t="e">
        <f>VLOOKUP($A$1,#REF!,$A7+4,0)</f>
        <v>#REF!</v>
      </c>
      <c r="F7" s="5" t="e">
        <f>VLOOKUP($A$1,#REF!,$A7+4,0)</f>
        <v>#REF!</v>
      </c>
      <c r="G7" s="5" t="e">
        <f>VLOOKUP($A$1,#REF!,$A7+4,0)</f>
        <v>#REF!</v>
      </c>
      <c r="H7" s="5" t="e">
        <f>VLOOKUP($A$1,#REF!,$A7+4,0)</f>
        <v>#REF!</v>
      </c>
      <c r="I7" s="5" t="e">
        <f>VLOOKUP($A$1,#REF!,$A7+4,0)</f>
        <v>#REF!</v>
      </c>
      <c r="J7" s="5" t="e">
        <f>VLOOKUP($A$1,#REF!,$A7+4,0)</f>
        <v>#REF!</v>
      </c>
      <c r="K7" s="5" t="e">
        <f>VLOOKUP($A$1,#REF!,$A7+4,0)</f>
        <v>#REF!</v>
      </c>
      <c r="L7" s="5" t="e">
        <f>VLOOKUP($A$1,#REF!,$A7+4,0)</f>
        <v>#REF!</v>
      </c>
      <c r="M7" s="5" t="e">
        <f>VLOOKUP($A$1,#REF!,$A7+4,0)</f>
        <v>#REF!</v>
      </c>
      <c r="N7" s="5" t="e">
        <f>VLOOKUP($A$1,#REF!,$A7+4,0)</f>
        <v>#REF!</v>
      </c>
      <c r="O7" s="5" t="e">
        <f>VLOOKUP($A$1,#REF!,$A7+4,0)</f>
        <v>#REF!</v>
      </c>
      <c r="P7" s="5" t="e">
        <f>VLOOKUP($A$1,#REF!,$A7+4,0)</f>
        <v>#REF!</v>
      </c>
      <c r="Q7" s="5" t="e">
        <f>VLOOKUP($A$1,#REF!,$A7+4,0)</f>
        <v>#REF!</v>
      </c>
      <c r="R7" s="5" t="e">
        <f>VLOOKUP($A$1,#REF!,$A7+4,0)</f>
        <v>#REF!</v>
      </c>
      <c r="S7" s="5" t="e">
        <f>VLOOKUP($A$1,#REF!,$A7+4,0)</f>
        <v>#REF!</v>
      </c>
      <c r="T7" s="5" t="e">
        <f>VLOOKUP($A$1,#REF!,$A7+4,0)</f>
        <v>#REF!</v>
      </c>
      <c r="U7" s="5" t="e">
        <f>VLOOKUP($A$1,#REF!,$A7+4,0)</f>
        <v>#REF!</v>
      </c>
      <c r="V7" s="5" t="e">
        <f>VLOOKUP($A$1,#REF!,$A7+4,0)</f>
        <v>#REF!</v>
      </c>
      <c r="W7" s="5" t="e">
        <f>VLOOKUP($A$1,#REF!,$A7+4,0)</f>
        <v>#REF!</v>
      </c>
      <c r="X7" s="5" t="e">
        <f>VLOOKUP($A$1,#REF!,$A7+4,0)</f>
        <v>#REF!</v>
      </c>
      <c r="Y7" s="5" t="e">
        <f>VLOOKUP($A$1,#REF!,$A7+4,0)</f>
        <v>#REF!</v>
      </c>
      <c r="Z7" s="5" t="e">
        <f>VLOOKUP($A$1,#REF!,$A7+4,0)</f>
        <v>#REF!</v>
      </c>
      <c r="AA7" s="5" t="e">
        <f>VLOOKUP($A$1,#REF!,$A7+4,0)</f>
        <v>#REF!</v>
      </c>
      <c r="AB7" s="5" t="e">
        <f>VLOOKUP($A$1,#REF!,$A7+4,0)</f>
        <v>#REF!</v>
      </c>
      <c r="AC7" s="5" t="e">
        <f>VLOOKUP($A$1,#REF!,$A7+4,0)</f>
        <v>#REF!</v>
      </c>
      <c r="AD7" s="5" t="e">
        <f>VLOOKUP($A$1,#REF!,$A7+4,0)</f>
        <v>#REF!</v>
      </c>
      <c r="AE7" s="5" t="e">
        <f>VLOOKUP($A$1,#REF!,$A7+4,0)</f>
        <v>#REF!</v>
      </c>
      <c r="AF7" s="5" t="e">
        <f>VLOOKUP($A$1,#REF!,$A7+4,0)</f>
        <v>#REF!</v>
      </c>
      <c r="AG7" s="5" t="e">
        <f>VLOOKUP($A$1,#REF!,$A7+4,0)</f>
        <v>#REF!</v>
      </c>
      <c r="AH7" s="5" t="e">
        <f>VLOOKUP($A$1,#REF!,$A7+4,0)</f>
        <v>#REF!</v>
      </c>
      <c r="AI7" s="5" t="e">
        <f>VLOOKUP($A$1,#REF!,$A7+4,0)</f>
        <v>#REF!</v>
      </c>
      <c r="AJ7" s="5" t="e">
        <f>VLOOKUP($A$1,#REF!,$A7+4,0)</f>
        <v>#REF!</v>
      </c>
      <c r="AK7" s="5" t="e">
        <f>VLOOKUP($A$1,#REF!,$A7+4,0)</f>
        <v>#REF!</v>
      </c>
    </row>
    <row r="8" spans="1:37" x14ac:dyDescent="0.25">
      <c r="A8" s="4">
        <v>6</v>
      </c>
      <c r="B8" s="5" t="e">
        <f>VLOOKUP($A$1,#REF!,$A8+4,0)</f>
        <v>#REF!</v>
      </c>
      <c r="C8" s="5" t="e">
        <f>VLOOKUP($A$1,#REF!,$A8+4,0)</f>
        <v>#REF!</v>
      </c>
      <c r="D8" s="5" t="e">
        <f>VLOOKUP($A$1,#REF!,$A8+4,0)</f>
        <v>#REF!</v>
      </c>
      <c r="E8" s="5" t="e">
        <f>VLOOKUP($A$1,#REF!,$A8+4,0)</f>
        <v>#REF!</v>
      </c>
      <c r="F8" s="5" t="e">
        <f>VLOOKUP($A$1,#REF!,$A8+4,0)</f>
        <v>#REF!</v>
      </c>
      <c r="G8" s="5" t="e">
        <f>VLOOKUP($A$1,#REF!,$A8+4,0)</f>
        <v>#REF!</v>
      </c>
      <c r="H8" s="5" t="e">
        <f>VLOOKUP($A$1,#REF!,$A8+4,0)</f>
        <v>#REF!</v>
      </c>
      <c r="I8" s="5" t="e">
        <f>VLOOKUP($A$1,#REF!,$A8+4,0)</f>
        <v>#REF!</v>
      </c>
      <c r="J8" s="5" t="e">
        <f>VLOOKUP($A$1,#REF!,$A8+4,0)</f>
        <v>#REF!</v>
      </c>
      <c r="K8" s="5" t="e">
        <f>VLOOKUP($A$1,#REF!,$A8+4,0)</f>
        <v>#REF!</v>
      </c>
      <c r="L8" s="5" t="e">
        <f>VLOOKUP($A$1,#REF!,$A8+4,0)</f>
        <v>#REF!</v>
      </c>
      <c r="M8" s="5" t="e">
        <f>VLOOKUP($A$1,#REF!,$A8+4,0)</f>
        <v>#REF!</v>
      </c>
      <c r="N8" s="5" t="e">
        <f>VLOOKUP($A$1,#REF!,$A8+4,0)</f>
        <v>#REF!</v>
      </c>
      <c r="O8" s="5" t="e">
        <f>VLOOKUP($A$1,#REF!,$A8+4,0)</f>
        <v>#REF!</v>
      </c>
      <c r="P8" s="5" t="e">
        <f>VLOOKUP($A$1,#REF!,$A8+4,0)</f>
        <v>#REF!</v>
      </c>
      <c r="Q8" s="5" t="e">
        <f>VLOOKUP($A$1,#REF!,$A8+4,0)</f>
        <v>#REF!</v>
      </c>
      <c r="R8" s="5" t="e">
        <f>VLOOKUP($A$1,#REF!,$A8+4,0)</f>
        <v>#REF!</v>
      </c>
      <c r="S8" s="5" t="e">
        <f>VLOOKUP($A$1,#REF!,$A8+4,0)</f>
        <v>#REF!</v>
      </c>
      <c r="T8" s="5" t="e">
        <f>VLOOKUP($A$1,#REF!,$A8+4,0)</f>
        <v>#REF!</v>
      </c>
      <c r="U8" s="5" t="e">
        <f>VLOOKUP($A$1,#REF!,$A8+4,0)</f>
        <v>#REF!</v>
      </c>
      <c r="V8" s="5" t="e">
        <f>VLOOKUP($A$1,#REF!,$A8+4,0)</f>
        <v>#REF!</v>
      </c>
      <c r="W8" s="5" t="e">
        <f>VLOOKUP($A$1,#REF!,$A8+4,0)</f>
        <v>#REF!</v>
      </c>
      <c r="X8" s="5" t="e">
        <f>VLOOKUP($A$1,#REF!,$A8+4,0)</f>
        <v>#REF!</v>
      </c>
      <c r="Y8" s="5" t="e">
        <f>VLOOKUP($A$1,#REF!,$A8+4,0)</f>
        <v>#REF!</v>
      </c>
      <c r="Z8" s="5" t="e">
        <f>VLOOKUP($A$1,#REF!,$A8+4,0)</f>
        <v>#REF!</v>
      </c>
      <c r="AA8" s="5" t="e">
        <f>VLOOKUP($A$1,#REF!,$A8+4,0)</f>
        <v>#REF!</v>
      </c>
      <c r="AB8" s="5" t="e">
        <f>VLOOKUP($A$1,#REF!,$A8+4,0)</f>
        <v>#REF!</v>
      </c>
      <c r="AC8" s="5" t="e">
        <f>VLOOKUP($A$1,#REF!,$A8+4,0)</f>
        <v>#REF!</v>
      </c>
      <c r="AD8" s="5" t="e">
        <f>VLOOKUP($A$1,#REF!,$A8+4,0)</f>
        <v>#REF!</v>
      </c>
      <c r="AE8" s="5" t="e">
        <f>VLOOKUP($A$1,#REF!,$A8+4,0)</f>
        <v>#REF!</v>
      </c>
      <c r="AF8" s="5" t="e">
        <f>VLOOKUP($A$1,#REF!,$A8+4,0)</f>
        <v>#REF!</v>
      </c>
      <c r="AG8" s="5" t="e">
        <f>VLOOKUP($A$1,#REF!,$A8+4,0)</f>
        <v>#REF!</v>
      </c>
      <c r="AH8" s="5" t="e">
        <f>VLOOKUP($A$1,#REF!,$A8+4,0)</f>
        <v>#REF!</v>
      </c>
      <c r="AI8" s="5" t="e">
        <f>VLOOKUP($A$1,#REF!,$A8+4,0)</f>
        <v>#REF!</v>
      </c>
      <c r="AJ8" s="5" t="e">
        <f>VLOOKUP($A$1,#REF!,$A8+4,0)</f>
        <v>#REF!</v>
      </c>
      <c r="AK8" s="5" t="e">
        <f>VLOOKUP($A$1,#REF!,$A8+4,0)</f>
        <v>#REF!</v>
      </c>
    </row>
    <row r="9" spans="1:37" x14ac:dyDescent="0.25">
      <c r="A9" s="4">
        <v>7</v>
      </c>
      <c r="B9" s="5" t="e">
        <f>VLOOKUP($A$1,#REF!,$A9+4,0)</f>
        <v>#REF!</v>
      </c>
      <c r="C9" s="5" t="e">
        <f>VLOOKUP($A$1,#REF!,$A9+4,0)</f>
        <v>#REF!</v>
      </c>
      <c r="D9" s="5" t="e">
        <f>VLOOKUP($A$1,#REF!,$A9+4,0)</f>
        <v>#REF!</v>
      </c>
      <c r="E9" s="5" t="e">
        <f>VLOOKUP($A$1,#REF!,$A9+4,0)</f>
        <v>#REF!</v>
      </c>
      <c r="F9" s="5" t="e">
        <f>VLOOKUP($A$1,#REF!,$A9+4,0)</f>
        <v>#REF!</v>
      </c>
      <c r="G9" s="5" t="e">
        <f>VLOOKUP($A$1,#REF!,$A9+4,0)</f>
        <v>#REF!</v>
      </c>
      <c r="H9" s="5" t="e">
        <f>VLOOKUP($A$1,#REF!,$A9+4,0)</f>
        <v>#REF!</v>
      </c>
      <c r="I9" s="5" t="e">
        <f>VLOOKUP($A$1,#REF!,$A9+4,0)</f>
        <v>#REF!</v>
      </c>
      <c r="J9" s="5" t="e">
        <f>VLOOKUP($A$1,#REF!,$A9+4,0)</f>
        <v>#REF!</v>
      </c>
      <c r="K9" s="5" t="e">
        <f>VLOOKUP($A$1,#REF!,$A9+4,0)</f>
        <v>#REF!</v>
      </c>
      <c r="L9" s="5" t="e">
        <f>VLOOKUP($A$1,#REF!,$A9+4,0)</f>
        <v>#REF!</v>
      </c>
      <c r="M9" s="5" t="e">
        <f>VLOOKUP($A$1,#REF!,$A9+4,0)</f>
        <v>#REF!</v>
      </c>
      <c r="N9" s="5" t="e">
        <f>VLOOKUP($A$1,#REF!,$A9+4,0)</f>
        <v>#REF!</v>
      </c>
      <c r="O9" s="5" t="e">
        <f>VLOOKUP($A$1,#REF!,$A9+4,0)</f>
        <v>#REF!</v>
      </c>
      <c r="P9" s="5" t="e">
        <f>VLOOKUP($A$1,#REF!,$A9+4,0)</f>
        <v>#REF!</v>
      </c>
      <c r="Q9" s="5" t="e">
        <f>VLOOKUP($A$1,#REF!,$A9+4,0)</f>
        <v>#REF!</v>
      </c>
      <c r="R9" s="5" t="e">
        <f>VLOOKUP($A$1,#REF!,$A9+4,0)</f>
        <v>#REF!</v>
      </c>
      <c r="S9" s="5" t="e">
        <f>VLOOKUP($A$1,#REF!,$A9+4,0)</f>
        <v>#REF!</v>
      </c>
      <c r="T9" s="5" t="e">
        <f>VLOOKUP($A$1,#REF!,$A9+4,0)</f>
        <v>#REF!</v>
      </c>
      <c r="U9" s="5" t="e">
        <f>VLOOKUP($A$1,#REF!,$A9+4,0)</f>
        <v>#REF!</v>
      </c>
      <c r="V9" s="5" t="e">
        <f>VLOOKUP($A$1,#REF!,$A9+4,0)</f>
        <v>#REF!</v>
      </c>
      <c r="W9" s="5" t="e">
        <f>VLOOKUP($A$1,#REF!,$A9+4,0)</f>
        <v>#REF!</v>
      </c>
      <c r="X9" s="5" t="e">
        <f>VLOOKUP($A$1,#REF!,$A9+4,0)</f>
        <v>#REF!</v>
      </c>
      <c r="Y9" s="5" t="e">
        <f>VLOOKUP($A$1,#REF!,$A9+4,0)</f>
        <v>#REF!</v>
      </c>
      <c r="Z9" s="5" t="e">
        <f>VLOOKUP($A$1,#REF!,$A9+4,0)</f>
        <v>#REF!</v>
      </c>
      <c r="AA9" s="5" t="e">
        <f>VLOOKUP($A$1,#REF!,$A9+4,0)</f>
        <v>#REF!</v>
      </c>
      <c r="AB9" s="5" t="e">
        <f>VLOOKUP($A$1,#REF!,$A9+4,0)</f>
        <v>#REF!</v>
      </c>
      <c r="AC9" s="5" t="e">
        <f>VLOOKUP($A$1,#REF!,$A9+4,0)</f>
        <v>#REF!</v>
      </c>
      <c r="AD9" s="5" t="e">
        <f>VLOOKUP($A$1,#REF!,$A9+4,0)</f>
        <v>#REF!</v>
      </c>
      <c r="AE9" s="5" t="e">
        <f>VLOOKUP($A$1,#REF!,$A9+4,0)</f>
        <v>#REF!</v>
      </c>
      <c r="AF9" s="5" t="e">
        <f>VLOOKUP($A$1,#REF!,$A9+4,0)</f>
        <v>#REF!</v>
      </c>
      <c r="AG9" s="5" t="e">
        <f>VLOOKUP($A$1,#REF!,$A9+4,0)</f>
        <v>#REF!</v>
      </c>
      <c r="AH9" s="5" t="e">
        <f>VLOOKUP($A$1,#REF!,$A9+4,0)</f>
        <v>#REF!</v>
      </c>
      <c r="AI9" s="5" t="e">
        <f>VLOOKUP($A$1,#REF!,$A9+4,0)</f>
        <v>#REF!</v>
      </c>
      <c r="AJ9" s="5" t="e">
        <f>VLOOKUP($A$1,#REF!,$A9+4,0)</f>
        <v>#REF!</v>
      </c>
      <c r="AK9" s="5" t="e">
        <f>VLOOKUP($A$1,#REF!,$A9+4,0)</f>
        <v>#REF!</v>
      </c>
    </row>
    <row r="10" spans="1:37" x14ac:dyDescent="0.25">
      <c r="A10" s="4">
        <v>8</v>
      </c>
      <c r="B10" s="5" t="e">
        <f>VLOOKUP($A$1,#REF!,$A10+4,0)</f>
        <v>#REF!</v>
      </c>
      <c r="C10" s="5" t="e">
        <f>VLOOKUP($A$1,#REF!,$A10+4,0)</f>
        <v>#REF!</v>
      </c>
      <c r="D10" s="5" t="e">
        <f>VLOOKUP($A$1,#REF!,$A10+4,0)</f>
        <v>#REF!</v>
      </c>
      <c r="E10" s="5" t="e">
        <f>VLOOKUP($A$1,#REF!,$A10+4,0)</f>
        <v>#REF!</v>
      </c>
      <c r="F10" s="5" t="e">
        <f>VLOOKUP($A$1,#REF!,$A10+4,0)</f>
        <v>#REF!</v>
      </c>
      <c r="G10" s="5" t="e">
        <f>VLOOKUP($A$1,#REF!,$A10+4,0)</f>
        <v>#REF!</v>
      </c>
      <c r="H10" s="5" t="e">
        <f>VLOOKUP($A$1,#REF!,$A10+4,0)</f>
        <v>#REF!</v>
      </c>
      <c r="I10" s="5" t="e">
        <f>VLOOKUP($A$1,#REF!,$A10+4,0)</f>
        <v>#REF!</v>
      </c>
      <c r="J10" s="5" t="e">
        <f>VLOOKUP($A$1,#REF!,$A10+4,0)</f>
        <v>#REF!</v>
      </c>
      <c r="K10" s="5" t="e">
        <f>VLOOKUP($A$1,#REF!,$A10+4,0)</f>
        <v>#REF!</v>
      </c>
      <c r="L10" s="5" t="e">
        <f>VLOOKUP($A$1,#REF!,$A10+4,0)</f>
        <v>#REF!</v>
      </c>
      <c r="M10" s="5" t="e">
        <f>VLOOKUP($A$1,#REF!,$A10+4,0)</f>
        <v>#REF!</v>
      </c>
      <c r="N10" s="5" t="e">
        <f>VLOOKUP($A$1,#REF!,$A10+4,0)</f>
        <v>#REF!</v>
      </c>
      <c r="O10" s="5" t="e">
        <f>VLOOKUP($A$1,#REF!,$A10+4,0)</f>
        <v>#REF!</v>
      </c>
      <c r="P10" s="5" t="e">
        <f>VLOOKUP($A$1,#REF!,$A10+4,0)</f>
        <v>#REF!</v>
      </c>
      <c r="Q10" s="5" t="e">
        <f>VLOOKUP($A$1,#REF!,$A10+4,0)</f>
        <v>#REF!</v>
      </c>
      <c r="R10" s="5" t="e">
        <f>VLOOKUP($A$1,#REF!,$A10+4,0)</f>
        <v>#REF!</v>
      </c>
      <c r="S10" s="5" t="e">
        <f>VLOOKUP($A$1,#REF!,$A10+4,0)</f>
        <v>#REF!</v>
      </c>
      <c r="T10" s="5" t="e">
        <f>VLOOKUP($A$1,#REF!,$A10+4,0)</f>
        <v>#REF!</v>
      </c>
      <c r="U10" s="5" t="e">
        <f>VLOOKUP($A$1,#REF!,$A10+4,0)</f>
        <v>#REF!</v>
      </c>
      <c r="V10" s="5" t="e">
        <f>VLOOKUP($A$1,#REF!,$A10+4,0)</f>
        <v>#REF!</v>
      </c>
      <c r="W10" s="5" t="e">
        <f>VLOOKUP($A$1,#REF!,$A10+4,0)</f>
        <v>#REF!</v>
      </c>
      <c r="X10" s="5" t="e">
        <f>VLOOKUP($A$1,#REF!,$A10+4,0)</f>
        <v>#REF!</v>
      </c>
      <c r="Y10" s="5" t="e">
        <f>VLOOKUP($A$1,#REF!,$A10+4,0)</f>
        <v>#REF!</v>
      </c>
      <c r="Z10" s="5" t="e">
        <f>VLOOKUP($A$1,#REF!,$A10+4,0)</f>
        <v>#REF!</v>
      </c>
      <c r="AA10" s="5" t="e">
        <f>VLOOKUP($A$1,#REF!,$A10+4,0)</f>
        <v>#REF!</v>
      </c>
      <c r="AB10" s="5" t="e">
        <f>VLOOKUP($A$1,#REF!,$A10+4,0)</f>
        <v>#REF!</v>
      </c>
      <c r="AC10" s="5" t="e">
        <f>VLOOKUP($A$1,#REF!,$A10+4,0)</f>
        <v>#REF!</v>
      </c>
      <c r="AD10" s="5" t="e">
        <f>VLOOKUP($A$1,#REF!,$A10+4,0)</f>
        <v>#REF!</v>
      </c>
      <c r="AE10" s="5" t="e">
        <f>VLOOKUP($A$1,#REF!,$A10+4,0)</f>
        <v>#REF!</v>
      </c>
      <c r="AF10" s="5" t="e">
        <f>VLOOKUP($A$1,#REF!,$A10+4,0)</f>
        <v>#REF!</v>
      </c>
      <c r="AG10" s="5" t="e">
        <f>VLOOKUP($A$1,#REF!,$A10+4,0)</f>
        <v>#REF!</v>
      </c>
      <c r="AH10" s="5" t="e">
        <f>VLOOKUP($A$1,#REF!,$A10+4,0)</f>
        <v>#REF!</v>
      </c>
      <c r="AI10" s="5" t="e">
        <f>VLOOKUP($A$1,#REF!,$A10+4,0)</f>
        <v>#REF!</v>
      </c>
      <c r="AJ10" s="5" t="e">
        <f>VLOOKUP($A$1,#REF!,$A10+4,0)</f>
        <v>#REF!</v>
      </c>
      <c r="AK10" s="5" t="e">
        <f>VLOOKUP($A$1,#REF!,$A10+4,0)</f>
        <v>#REF!</v>
      </c>
    </row>
    <row r="11" spans="1:37" x14ac:dyDescent="0.25">
      <c r="A11" s="4">
        <v>9</v>
      </c>
      <c r="B11" s="5" t="e">
        <f>VLOOKUP($A$1,#REF!,$A11+4,0)</f>
        <v>#REF!</v>
      </c>
      <c r="C11" s="5" t="e">
        <f>VLOOKUP($A$1,#REF!,$A11+4,0)</f>
        <v>#REF!</v>
      </c>
      <c r="D11" s="5" t="e">
        <f>VLOOKUP($A$1,#REF!,$A11+4,0)</f>
        <v>#REF!</v>
      </c>
      <c r="E11" s="5" t="e">
        <f>VLOOKUP($A$1,#REF!,$A11+4,0)</f>
        <v>#REF!</v>
      </c>
      <c r="F11" s="5" t="e">
        <f>VLOOKUP($A$1,#REF!,$A11+4,0)</f>
        <v>#REF!</v>
      </c>
      <c r="G11" s="5" t="e">
        <f>VLOOKUP($A$1,#REF!,$A11+4,0)</f>
        <v>#REF!</v>
      </c>
      <c r="H11" s="5" t="e">
        <f>VLOOKUP($A$1,#REF!,$A11+4,0)</f>
        <v>#REF!</v>
      </c>
      <c r="I11" s="5" t="e">
        <f>VLOOKUP($A$1,#REF!,$A11+4,0)</f>
        <v>#REF!</v>
      </c>
      <c r="J11" s="5" t="e">
        <f>VLOOKUP($A$1,#REF!,$A11+4,0)</f>
        <v>#REF!</v>
      </c>
      <c r="K11" s="5" t="e">
        <f>VLOOKUP($A$1,#REF!,$A11+4,0)</f>
        <v>#REF!</v>
      </c>
      <c r="L11" s="5" t="e">
        <f>VLOOKUP($A$1,#REF!,$A11+4,0)</f>
        <v>#REF!</v>
      </c>
      <c r="M11" s="5" t="e">
        <f>VLOOKUP($A$1,#REF!,$A11+4,0)</f>
        <v>#REF!</v>
      </c>
      <c r="N11" s="5" t="e">
        <f>VLOOKUP($A$1,#REF!,$A11+4,0)</f>
        <v>#REF!</v>
      </c>
      <c r="O11" s="5" t="e">
        <f>VLOOKUP($A$1,#REF!,$A11+4,0)</f>
        <v>#REF!</v>
      </c>
      <c r="P11" s="5" t="e">
        <f>VLOOKUP($A$1,#REF!,$A11+4,0)</f>
        <v>#REF!</v>
      </c>
      <c r="Q11" s="5" t="e">
        <f>VLOOKUP($A$1,#REF!,$A11+4,0)</f>
        <v>#REF!</v>
      </c>
      <c r="R11" s="5" t="e">
        <f>VLOOKUP($A$1,#REF!,$A11+4,0)</f>
        <v>#REF!</v>
      </c>
      <c r="S11" s="5" t="e">
        <f>VLOOKUP($A$1,#REF!,$A11+4,0)</f>
        <v>#REF!</v>
      </c>
      <c r="T11" s="5" t="e">
        <f>VLOOKUP($A$1,#REF!,$A11+4,0)</f>
        <v>#REF!</v>
      </c>
      <c r="U11" s="5" t="e">
        <f>VLOOKUP($A$1,#REF!,$A11+4,0)</f>
        <v>#REF!</v>
      </c>
      <c r="V11" s="5" t="e">
        <f>VLOOKUP($A$1,#REF!,$A11+4,0)</f>
        <v>#REF!</v>
      </c>
      <c r="W11" s="5" t="e">
        <f>VLOOKUP($A$1,#REF!,$A11+4,0)</f>
        <v>#REF!</v>
      </c>
      <c r="X11" s="5" t="e">
        <f>VLOOKUP($A$1,#REF!,$A11+4,0)</f>
        <v>#REF!</v>
      </c>
      <c r="Y11" s="5" t="e">
        <f>VLOOKUP($A$1,#REF!,$A11+4,0)</f>
        <v>#REF!</v>
      </c>
      <c r="Z11" s="5" t="e">
        <f>VLOOKUP($A$1,#REF!,$A11+4,0)</f>
        <v>#REF!</v>
      </c>
      <c r="AA11" s="5" t="e">
        <f>VLOOKUP($A$1,#REF!,$A11+4,0)</f>
        <v>#REF!</v>
      </c>
      <c r="AB11" s="5" t="e">
        <f>VLOOKUP($A$1,#REF!,$A11+4,0)</f>
        <v>#REF!</v>
      </c>
      <c r="AC11" s="5" t="e">
        <f>VLOOKUP($A$1,#REF!,$A11+4,0)</f>
        <v>#REF!</v>
      </c>
      <c r="AD11" s="5" t="e">
        <f>VLOOKUP($A$1,#REF!,$A11+4,0)</f>
        <v>#REF!</v>
      </c>
      <c r="AE11" s="5" t="e">
        <f>VLOOKUP($A$1,#REF!,$A11+4,0)</f>
        <v>#REF!</v>
      </c>
      <c r="AF11" s="5" t="e">
        <f>VLOOKUP($A$1,#REF!,$A11+4,0)</f>
        <v>#REF!</v>
      </c>
      <c r="AG11" s="5" t="e">
        <f>VLOOKUP($A$1,#REF!,$A11+4,0)</f>
        <v>#REF!</v>
      </c>
      <c r="AH11" s="5" t="e">
        <f>VLOOKUP($A$1,#REF!,$A11+4,0)</f>
        <v>#REF!</v>
      </c>
      <c r="AI11" s="5" t="e">
        <f>VLOOKUP($A$1,#REF!,$A11+4,0)</f>
        <v>#REF!</v>
      </c>
      <c r="AJ11" s="5" t="e">
        <f>VLOOKUP($A$1,#REF!,$A11+4,0)</f>
        <v>#REF!</v>
      </c>
      <c r="AK11" s="5" t="e">
        <f>VLOOKUP($A$1,#REF!,$A11+4,0)</f>
        <v>#REF!</v>
      </c>
    </row>
    <row r="12" spans="1:37" x14ac:dyDescent="0.25">
      <c r="A12" s="4">
        <v>10</v>
      </c>
      <c r="B12" s="5" t="e">
        <f>VLOOKUP($A$1,#REF!,$A12+4,0)</f>
        <v>#REF!</v>
      </c>
      <c r="C12" s="5" t="e">
        <f>VLOOKUP($A$1,#REF!,$A12+4,0)</f>
        <v>#REF!</v>
      </c>
      <c r="D12" s="5" t="e">
        <f>VLOOKUP($A$1,#REF!,$A12+4,0)</f>
        <v>#REF!</v>
      </c>
      <c r="E12" s="5" t="e">
        <f>VLOOKUP($A$1,#REF!,$A12+4,0)</f>
        <v>#REF!</v>
      </c>
      <c r="F12" s="5" t="e">
        <f>VLOOKUP($A$1,#REF!,$A12+4,0)</f>
        <v>#REF!</v>
      </c>
      <c r="G12" s="5" t="e">
        <f>VLOOKUP($A$1,#REF!,$A12+4,0)</f>
        <v>#REF!</v>
      </c>
      <c r="H12" s="5" t="e">
        <f>VLOOKUP($A$1,#REF!,$A12+4,0)</f>
        <v>#REF!</v>
      </c>
      <c r="I12" s="5" t="e">
        <f>VLOOKUP($A$1,#REF!,$A12+4,0)</f>
        <v>#REF!</v>
      </c>
      <c r="J12" s="5" t="e">
        <f>VLOOKUP($A$1,#REF!,$A12+4,0)</f>
        <v>#REF!</v>
      </c>
      <c r="K12" s="5" t="e">
        <f>VLOOKUP($A$1,#REF!,$A12+4,0)</f>
        <v>#REF!</v>
      </c>
      <c r="L12" s="5" t="e">
        <f>VLOOKUP($A$1,#REF!,$A12+4,0)</f>
        <v>#REF!</v>
      </c>
      <c r="M12" s="5" t="e">
        <f>VLOOKUP($A$1,#REF!,$A12+4,0)</f>
        <v>#REF!</v>
      </c>
      <c r="N12" s="5" t="e">
        <f>VLOOKUP($A$1,#REF!,$A12+4,0)</f>
        <v>#REF!</v>
      </c>
      <c r="O12" s="5" t="e">
        <f>VLOOKUP($A$1,#REF!,$A12+4,0)</f>
        <v>#REF!</v>
      </c>
      <c r="P12" s="5" t="e">
        <f>VLOOKUP($A$1,#REF!,$A12+4,0)</f>
        <v>#REF!</v>
      </c>
      <c r="Q12" s="5" t="e">
        <f>VLOOKUP($A$1,#REF!,$A12+4,0)</f>
        <v>#REF!</v>
      </c>
      <c r="R12" s="5" t="e">
        <f>VLOOKUP($A$1,#REF!,$A12+4,0)</f>
        <v>#REF!</v>
      </c>
      <c r="S12" s="5" t="e">
        <f>VLOOKUP($A$1,#REF!,$A12+4,0)</f>
        <v>#REF!</v>
      </c>
      <c r="T12" s="5" t="e">
        <f>VLOOKUP($A$1,#REF!,$A12+4,0)</f>
        <v>#REF!</v>
      </c>
      <c r="U12" s="5" t="e">
        <f>VLOOKUP($A$1,#REF!,$A12+4,0)</f>
        <v>#REF!</v>
      </c>
      <c r="V12" s="5" t="e">
        <f>VLOOKUP($A$1,#REF!,$A12+4,0)</f>
        <v>#REF!</v>
      </c>
      <c r="W12" s="5" t="e">
        <f>VLOOKUP($A$1,#REF!,$A12+4,0)</f>
        <v>#REF!</v>
      </c>
      <c r="X12" s="5" t="e">
        <f>VLOOKUP($A$1,#REF!,$A12+4,0)</f>
        <v>#REF!</v>
      </c>
      <c r="Y12" s="5" t="e">
        <f>VLOOKUP($A$1,#REF!,$A12+4,0)</f>
        <v>#REF!</v>
      </c>
      <c r="Z12" s="5" t="e">
        <f>VLOOKUP($A$1,#REF!,$A12+4,0)</f>
        <v>#REF!</v>
      </c>
      <c r="AA12" s="5" t="e">
        <f>VLOOKUP($A$1,#REF!,$A12+4,0)</f>
        <v>#REF!</v>
      </c>
      <c r="AB12" s="5" t="e">
        <f>VLOOKUP($A$1,#REF!,$A12+4,0)</f>
        <v>#REF!</v>
      </c>
      <c r="AC12" s="5" t="e">
        <f>VLOOKUP($A$1,#REF!,$A12+4,0)</f>
        <v>#REF!</v>
      </c>
      <c r="AD12" s="5" t="e">
        <f>VLOOKUP($A$1,#REF!,$A12+4,0)</f>
        <v>#REF!</v>
      </c>
      <c r="AE12" s="5" t="e">
        <f>VLOOKUP($A$1,#REF!,$A12+4,0)</f>
        <v>#REF!</v>
      </c>
      <c r="AF12" s="5" t="e">
        <f>VLOOKUP($A$1,#REF!,$A12+4,0)</f>
        <v>#REF!</v>
      </c>
      <c r="AG12" s="5" t="e">
        <f>VLOOKUP($A$1,#REF!,$A12+4,0)</f>
        <v>#REF!</v>
      </c>
      <c r="AH12" s="5" t="e">
        <f>VLOOKUP($A$1,#REF!,$A12+4,0)</f>
        <v>#REF!</v>
      </c>
      <c r="AI12" s="5" t="e">
        <f>VLOOKUP($A$1,#REF!,$A12+4,0)</f>
        <v>#REF!</v>
      </c>
      <c r="AJ12" s="5" t="e">
        <f>VLOOKUP($A$1,#REF!,$A12+4,0)</f>
        <v>#REF!</v>
      </c>
      <c r="AK12" s="5" t="e">
        <f>VLOOKUP($A$1,#REF!,$A12+4,0)</f>
        <v>#REF!</v>
      </c>
    </row>
    <row r="13" spans="1:37" x14ac:dyDescent="0.25">
      <c r="A13" s="4">
        <v>11</v>
      </c>
      <c r="B13" s="5" t="e">
        <f>VLOOKUP($A$1,#REF!,$A13+4,0)</f>
        <v>#REF!</v>
      </c>
      <c r="C13" s="5" t="e">
        <f>VLOOKUP($A$1,#REF!,$A13+4,0)</f>
        <v>#REF!</v>
      </c>
      <c r="D13" s="5" t="e">
        <f>VLOOKUP($A$1,#REF!,$A13+4,0)</f>
        <v>#REF!</v>
      </c>
      <c r="E13" s="5" t="e">
        <f>VLOOKUP($A$1,#REF!,$A13+4,0)</f>
        <v>#REF!</v>
      </c>
      <c r="F13" s="5" t="e">
        <f>VLOOKUP($A$1,#REF!,$A13+4,0)</f>
        <v>#REF!</v>
      </c>
      <c r="G13" s="5" t="e">
        <f>VLOOKUP($A$1,#REF!,$A13+4,0)</f>
        <v>#REF!</v>
      </c>
      <c r="H13" s="5" t="e">
        <f>VLOOKUP($A$1,#REF!,$A13+4,0)</f>
        <v>#REF!</v>
      </c>
      <c r="I13" s="5" t="e">
        <f>VLOOKUP($A$1,#REF!,$A13+4,0)</f>
        <v>#REF!</v>
      </c>
      <c r="J13" s="5" t="e">
        <f>VLOOKUP($A$1,#REF!,$A13+4,0)</f>
        <v>#REF!</v>
      </c>
      <c r="K13" s="5" t="e">
        <f>VLOOKUP($A$1,#REF!,$A13+4,0)</f>
        <v>#REF!</v>
      </c>
      <c r="L13" s="5" t="e">
        <f>VLOOKUP($A$1,#REF!,$A13+4,0)</f>
        <v>#REF!</v>
      </c>
      <c r="M13" s="5" t="e">
        <f>VLOOKUP($A$1,#REF!,$A13+4,0)</f>
        <v>#REF!</v>
      </c>
      <c r="N13" s="5" t="e">
        <f>VLOOKUP($A$1,#REF!,$A13+4,0)</f>
        <v>#REF!</v>
      </c>
      <c r="O13" s="5" t="e">
        <f>VLOOKUP($A$1,#REF!,$A13+4,0)</f>
        <v>#REF!</v>
      </c>
      <c r="P13" s="5" t="e">
        <f>VLOOKUP($A$1,#REF!,$A13+4,0)</f>
        <v>#REF!</v>
      </c>
      <c r="Q13" s="5" t="e">
        <f>VLOOKUP($A$1,#REF!,$A13+4,0)</f>
        <v>#REF!</v>
      </c>
      <c r="R13" s="5" t="e">
        <f>VLOOKUP($A$1,#REF!,$A13+4,0)</f>
        <v>#REF!</v>
      </c>
      <c r="S13" s="5" t="e">
        <f>VLOOKUP($A$1,#REF!,$A13+4,0)</f>
        <v>#REF!</v>
      </c>
      <c r="T13" s="5" t="e">
        <f>VLOOKUP($A$1,#REF!,$A13+4,0)</f>
        <v>#REF!</v>
      </c>
      <c r="U13" s="5" t="e">
        <f>VLOOKUP($A$1,#REF!,$A13+4,0)</f>
        <v>#REF!</v>
      </c>
      <c r="V13" s="5" t="e">
        <f>VLOOKUP($A$1,#REF!,$A13+4,0)</f>
        <v>#REF!</v>
      </c>
      <c r="W13" s="5" t="e">
        <f>VLOOKUP($A$1,#REF!,$A13+4,0)</f>
        <v>#REF!</v>
      </c>
      <c r="X13" s="5" t="e">
        <f>VLOOKUP($A$1,#REF!,$A13+4,0)</f>
        <v>#REF!</v>
      </c>
      <c r="Y13" s="5" t="e">
        <f>VLOOKUP($A$1,#REF!,$A13+4,0)</f>
        <v>#REF!</v>
      </c>
      <c r="Z13" s="5" t="e">
        <f>VLOOKUP($A$1,#REF!,$A13+4,0)</f>
        <v>#REF!</v>
      </c>
      <c r="AA13" s="5" t="e">
        <f>VLOOKUP($A$1,#REF!,$A13+4,0)</f>
        <v>#REF!</v>
      </c>
      <c r="AB13" s="5" t="e">
        <f>VLOOKUP($A$1,#REF!,$A13+4,0)</f>
        <v>#REF!</v>
      </c>
      <c r="AC13" s="5" t="e">
        <f>VLOOKUP($A$1,#REF!,$A13+4,0)</f>
        <v>#REF!</v>
      </c>
      <c r="AD13" s="5" t="e">
        <f>VLOOKUP($A$1,#REF!,$A13+4,0)</f>
        <v>#REF!</v>
      </c>
      <c r="AE13" s="5" t="e">
        <f>VLOOKUP($A$1,#REF!,$A13+4,0)</f>
        <v>#REF!</v>
      </c>
      <c r="AF13" s="5" t="e">
        <f>VLOOKUP($A$1,#REF!,$A13+4,0)</f>
        <v>#REF!</v>
      </c>
      <c r="AG13" s="5" t="e">
        <f>VLOOKUP($A$1,#REF!,$A13+4,0)</f>
        <v>#REF!</v>
      </c>
      <c r="AH13" s="5" t="e">
        <f>VLOOKUP($A$1,#REF!,$A13+4,0)</f>
        <v>#REF!</v>
      </c>
      <c r="AI13" s="5" t="e">
        <f>VLOOKUP($A$1,#REF!,$A13+4,0)</f>
        <v>#REF!</v>
      </c>
      <c r="AJ13" s="5" t="e">
        <f>VLOOKUP($A$1,#REF!,$A13+4,0)</f>
        <v>#REF!</v>
      </c>
      <c r="AK13" s="5" t="e">
        <f>VLOOKUP($A$1,#REF!,$A13+4,0)</f>
        <v>#REF!</v>
      </c>
    </row>
    <row r="14" spans="1:37" x14ac:dyDescent="0.25">
      <c r="A14" s="4">
        <v>12</v>
      </c>
      <c r="B14" s="5" t="e">
        <f>VLOOKUP($A$1,#REF!,$A14+4,0)</f>
        <v>#REF!</v>
      </c>
      <c r="C14" s="5" t="e">
        <f>VLOOKUP($A$1,#REF!,$A14+4,0)</f>
        <v>#REF!</v>
      </c>
      <c r="D14" s="5" t="e">
        <f>VLOOKUP($A$1,#REF!,$A14+4,0)</f>
        <v>#REF!</v>
      </c>
      <c r="E14" s="5" t="e">
        <f>VLOOKUP($A$1,#REF!,$A14+4,0)</f>
        <v>#REF!</v>
      </c>
      <c r="F14" s="5" t="e">
        <f>VLOOKUP($A$1,#REF!,$A14+4,0)</f>
        <v>#REF!</v>
      </c>
      <c r="G14" s="5" t="e">
        <f>VLOOKUP($A$1,#REF!,$A14+4,0)</f>
        <v>#REF!</v>
      </c>
      <c r="H14" s="5" t="e">
        <f>VLOOKUP($A$1,#REF!,$A14+4,0)</f>
        <v>#REF!</v>
      </c>
      <c r="I14" s="5" t="e">
        <f>VLOOKUP($A$1,#REF!,$A14+4,0)</f>
        <v>#REF!</v>
      </c>
      <c r="J14" s="5" t="e">
        <f>VLOOKUP($A$1,#REF!,$A14+4,0)</f>
        <v>#REF!</v>
      </c>
      <c r="K14" s="5" t="e">
        <f>VLOOKUP($A$1,#REF!,$A14+4,0)</f>
        <v>#REF!</v>
      </c>
      <c r="L14" s="5" t="e">
        <f>VLOOKUP($A$1,#REF!,$A14+4,0)</f>
        <v>#REF!</v>
      </c>
      <c r="M14" s="5" t="e">
        <f>VLOOKUP($A$1,#REF!,$A14+4,0)</f>
        <v>#REF!</v>
      </c>
      <c r="N14" s="5" t="e">
        <f>VLOOKUP($A$1,#REF!,$A14+4,0)</f>
        <v>#REF!</v>
      </c>
      <c r="O14" s="5" t="e">
        <f>VLOOKUP($A$1,#REF!,$A14+4,0)</f>
        <v>#REF!</v>
      </c>
      <c r="P14" s="5" t="e">
        <f>VLOOKUP($A$1,#REF!,$A14+4,0)</f>
        <v>#REF!</v>
      </c>
      <c r="Q14" s="5" t="e">
        <f>VLOOKUP($A$1,#REF!,$A14+4,0)</f>
        <v>#REF!</v>
      </c>
      <c r="R14" s="5" t="e">
        <f>VLOOKUP($A$1,#REF!,$A14+4,0)</f>
        <v>#REF!</v>
      </c>
      <c r="S14" s="5" t="e">
        <f>VLOOKUP($A$1,#REF!,$A14+4,0)</f>
        <v>#REF!</v>
      </c>
      <c r="T14" s="5" t="e">
        <f>VLOOKUP($A$1,#REF!,$A14+4,0)</f>
        <v>#REF!</v>
      </c>
      <c r="U14" s="5" t="e">
        <f>VLOOKUP($A$1,#REF!,$A14+4,0)</f>
        <v>#REF!</v>
      </c>
      <c r="V14" s="5" t="e">
        <f>VLOOKUP($A$1,#REF!,$A14+4,0)</f>
        <v>#REF!</v>
      </c>
      <c r="W14" s="5" t="e">
        <f>VLOOKUP($A$1,#REF!,$A14+4,0)</f>
        <v>#REF!</v>
      </c>
      <c r="X14" s="5" t="e">
        <f>VLOOKUP($A$1,#REF!,$A14+4,0)</f>
        <v>#REF!</v>
      </c>
      <c r="Y14" s="5" t="e">
        <f>VLOOKUP($A$1,#REF!,$A14+4,0)</f>
        <v>#REF!</v>
      </c>
      <c r="Z14" s="5" t="e">
        <f>VLOOKUP($A$1,#REF!,$A14+4,0)</f>
        <v>#REF!</v>
      </c>
      <c r="AA14" s="5" t="e">
        <f>VLOOKUP($A$1,#REF!,$A14+4,0)</f>
        <v>#REF!</v>
      </c>
      <c r="AB14" s="5" t="e">
        <f>VLOOKUP($A$1,#REF!,$A14+4,0)</f>
        <v>#REF!</v>
      </c>
      <c r="AC14" s="5" t="e">
        <f>VLOOKUP($A$1,#REF!,$A14+4,0)</f>
        <v>#REF!</v>
      </c>
      <c r="AD14" s="5" t="e">
        <f>VLOOKUP($A$1,#REF!,$A14+4,0)</f>
        <v>#REF!</v>
      </c>
      <c r="AE14" s="5" t="e">
        <f>VLOOKUP($A$1,#REF!,$A14+4,0)</f>
        <v>#REF!</v>
      </c>
      <c r="AF14" s="5" t="e">
        <f>VLOOKUP($A$1,#REF!,$A14+4,0)</f>
        <v>#REF!</v>
      </c>
      <c r="AG14" s="5" t="e">
        <f>VLOOKUP($A$1,#REF!,$A14+4,0)</f>
        <v>#REF!</v>
      </c>
      <c r="AH14" s="5" t="e">
        <f>VLOOKUP($A$1,#REF!,$A14+4,0)</f>
        <v>#REF!</v>
      </c>
      <c r="AI14" s="5" t="e">
        <f>VLOOKUP($A$1,#REF!,$A14+4,0)</f>
        <v>#REF!</v>
      </c>
      <c r="AJ14" s="5" t="e">
        <f>VLOOKUP($A$1,#REF!,$A14+4,0)</f>
        <v>#REF!</v>
      </c>
      <c r="AK14" s="5" t="e">
        <f>VLOOKUP($A$1,#REF!,$A14+4,0)</f>
        <v>#REF!</v>
      </c>
    </row>
    <row r="15" spans="1:37" x14ac:dyDescent="0.25">
      <c r="A15" s="4">
        <v>13</v>
      </c>
      <c r="B15" s="5" t="e">
        <f>VLOOKUP($A$1,#REF!,$A15+4,0)</f>
        <v>#REF!</v>
      </c>
      <c r="C15" s="5" t="e">
        <f>VLOOKUP($A$1,#REF!,$A15+4,0)</f>
        <v>#REF!</v>
      </c>
      <c r="D15" s="5" t="e">
        <f>VLOOKUP($A$1,#REF!,$A15+4,0)</f>
        <v>#REF!</v>
      </c>
      <c r="E15" s="5" t="e">
        <f>VLOOKUP($A$1,#REF!,$A15+4,0)</f>
        <v>#REF!</v>
      </c>
      <c r="F15" s="5" t="e">
        <f>VLOOKUP($A$1,#REF!,$A15+4,0)</f>
        <v>#REF!</v>
      </c>
      <c r="G15" s="5" t="e">
        <f>VLOOKUP($A$1,#REF!,$A15+4,0)</f>
        <v>#REF!</v>
      </c>
      <c r="H15" s="5" t="e">
        <f>VLOOKUP($A$1,#REF!,$A15+4,0)</f>
        <v>#REF!</v>
      </c>
      <c r="I15" s="5" t="e">
        <f>VLOOKUP($A$1,#REF!,$A15+4,0)</f>
        <v>#REF!</v>
      </c>
      <c r="J15" s="5" t="e">
        <f>VLOOKUP($A$1,#REF!,$A15+4,0)</f>
        <v>#REF!</v>
      </c>
      <c r="K15" s="5" t="e">
        <f>VLOOKUP($A$1,#REF!,$A15+4,0)</f>
        <v>#REF!</v>
      </c>
      <c r="L15" s="5" t="e">
        <f>VLOOKUP($A$1,#REF!,$A15+4,0)</f>
        <v>#REF!</v>
      </c>
      <c r="M15" s="5" t="e">
        <f>VLOOKUP($A$1,#REF!,$A15+4,0)</f>
        <v>#REF!</v>
      </c>
      <c r="N15" s="5" t="e">
        <f>VLOOKUP($A$1,#REF!,$A15+4,0)</f>
        <v>#REF!</v>
      </c>
      <c r="O15" s="5" t="e">
        <f>VLOOKUP($A$1,#REF!,$A15+4,0)</f>
        <v>#REF!</v>
      </c>
      <c r="P15" s="5" t="e">
        <f>VLOOKUP($A$1,#REF!,$A15+4,0)</f>
        <v>#REF!</v>
      </c>
      <c r="Q15" s="5" t="e">
        <f>VLOOKUP($A$1,#REF!,$A15+4,0)</f>
        <v>#REF!</v>
      </c>
      <c r="R15" s="5" t="e">
        <f>VLOOKUP($A$1,#REF!,$A15+4,0)</f>
        <v>#REF!</v>
      </c>
      <c r="S15" s="5" t="e">
        <f>VLOOKUP($A$1,#REF!,$A15+4,0)</f>
        <v>#REF!</v>
      </c>
      <c r="T15" s="5" t="e">
        <f>VLOOKUP($A$1,#REF!,$A15+4,0)</f>
        <v>#REF!</v>
      </c>
      <c r="U15" s="5" t="e">
        <f>VLOOKUP($A$1,#REF!,$A15+4,0)</f>
        <v>#REF!</v>
      </c>
      <c r="V15" s="5" t="e">
        <f>VLOOKUP($A$1,#REF!,$A15+4,0)</f>
        <v>#REF!</v>
      </c>
      <c r="W15" s="5" t="e">
        <f>VLOOKUP($A$1,#REF!,$A15+4,0)</f>
        <v>#REF!</v>
      </c>
      <c r="X15" s="5" t="e">
        <f>VLOOKUP($A$1,#REF!,$A15+4,0)</f>
        <v>#REF!</v>
      </c>
      <c r="Y15" s="5" t="e">
        <f>VLOOKUP($A$1,#REF!,$A15+4,0)</f>
        <v>#REF!</v>
      </c>
      <c r="Z15" s="5" t="e">
        <f>VLOOKUP($A$1,#REF!,$A15+4,0)</f>
        <v>#REF!</v>
      </c>
      <c r="AA15" s="5" t="e">
        <f>VLOOKUP($A$1,#REF!,$A15+4,0)</f>
        <v>#REF!</v>
      </c>
      <c r="AB15" s="5" t="e">
        <f>VLOOKUP($A$1,#REF!,$A15+4,0)</f>
        <v>#REF!</v>
      </c>
      <c r="AC15" s="5" t="e">
        <f>VLOOKUP($A$1,#REF!,$A15+4,0)</f>
        <v>#REF!</v>
      </c>
      <c r="AD15" s="5" t="e">
        <f>VLOOKUP($A$1,#REF!,$A15+4,0)</f>
        <v>#REF!</v>
      </c>
      <c r="AE15" s="5" t="e">
        <f>VLOOKUP($A$1,#REF!,$A15+4,0)</f>
        <v>#REF!</v>
      </c>
      <c r="AF15" s="5" t="e">
        <f>VLOOKUP($A$1,#REF!,$A15+4,0)</f>
        <v>#REF!</v>
      </c>
      <c r="AG15" s="5" t="e">
        <f>VLOOKUP($A$1,#REF!,$A15+4,0)</f>
        <v>#REF!</v>
      </c>
      <c r="AH15" s="5" t="e">
        <f>VLOOKUP($A$1,#REF!,$A15+4,0)</f>
        <v>#REF!</v>
      </c>
      <c r="AI15" s="5" t="e">
        <f>VLOOKUP($A$1,#REF!,$A15+4,0)</f>
        <v>#REF!</v>
      </c>
      <c r="AJ15" s="5" t="e">
        <f>VLOOKUP($A$1,#REF!,$A15+4,0)</f>
        <v>#REF!</v>
      </c>
      <c r="AK15" s="5" t="e">
        <f>VLOOKUP($A$1,#REF!,$A15+4,0)</f>
        <v>#REF!</v>
      </c>
    </row>
    <row r="16" spans="1:37" x14ac:dyDescent="0.25">
      <c r="A16" s="4">
        <v>14</v>
      </c>
      <c r="B16" s="5" t="e">
        <f>VLOOKUP($A$1,#REF!,$A16+4,0)</f>
        <v>#REF!</v>
      </c>
      <c r="C16" s="5" t="e">
        <f>VLOOKUP($A$1,#REF!,$A16+4,0)</f>
        <v>#REF!</v>
      </c>
      <c r="D16" s="5" t="e">
        <f>VLOOKUP($A$1,#REF!,$A16+4,0)</f>
        <v>#REF!</v>
      </c>
      <c r="E16" s="5" t="e">
        <f>VLOOKUP($A$1,#REF!,$A16+4,0)</f>
        <v>#REF!</v>
      </c>
      <c r="F16" s="5" t="e">
        <f>VLOOKUP($A$1,#REF!,$A16+4,0)</f>
        <v>#REF!</v>
      </c>
      <c r="G16" s="5" t="e">
        <f>VLOOKUP($A$1,#REF!,$A16+4,0)</f>
        <v>#REF!</v>
      </c>
      <c r="H16" s="5" t="e">
        <f>VLOOKUP($A$1,#REF!,$A16+4,0)</f>
        <v>#REF!</v>
      </c>
      <c r="I16" s="5" t="e">
        <f>VLOOKUP($A$1,#REF!,$A16+4,0)</f>
        <v>#REF!</v>
      </c>
      <c r="J16" s="5" t="e">
        <f>VLOOKUP($A$1,#REF!,$A16+4,0)</f>
        <v>#REF!</v>
      </c>
      <c r="K16" s="5" t="e">
        <f>VLOOKUP($A$1,#REF!,$A16+4,0)</f>
        <v>#REF!</v>
      </c>
      <c r="L16" s="5" t="e">
        <f>VLOOKUP($A$1,#REF!,$A16+4,0)</f>
        <v>#REF!</v>
      </c>
      <c r="M16" s="5" t="e">
        <f>VLOOKUP($A$1,#REF!,$A16+4,0)</f>
        <v>#REF!</v>
      </c>
      <c r="N16" s="5" t="e">
        <f>VLOOKUP($A$1,#REF!,$A16+4,0)</f>
        <v>#REF!</v>
      </c>
      <c r="O16" s="5" t="e">
        <f>VLOOKUP($A$1,#REF!,$A16+4,0)</f>
        <v>#REF!</v>
      </c>
      <c r="P16" s="5" t="e">
        <f>VLOOKUP($A$1,#REF!,$A16+4,0)</f>
        <v>#REF!</v>
      </c>
      <c r="Q16" s="5" t="e">
        <f>VLOOKUP($A$1,#REF!,$A16+4,0)</f>
        <v>#REF!</v>
      </c>
      <c r="R16" s="5" t="e">
        <f>VLOOKUP($A$1,#REF!,$A16+4,0)</f>
        <v>#REF!</v>
      </c>
      <c r="S16" s="5" t="e">
        <f>VLOOKUP($A$1,#REF!,$A16+4,0)</f>
        <v>#REF!</v>
      </c>
      <c r="T16" s="5" t="e">
        <f>VLOOKUP($A$1,#REF!,$A16+4,0)</f>
        <v>#REF!</v>
      </c>
      <c r="U16" s="5" t="e">
        <f>VLOOKUP($A$1,#REF!,$A16+4,0)</f>
        <v>#REF!</v>
      </c>
      <c r="V16" s="5" t="e">
        <f>VLOOKUP($A$1,#REF!,$A16+4,0)</f>
        <v>#REF!</v>
      </c>
      <c r="W16" s="5" t="e">
        <f>VLOOKUP($A$1,#REF!,$A16+4,0)</f>
        <v>#REF!</v>
      </c>
      <c r="X16" s="5" t="e">
        <f>VLOOKUP($A$1,#REF!,$A16+4,0)</f>
        <v>#REF!</v>
      </c>
      <c r="Y16" s="5" t="e">
        <f>VLOOKUP($A$1,#REF!,$A16+4,0)</f>
        <v>#REF!</v>
      </c>
      <c r="Z16" s="5" t="e">
        <f>VLOOKUP($A$1,#REF!,$A16+4,0)</f>
        <v>#REF!</v>
      </c>
      <c r="AA16" s="5" t="e">
        <f>VLOOKUP($A$1,#REF!,$A16+4,0)</f>
        <v>#REF!</v>
      </c>
      <c r="AB16" s="5" t="e">
        <f>VLOOKUP($A$1,#REF!,$A16+4,0)</f>
        <v>#REF!</v>
      </c>
      <c r="AC16" s="5" t="e">
        <f>VLOOKUP($A$1,#REF!,$A16+4,0)</f>
        <v>#REF!</v>
      </c>
      <c r="AD16" s="5" t="e">
        <f>VLOOKUP($A$1,#REF!,$A16+4,0)</f>
        <v>#REF!</v>
      </c>
      <c r="AE16" s="5" t="e">
        <f>VLOOKUP($A$1,#REF!,$A16+4,0)</f>
        <v>#REF!</v>
      </c>
      <c r="AF16" s="5" t="e">
        <f>VLOOKUP($A$1,#REF!,$A16+4,0)</f>
        <v>#REF!</v>
      </c>
      <c r="AG16" s="5" t="e">
        <f>VLOOKUP($A$1,#REF!,$A16+4,0)</f>
        <v>#REF!</v>
      </c>
      <c r="AH16" s="5" t="e">
        <f>VLOOKUP($A$1,#REF!,$A16+4,0)</f>
        <v>#REF!</v>
      </c>
      <c r="AI16" s="5" t="e">
        <f>VLOOKUP($A$1,#REF!,$A16+4,0)</f>
        <v>#REF!</v>
      </c>
      <c r="AJ16" s="5" t="e">
        <f>VLOOKUP($A$1,#REF!,$A16+4,0)</f>
        <v>#REF!</v>
      </c>
      <c r="AK16" s="5" t="e">
        <f>VLOOKUP($A$1,#REF!,$A16+4,0)</f>
        <v>#REF!</v>
      </c>
    </row>
    <row r="17" spans="1:37" x14ac:dyDescent="0.25">
      <c r="A17" s="4">
        <v>15</v>
      </c>
      <c r="B17" s="5" t="e">
        <f>VLOOKUP($A$1,#REF!,$A17+4,0)</f>
        <v>#REF!</v>
      </c>
      <c r="C17" s="5" t="e">
        <f>VLOOKUP($A$1,#REF!,$A17+4,0)</f>
        <v>#REF!</v>
      </c>
      <c r="D17" s="5" t="e">
        <f>VLOOKUP($A$1,#REF!,$A17+4,0)</f>
        <v>#REF!</v>
      </c>
      <c r="E17" s="5" t="e">
        <f>VLOOKUP($A$1,#REF!,$A17+4,0)</f>
        <v>#REF!</v>
      </c>
      <c r="F17" s="5" t="e">
        <f>VLOOKUP($A$1,#REF!,$A17+4,0)</f>
        <v>#REF!</v>
      </c>
      <c r="G17" s="5" t="e">
        <f>VLOOKUP($A$1,#REF!,$A17+4,0)</f>
        <v>#REF!</v>
      </c>
      <c r="H17" s="5" t="e">
        <f>VLOOKUP($A$1,#REF!,$A17+4,0)</f>
        <v>#REF!</v>
      </c>
      <c r="I17" s="5" t="e">
        <f>VLOOKUP($A$1,#REF!,$A17+4,0)</f>
        <v>#REF!</v>
      </c>
      <c r="J17" s="5" t="e">
        <f>VLOOKUP($A$1,#REF!,$A17+4,0)</f>
        <v>#REF!</v>
      </c>
      <c r="K17" s="5" t="e">
        <f>VLOOKUP($A$1,#REF!,$A17+4,0)</f>
        <v>#REF!</v>
      </c>
      <c r="L17" s="5" t="e">
        <f>VLOOKUP($A$1,#REF!,$A17+4,0)</f>
        <v>#REF!</v>
      </c>
      <c r="M17" s="5" t="e">
        <f>VLOOKUP($A$1,#REF!,$A17+4,0)</f>
        <v>#REF!</v>
      </c>
      <c r="N17" s="5" t="e">
        <f>VLOOKUP($A$1,#REF!,$A17+4,0)</f>
        <v>#REF!</v>
      </c>
      <c r="O17" s="5" t="e">
        <f>VLOOKUP($A$1,#REF!,$A17+4,0)</f>
        <v>#REF!</v>
      </c>
      <c r="P17" s="5" t="e">
        <f>VLOOKUP($A$1,#REF!,$A17+4,0)</f>
        <v>#REF!</v>
      </c>
      <c r="Q17" s="5" t="e">
        <f>VLOOKUP($A$1,#REF!,$A17+4,0)</f>
        <v>#REF!</v>
      </c>
      <c r="R17" s="5" t="e">
        <f>VLOOKUP($A$1,#REF!,$A17+4,0)</f>
        <v>#REF!</v>
      </c>
      <c r="S17" s="5" t="e">
        <f>VLOOKUP($A$1,#REF!,$A17+4,0)</f>
        <v>#REF!</v>
      </c>
      <c r="T17" s="5" t="e">
        <f>VLOOKUP($A$1,#REF!,$A17+4,0)</f>
        <v>#REF!</v>
      </c>
      <c r="U17" s="5" t="e">
        <f>VLOOKUP($A$1,#REF!,$A17+4,0)</f>
        <v>#REF!</v>
      </c>
      <c r="V17" s="5" t="e">
        <f>VLOOKUP($A$1,#REF!,$A17+4,0)</f>
        <v>#REF!</v>
      </c>
      <c r="W17" s="5" t="e">
        <f>VLOOKUP($A$1,#REF!,$A17+4,0)</f>
        <v>#REF!</v>
      </c>
      <c r="X17" s="5" t="e">
        <f>VLOOKUP($A$1,#REF!,$A17+4,0)</f>
        <v>#REF!</v>
      </c>
      <c r="Y17" s="5" t="e">
        <f>VLOOKUP($A$1,#REF!,$A17+4,0)</f>
        <v>#REF!</v>
      </c>
      <c r="Z17" s="5" t="e">
        <f>VLOOKUP($A$1,#REF!,$A17+4,0)</f>
        <v>#REF!</v>
      </c>
      <c r="AA17" s="5" t="e">
        <f>VLOOKUP($A$1,#REF!,$A17+4,0)</f>
        <v>#REF!</v>
      </c>
      <c r="AB17" s="5" t="e">
        <f>VLOOKUP($A$1,#REF!,$A17+4,0)</f>
        <v>#REF!</v>
      </c>
      <c r="AC17" s="5" t="e">
        <f>VLOOKUP($A$1,#REF!,$A17+4,0)</f>
        <v>#REF!</v>
      </c>
      <c r="AD17" s="5" t="e">
        <f>VLOOKUP($A$1,#REF!,$A17+4,0)</f>
        <v>#REF!</v>
      </c>
      <c r="AE17" s="5" t="e">
        <f>VLOOKUP($A$1,#REF!,$A17+4,0)</f>
        <v>#REF!</v>
      </c>
      <c r="AF17" s="5" t="e">
        <f>VLOOKUP($A$1,#REF!,$A17+4,0)</f>
        <v>#REF!</v>
      </c>
      <c r="AG17" s="5" t="e">
        <f>VLOOKUP($A$1,#REF!,$A17+4,0)</f>
        <v>#REF!</v>
      </c>
      <c r="AH17" s="5" t="e">
        <f>VLOOKUP($A$1,#REF!,$A17+4,0)</f>
        <v>#REF!</v>
      </c>
      <c r="AI17" s="5" t="e">
        <f>VLOOKUP($A$1,#REF!,$A17+4,0)</f>
        <v>#REF!</v>
      </c>
      <c r="AJ17" s="5" t="e">
        <f>VLOOKUP($A$1,#REF!,$A17+4,0)</f>
        <v>#REF!</v>
      </c>
      <c r="AK17" s="5" t="e">
        <f>VLOOKUP($A$1,#REF!,$A17+4,0)</f>
        <v>#REF!</v>
      </c>
    </row>
    <row r="18" spans="1:37" x14ac:dyDescent="0.25">
      <c r="A18" s="4">
        <v>16</v>
      </c>
      <c r="B18" s="5" t="e">
        <f>VLOOKUP($A$1,#REF!,$A18+4,0)</f>
        <v>#REF!</v>
      </c>
      <c r="C18" s="5" t="e">
        <f>VLOOKUP($A$1,#REF!,$A18+4,0)</f>
        <v>#REF!</v>
      </c>
      <c r="D18" s="5" t="e">
        <f>VLOOKUP($A$1,#REF!,$A18+4,0)</f>
        <v>#REF!</v>
      </c>
      <c r="E18" s="5" t="e">
        <f>VLOOKUP($A$1,#REF!,$A18+4,0)</f>
        <v>#REF!</v>
      </c>
      <c r="F18" s="5" t="e">
        <f>VLOOKUP($A$1,#REF!,$A18+4,0)</f>
        <v>#REF!</v>
      </c>
      <c r="G18" s="5" t="e">
        <f>VLOOKUP($A$1,#REF!,$A18+4,0)</f>
        <v>#REF!</v>
      </c>
      <c r="H18" s="5" t="e">
        <f>VLOOKUP($A$1,#REF!,$A18+4,0)</f>
        <v>#REF!</v>
      </c>
      <c r="I18" s="5" t="e">
        <f>VLOOKUP($A$1,#REF!,$A18+4,0)</f>
        <v>#REF!</v>
      </c>
      <c r="J18" s="5" t="e">
        <f>VLOOKUP($A$1,#REF!,$A18+4,0)</f>
        <v>#REF!</v>
      </c>
      <c r="K18" s="5" t="e">
        <f>VLOOKUP($A$1,#REF!,$A18+4,0)</f>
        <v>#REF!</v>
      </c>
      <c r="L18" s="5" t="e">
        <f>VLOOKUP($A$1,#REF!,$A18+4,0)</f>
        <v>#REF!</v>
      </c>
      <c r="M18" s="5" t="e">
        <f>VLOOKUP($A$1,#REF!,$A18+4,0)</f>
        <v>#REF!</v>
      </c>
      <c r="N18" s="5" t="e">
        <f>VLOOKUP($A$1,#REF!,$A18+4,0)</f>
        <v>#REF!</v>
      </c>
      <c r="O18" s="5" t="e">
        <f>VLOOKUP($A$1,#REF!,$A18+4,0)</f>
        <v>#REF!</v>
      </c>
      <c r="P18" s="5" t="e">
        <f>VLOOKUP($A$1,#REF!,$A18+4,0)</f>
        <v>#REF!</v>
      </c>
      <c r="Q18" s="5" t="e">
        <f>VLOOKUP($A$1,#REF!,$A18+4,0)</f>
        <v>#REF!</v>
      </c>
      <c r="R18" s="5" t="e">
        <f>VLOOKUP($A$1,#REF!,$A18+4,0)</f>
        <v>#REF!</v>
      </c>
      <c r="S18" s="5" t="e">
        <f>VLOOKUP($A$1,#REF!,$A18+4,0)</f>
        <v>#REF!</v>
      </c>
      <c r="T18" s="5" t="e">
        <f>VLOOKUP($A$1,#REF!,$A18+4,0)</f>
        <v>#REF!</v>
      </c>
      <c r="U18" s="5" t="e">
        <f>VLOOKUP($A$1,#REF!,$A18+4,0)</f>
        <v>#REF!</v>
      </c>
      <c r="V18" s="5" t="e">
        <f>VLOOKUP($A$1,#REF!,$A18+4,0)</f>
        <v>#REF!</v>
      </c>
      <c r="W18" s="5" t="e">
        <f>VLOOKUP($A$1,#REF!,$A18+4,0)</f>
        <v>#REF!</v>
      </c>
      <c r="X18" s="5" t="e">
        <f>VLOOKUP($A$1,#REF!,$A18+4,0)</f>
        <v>#REF!</v>
      </c>
      <c r="Y18" s="5" t="e">
        <f>VLOOKUP($A$1,#REF!,$A18+4,0)</f>
        <v>#REF!</v>
      </c>
      <c r="Z18" s="5" t="e">
        <f>VLOOKUP($A$1,#REF!,$A18+4,0)</f>
        <v>#REF!</v>
      </c>
      <c r="AA18" s="5" t="e">
        <f>VLOOKUP($A$1,#REF!,$A18+4,0)</f>
        <v>#REF!</v>
      </c>
      <c r="AB18" s="5" t="e">
        <f>VLOOKUP($A$1,#REF!,$A18+4,0)</f>
        <v>#REF!</v>
      </c>
      <c r="AC18" s="5" t="e">
        <f>VLOOKUP($A$1,#REF!,$A18+4,0)</f>
        <v>#REF!</v>
      </c>
      <c r="AD18" s="5" t="e">
        <f>VLOOKUP($A$1,#REF!,$A18+4,0)</f>
        <v>#REF!</v>
      </c>
      <c r="AE18" s="5" t="e">
        <f>VLOOKUP($A$1,#REF!,$A18+4,0)</f>
        <v>#REF!</v>
      </c>
      <c r="AF18" s="5" t="e">
        <f>VLOOKUP($A$1,#REF!,$A18+4,0)</f>
        <v>#REF!</v>
      </c>
      <c r="AG18" s="5" t="e">
        <f>VLOOKUP($A$1,#REF!,$A18+4,0)</f>
        <v>#REF!</v>
      </c>
      <c r="AH18" s="5" t="e">
        <f>VLOOKUP($A$1,#REF!,$A18+4,0)</f>
        <v>#REF!</v>
      </c>
      <c r="AI18" s="5" t="e">
        <f>VLOOKUP($A$1,#REF!,$A18+4,0)</f>
        <v>#REF!</v>
      </c>
      <c r="AJ18" s="5" t="e">
        <f>VLOOKUP($A$1,#REF!,$A18+4,0)</f>
        <v>#REF!</v>
      </c>
      <c r="AK18" s="5" t="e">
        <f>VLOOKUP($A$1,#REF!,$A18+4,0)</f>
        <v>#REF!</v>
      </c>
    </row>
    <row r="19" spans="1:37" x14ac:dyDescent="0.25">
      <c r="A19" s="4">
        <v>17</v>
      </c>
      <c r="B19" s="5" t="e">
        <f>VLOOKUP($A$1,#REF!,$A19+4,0)</f>
        <v>#REF!</v>
      </c>
      <c r="C19" s="5" t="e">
        <f>VLOOKUP($A$1,#REF!,$A19+4,0)</f>
        <v>#REF!</v>
      </c>
      <c r="D19" s="5" t="e">
        <f>VLOOKUP($A$1,#REF!,$A19+4,0)</f>
        <v>#REF!</v>
      </c>
      <c r="E19" s="5" t="e">
        <f>VLOOKUP($A$1,#REF!,$A19+4,0)</f>
        <v>#REF!</v>
      </c>
      <c r="F19" s="5" t="e">
        <f>VLOOKUP($A$1,#REF!,$A19+4,0)</f>
        <v>#REF!</v>
      </c>
      <c r="G19" s="5" t="e">
        <f>VLOOKUP($A$1,#REF!,$A19+4,0)</f>
        <v>#REF!</v>
      </c>
      <c r="H19" s="5" t="e">
        <f>VLOOKUP($A$1,#REF!,$A19+4,0)</f>
        <v>#REF!</v>
      </c>
      <c r="I19" s="5" t="e">
        <f>VLOOKUP($A$1,#REF!,$A19+4,0)</f>
        <v>#REF!</v>
      </c>
      <c r="J19" s="5" t="e">
        <f>VLOOKUP($A$1,#REF!,$A19+4,0)</f>
        <v>#REF!</v>
      </c>
      <c r="K19" s="5" t="e">
        <f>VLOOKUP($A$1,#REF!,$A19+4,0)</f>
        <v>#REF!</v>
      </c>
      <c r="L19" s="5" t="e">
        <f>VLOOKUP($A$1,#REF!,$A19+4,0)</f>
        <v>#REF!</v>
      </c>
      <c r="M19" s="5" t="e">
        <f>VLOOKUP($A$1,#REF!,$A19+4,0)</f>
        <v>#REF!</v>
      </c>
      <c r="N19" s="5" t="e">
        <f>VLOOKUP($A$1,#REF!,$A19+4,0)</f>
        <v>#REF!</v>
      </c>
      <c r="O19" s="5" t="e">
        <f>VLOOKUP($A$1,#REF!,$A19+4,0)</f>
        <v>#REF!</v>
      </c>
      <c r="P19" s="5" t="e">
        <f>VLOOKUP($A$1,#REF!,$A19+4,0)</f>
        <v>#REF!</v>
      </c>
      <c r="Q19" s="5" t="e">
        <f>VLOOKUP($A$1,#REF!,$A19+4,0)</f>
        <v>#REF!</v>
      </c>
      <c r="R19" s="5" t="e">
        <f>VLOOKUP($A$1,#REF!,$A19+4,0)</f>
        <v>#REF!</v>
      </c>
      <c r="S19" s="5" t="e">
        <f>VLOOKUP($A$1,#REF!,$A19+4,0)</f>
        <v>#REF!</v>
      </c>
      <c r="T19" s="5" t="e">
        <f>VLOOKUP($A$1,#REF!,$A19+4,0)</f>
        <v>#REF!</v>
      </c>
      <c r="U19" s="5" t="e">
        <f>VLOOKUP($A$1,#REF!,$A19+4,0)</f>
        <v>#REF!</v>
      </c>
      <c r="V19" s="5" t="e">
        <f>VLOOKUP($A$1,#REF!,$A19+4,0)</f>
        <v>#REF!</v>
      </c>
      <c r="W19" s="5" t="e">
        <f>VLOOKUP($A$1,#REF!,$A19+4,0)</f>
        <v>#REF!</v>
      </c>
      <c r="X19" s="5" t="e">
        <f>VLOOKUP($A$1,#REF!,$A19+4,0)</f>
        <v>#REF!</v>
      </c>
      <c r="Y19" s="5" t="e">
        <f>VLOOKUP($A$1,#REF!,$A19+4,0)</f>
        <v>#REF!</v>
      </c>
      <c r="Z19" s="5" t="e">
        <f>VLOOKUP($A$1,#REF!,$A19+4,0)</f>
        <v>#REF!</v>
      </c>
      <c r="AA19" s="5" t="e">
        <f>VLOOKUP($A$1,#REF!,$A19+4,0)</f>
        <v>#REF!</v>
      </c>
      <c r="AB19" s="5" t="e">
        <f>VLOOKUP($A$1,#REF!,$A19+4,0)</f>
        <v>#REF!</v>
      </c>
      <c r="AC19" s="5" t="e">
        <f>VLOOKUP($A$1,#REF!,$A19+4,0)</f>
        <v>#REF!</v>
      </c>
      <c r="AD19" s="5" t="e">
        <f>VLOOKUP($A$1,#REF!,$A19+4,0)</f>
        <v>#REF!</v>
      </c>
      <c r="AE19" s="5" t="e">
        <f>VLOOKUP($A$1,#REF!,$A19+4,0)</f>
        <v>#REF!</v>
      </c>
      <c r="AF19" s="5" t="e">
        <f>VLOOKUP($A$1,#REF!,$A19+4,0)</f>
        <v>#REF!</v>
      </c>
      <c r="AG19" s="5" t="e">
        <f>VLOOKUP($A$1,#REF!,$A19+4,0)</f>
        <v>#REF!</v>
      </c>
      <c r="AH19" s="5" t="e">
        <f>VLOOKUP($A$1,#REF!,$A19+4,0)</f>
        <v>#REF!</v>
      </c>
      <c r="AI19" s="5" t="e">
        <f>VLOOKUP($A$1,#REF!,$A19+4,0)</f>
        <v>#REF!</v>
      </c>
      <c r="AJ19" s="5" t="e">
        <f>VLOOKUP($A$1,#REF!,$A19+4,0)</f>
        <v>#REF!</v>
      </c>
      <c r="AK19" s="5" t="e">
        <f>VLOOKUP($A$1,#REF!,$A19+4,0)</f>
        <v>#REF!</v>
      </c>
    </row>
    <row r="20" spans="1:37" x14ac:dyDescent="0.25">
      <c r="A20" s="4">
        <v>18</v>
      </c>
      <c r="B20" s="5" t="e">
        <f>VLOOKUP($A$1,#REF!,$A20+4,0)</f>
        <v>#REF!</v>
      </c>
      <c r="C20" s="5" t="e">
        <f>VLOOKUP($A$1,#REF!,$A20+4,0)</f>
        <v>#REF!</v>
      </c>
      <c r="D20" s="5" t="e">
        <f>VLOOKUP($A$1,#REF!,$A20+4,0)</f>
        <v>#REF!</v>
      </c>
      <c r="E20" s="5" t="e">
        <f>VLOOKUP($A$1,#REF!,$A20+4,0)</f>
        <v>#REF!</v>
      </c>
      <c r="F20" s="5" t="e">
        <f>VLOOKUP($A$1,#REF!,$A20+4,0)</f>
        <v>#REF!</v>
      </c>
      <c r="G20" s="5" t="e">
        <f>VLOOKUP($A$1,#REF!,$A20+4,0)</f>
        <v>#REF!</v>
      </c>
      <c r="H20" s="5" t="e">
        <f>VLOOKUP($A$1,#REF!,$A20+4,0)</f>
        <v>#REF!</v>
      </c>
      <c r="I20" s="5" t="e">
        <f>VLOOKUP($A$1,#REF!,$A20+4,0)</f>
        <v>#REF!</v>
      </c>
      <c r="J20" s="5" t="e">
        <f>VLOOKUP($A$1,#REF!,$A20+4,0)</f>
        <v>#REF!</v>
      </c>
      <c r="K20" s="5" t="e">
        <f>VLOOKUP($A$1,#REF!,$A20+4,0)</f>
        <v>#REF!</v>
      </c>
      <c r="L20" s="5" t="e">
        <f>VLOOKUP($A$1,#REF!,$A20+4,0)</f>
        <v>#REF!</v>
      </c>
      <c r="M20" s="5" t="e">
        <f>VLOOKUP($A$1,#REF!,$A20+4,0)</f>
        <v>#REF!</v>
      </c>
      <c r="N20" s="5" t="e">
        <f>VLOOKUP($A$1,#REF!,$A20+4,0)</f>
        <v>#REF!</v>
      </c>
      <c r="O20" s="5" t="e">
        <f>VLOOKUP($A$1,#REF!,$A20+4,0)</f>
        <v>#REF!</v>
      </c>
      <c r="P20" s="5" t="e">
        <f>VLOOKUP($A$1,#REF!,$A20+4,0)</f>
        <v>#REF!</v>
      </c>
      <c r="Q20" s="5" t="e">
        <f>VLOOKUP($A$1,#REF!,$A20+4,0)</f>
        <v>#REF!</v>
      </c>
      <c r="R20" s="5" t="e">
        <f>VLOOKUP($A$1,#REF!,$A20+4,0)</f>
        <v>#REF!</v>
      </c>
      <c r="S20" s="5" t="e">
        <f>VLOOKUP($A$1,#REF!,$A20+4,0)</f>
        <v>#REF!</v>
      </c>
      <c r="T20" s="5" t="e">
        <f>VLOOKUP($A$1,#REF!,$A20+4,0)</f>
        <v>#REF!</v>
      </c>
      <c r="U20" s="5" t="e">
        <f>VLOOKUP($A$1,#REF!,$A20+4,0)</f>
        <v>#REF!</v>
      </c>
      <c r="V20" s="5" t="e">
        <f>VLOOKUP($A$1,#REF!,$A20+4,0)</f>
        <v>#REF!</v>
      </c>
      <c r="W20" s="5" t="e">
        <f>VLOOKUP($A$1,#REF!,$A20+4,0)</f>
        <v>#REF!</v>
      </c>
      <c r="X20" s="5" t="e">
        <f>VLOOKUP($A$1,#REF!,$A20+4,0)</f>
        <v>#REF!</v>
      </c>
      <c r="Y20" s="5" t="e">
        <f>VLOOKUP($A$1,#REF!,$A20+4,0)</f>
        <v>#REF!</v>
      </c>
      <c r="Z20" s="5" t="e">
        <f>VLOOKUP($A$1,#REF!,$A20+4,0)</f>
        <v>#REF!</v>
      </c>
      <c r="AA20" s="5" t="e">
        <f>VLOOKUP($A$1,#REF!,$A20+4,0)</f>
        <v>#REF!</v>
      </c>
      <c r="AB20" s="5" t="e">
        <f>VLOOKUP($A$1,#REF!,$A20+4,0)</f>
        <v>#REF!</v>
      </c>
      <c r="AC20" s="5" t="e">
        <f>VLOOKUP($A$1,#REF!,$A20+4,0)</f>
        <v>#REF!</v>
      </c>
      <c r="AD20" s="5" t="e">
        <f>VLOOKUP($A$1,#REF!,$A20+4,0)</f>
        <v>#REF!</v>
      </c>
      <c r="AE20" s="5" t="e">
        <f>VLOOKUP($A$1,#REF!,$A20+4,0)</f>
        <v>#REF!</v>
      </c>
      <c r="AF20" s="5" t="e">
        <f>VLOOKUP($A$1,#REF!,$A20+4,0)</f>
        <v>#REF!</v>
      </c>
      <c r="AG20" s="5" t="e">
        <f>VLOOKUP($A$1,#REF!,$A20+4,0)</f>
        <v>#REF!</v>
      </c>
      <c r="AH20" s="5" t="e">
        <f>VLOOKUP($A$1,#REF!,$A20+4,0)</f>
        <v>#REF!</v>
      </c>
      <c r="AI20" s="5" t="e">
        <f>VLOOKUP($A$1,#REF!,$A20+4,0)</f>
        <v>#REF!</v>
      </c>
      <c r="AJ20" s="5" t="e">
        <f>VLOOKUP($A$1,#REF!,$A20+4,0)</f>
        <v>#REF!</v>
      </c>
      <c r="AK20" s="5" t="e">
        <f>VLOOKUP($A$1,#REF!,$A20+4,0)</f>
        <v>#REF!</v>
      </c>
    </row>
    <row r="21" spans="1:37" x14ac:dyDescent="0.25">
      <c r="A21" s="4">
        <v>19</v>
      </c>
      <c r="B21" s="5" t="e">
        <f>VLOOKUP($A$1,#REF!,$A21+4,0)</f>
        <v>#REF!</v>
      </c>
      <c r="C21" s="5" t="e">
        <f>VLOOKUP($A$1,#REF!,$A21+4,0)</f>
        <v>#REF!</v>
      </c>
      <c r="D21" s="5" t="e">
        <f>VLOOKUP($A$1,#REF!,$A21+4,0)</f>
        <v>#REF!</v>
      </c>
      <c r="E21" s="5" t="e">
        <f>VLOOKUP($A$1,#REF!,$A21+4,0)</f>
        <v>#REF!</v>
      </c>
      <c r="F21" s="5" t="e">
        <f>VLOOKUP($A$1,#REF!,$A21+4,0)</f>
        <v>#REF!</v>
      </c>
      <c r="G21" s="5" t="e">
        <f>VLOOKUP($A$1,#REF!,$A21+4,0)</f>
        <v>#REF!</v>
      </c>
      <c r="H21" s="5" t="e">
        <f>VLOOKUP($A$1,#REF!,$A21+4,0)</f>
        <v>#REF!</v>
      </c>
      <c r="I21" s="5" t="e">
        <f>VLOOKUP($A$1,#REF!,$A21+4,0)</f>
        <v>#REF!</v>
      </c>
      <c r="J21" s="5" t="e">
        <f>VLOOKUP($A$1,#REF!,$A21+4,0)</f>
        <v>#REF!</v>
      </c>
      <c r="K21" s="5" t="e">
        <f>VLOOKUP($A$1,#REF!,$A21+4,0)</f>
        <v>#REF!</v>
      </c>
      <c r="L21" s="5" t="e">
        <f>VLOOKUP($A$1,#REF!,$A21+4,0)</f>
        <v>#REF!</v>
      </c>
      <c r="M21" s="5" t="e">
        <f>VLOOKUP($A$1,#REF!,$A21+4,0)</f>
        <v>#REF!</v>
      </c>
      <c r="N21" s="5" t="e">
        <f>VLOOKUP($A$1,#REF!,$A21+4,0)</f>
        <v>#REF!</v>
      </c>
      <c r="O21" s="5" t="e">
        <f>VLOOKUP($A$1,#REF!,$A21+4,0)</f>
        <v>#REF!</v>
      </c>
      <c r="P21" s="5" t="e">
        <f>VLOOKUP($A$1,#REF!,$A21+4,0)</f>
        <v>#REF!</v>
      </c>
      <c r="Q21" s="5" t="e">
        <f>VLOOKUP($A$1,#REF!,$A21+4,0)</f>
        <v>#REF!</v>
      </c>
      <c r="R21" s="5" t="e">
        <f>VLOOKUP($A$1,#REF!,$A21+4,0)</f>
        <v>#REF!</v>
      </c>
      <c r="S21" s="5" t="e">
        <f>VLOOKUP($A$1,#REF!,$A21+4,0)</f>
        <v>#REF!</v>
      </c>
      <c r="T21" s="5" t="e">
        <f>VLOOKUP($A$1,#REF!,$A21+4,0)</f>
        <v>#REF!</v>
      </c>
      <c r="U21" s="5" t="e">
        <f>VLOOKUP($A$1,#REF!,$A21+4,0)</f>
        <v>#REF!</v>
      </c>
      <c r="V21" s="5" t="e">
        <f>VLOOKUP($A$1,#REF!,$A21+4,0)</f>
        <v>#REF!</v>
      </c>
      <c r="W21" s="5" t="e">
        <f>VLOOKUP($A$1,#REF!,$A21+4,0)</f>
        <v>#REF!</v>
      </c>
      <c r="X21" s="5" t="e">
        <f>VLOOKUP($A$1,#REF!,$A21+4,0)</f>
        <v>#REF!</v>
      </c>
      <c r="Y21" s="5" t="e">
        <f>VLOOKUP($A$1,#REF!,$A21+4,0)</f>
        <v>#REF!</v>
      </c>
      <c r="Z21" s="5" t="e">
        <f>VLOOKUP($A$1,#REF!,$A21+4,0)</f>
        <v>#REF!</v>
      </c>
      <c r="AA21" s="5" t="e">
        <f>VLOOKUP($A$1,#REF!,$A21+4,0)</f>
        <v>#REF!</v>
      </c>
      <c r="AB21" s="5" t="e">
        <f>VLOOKUP($A$1,#REF!,$A21+4,0)</f>
        <v>#REF!</v>
      </c>
      <c r="AC21" s="5" t="e">
        <f>VLOOKUP($A$1,#REF!,$A21+4,0)</f>
        <v>#REF!</v>
      </c>
      <c r="AD21" s="5" t="e">
        <f>VLOOKUP($A$1,#REF!,$A21+4,0)</f>
        <v>#REF!</v>
      </c>
      <c r="AE21" s="5" t="e">
        <f>VLOOKUP($A$1,#REF!,$A21+4,0)</f>
        <v>#REF!</v>
      </c>
      <c r="AF21" s="5" t="e">
        <f>VLOOKUP($A$1,#REF!,$A21+4,0)</f>
        <v>#REF!</v>
      </c>
      <c r="AG21" s="5" t="e">
        <f>VLOOKUP($A$1,#REF!,$A21+4,0)</f>
        <v>#REF!</v>
      </c>
      <c r="AH21" s="5" t="e">
        <f>VLOOKUP($A$1,#REF!,$A21+4,0)</f>
        <v>#REF!</v>
      </c>
      <c r="AI21" s="5" t="e">
        <f>VLOOKUP($A$1,#REF!,$A21+4,0)</f>
        <v>#REF!</v>
      </c>
      <c r="AJ21" s="5" t="e">
        <f>VLOOKUP($A$1,#REF!,$A21+4,0)</f>
        <v>#REF!</v>
      </c>
      <c r="AK21" s="5" t="e">
        <f>VLOOKUP($A$1,#REF!,$A21+4,0)</f>
        <v>#REF!</v>
      </c>
    </row>
    <row r="22" spans="1:37" x14ac:dyDescent="0.25">
      <c r="A22" s="4">
        <v>20</v>
      </c>
      <c r="B22" s="5" t="e">
        <f>VLOOKUP($A$1,#REF!,$A22+4,0)</f>
        <v>#REF!</v>
      </c>
      <c r="C22" s="5" t="e">
        <f>VLOOKUP($A$1,#REF!,$A22+4,0)</f>
        <v>#REF!</v>
      </c>
      <c r="D22" s="5" t="e">
        <f>VLOOKUP($A$1,#REF!,$A22+4,0)</f>
        <v>#REF!</v>
      </c>
      <c r="E22" s="5" t="e">
        <f>VLOOKUP($A$1,#REF!,$A22+4,0)</f>
        <v>#REF!</v>
      </c>
      <c r="F22" s="5" t="e">
        <f>VLOOKUP($A$1,#REF!,$A22+4,0)</f>
        <v>#REF!</v>
      </c>
      <c r="G22" s="5" t="e">
        <f>VLOOKUP($A$1,#REF!,$A22+4,0)</f>
        <v>#REF!</v>
      </c>
      <c r="H22" s="5" t="e">
        <f>VLOOKUP($A$1,#REF!,$A22+4,0)</f>
        <v>#REF!</v>
      </c>
      <c r="I22" s="5" t="e">
        <f>VLOOKUP($A$1,#REF!,$A22+4,0)</f>
        <v>#REF!</v>
      </c>
      <c r="J22" s="5" t="e">
        <f>VLOOKUP($A$1,#REF!,$A22+4,0)</f>
        <v>#REF!</v>
      </c>
      <c r="K22" s="5" t="e">
        <f>VLOOKUP($A$1,#REF!,$A22+4,0)</f>
        <v>#REF!</v>
      </c>
      <c r="L22" s="5" t="e">
        <f>VLOOKUP($A$1,#REF!,$A22+4,0)</f>
        <v>#REF!</v>
      </c>
      <c r="M22" s="5" t="e">
        <f>VLOOKUP($A$1,#REF!,$A22+4,0)</f>
        <v>#REF!</v>
      </c>
      <c r="N22" s="5" t="e">
        <f>VLOOKUP($A$1,#REF!,$A22+4,0)</f>
        <v>#REF!</v>
      </c>
      <c r="O22" s="5" t="e">
        <f>VLOOKUP($A$1,#REF!,$A22+4,0)</f>
        <v>#REF!</v>
      </c>
      <c r="P22" s="5" t="e">
        <f>VLOOKUP($A$1,#REF!,$A22+4,0)</f>
        <v>#REF!</v>
      </c>
      <c r="Q22" s="5" t="e">
        <f>VLOOKUP($A$1,#REF!,$A22+4,0)</f>
        <v>#REF!</v>
      </c>
      <c r="R22" s="5" t="e">
        <f>VLOOKUP($A$1,#REF!,$A22+4,0)</f>
        <v>#REF!</v>
      </c>
      <c r="S22" s="5" t="e">
        <f>VLOOKUP($A$1,#REF!,$A22+4,0)</f>
        <v>#REF!</v>
      </c>
      <c r="T22" s="5" t="e">
        <f>VLOOKUP($A$1,#REF!,$A22+4,0)</f>
        <v>#REF!</v>
      </c>
      <c r="U22" s="5" t="e">
        <f>VLOOKUP($A$1,#REF!,$A22+4,0)</f>
        <v>#REF!</v>
      </c>
      <c r="V22" s="5" t="e">
        <f>VLOOKUP($A$1,#REF!,$A22+4,0)</f>
        <v>#REF!</v>
      </c>
      <c r="W22" s="5" t="e">
        <f>VLOOKUP($A$1,#REF!,$A22+4,0)</f>
        <v>#REF!</v>
      </c>
      <c r="X22" s="5" t="e">
        <f>VLOOKUP($A$1,#REF!,$A22+4,0)</f>
        <v>#REF!</v>
      </c>
      <c r="Y22" s="5" t="e">
        <f>VLOOKUP($A$1,#REF!,$A22+4,0)</f>
        <v>#REF!</v>
      </c>
      <c r="Z22" s="5" t="e">
        <f>VLOOKUP($A$1,#REF!,$A22+4,0)</f>
        <v>#REF!</v>
      </c>
      <c r="AA22" s="5" t="e">
        <f>VLOOKUP($A$1,#REF!,$A22+4,0)</f>
        <v>#REF!</v>
      </c>
      <c r="AB22" s="5" t="e">
        <f>VLOOKUP($A$1,#REF!,$A22+4,0)</f>
        <v>#REF!</v>
      </c>
      <c r="AC22" s="5" t="e">
        <f>VLOOKUP($A$1,#REF!,$A22+4,0)</f>
        <v>#REF!</v>
      </c>
      <c r="AD22" s="5" t="e">
        <f>VLOOKUP($A$1,#REF!,$A22+4,0)</f>
        <v>#REF!</v>
      </c>
      <c r="AE22" s="5" t="e">
        <f>VLOOKUP($A$1,#REF!,$A22+4,0)</f>
        <v>#REF!</v>
      </c>
      <c r="AF22" s="5" t="e">
        <f>VLOOKUP($A$1,#REF!,$A22+4,0)</f>
        <v>#REF!</v>
      </c>
      <c r="AG22" s="5" t="e">
        <f>VLOOKUP($A$1,#REF!,$A22+4,0)</f>
        <v>#REF!</v>
      </c>
      <c r="AH22" s="5" t="e">
        <f>VLOOKUP($A$1,#REF!,$A22+4,0)</f>
        <v>#REF!</v>
      </c>
      <c r="AI22" s="5" t="e">
        <f>VLOOKUP($A$1,#REF!,$A22+4,0)</f>
        <v>#REF!</v>
      </c>
      <c r="AJ22" s="5" t="e">
        <f>VLOOKUP($A$1,#REF!,$A22+4,0)</f>
        <v>#REF!</v>
      </c>
      <c r="AK22" s="5" t="e">
        <f>VLOOKUP($A$1,#REF!,$A22+4,0)</f>
        <v>#REF!</v>
      </c>
    </row>
    <row r="23" spans="1:37" x14ac:dyDescent="0.25">
      <c r="A23" s="4">
        <v>21</v>
      </c>
      <c r="B23" s="5" t="e">
        <f>VLOOKUP($A$1,#REF!,$A23+4,0)</f>
        <v>#REF!</v>
      </c>
      <c r="C23" s="5" t="e">
        <f>VLOOKUP($A$1,#REF!,$A23+4,0)</f>
        <v>#REF!</v>
      </c>
      <c r="D23" s="5" t="e">
        <f>VLOOKUP($A$1,#REF!,$A23+4,0)</f>
        <v>#REF!</v>
      </c>
      <c r="E23" s="5" t="e">
        <f>VLOOKUP($A$1,#REF!,$A23+4,0)</f>
        <v>#REF!</v>
      </c>
      <c r="F23" s="5" t="e">
        <f>VLOOKUP($A$1,#REF!,$A23+4,0)</f>
        <v>#REF!</v>
      </c>
      <c r="G23" s="5" t="e">
        <f>VLOOKUP($A$1,#REF!,$A23+4,0)</f>
        <v>#REF!</v>
      </c>
      <c r="H23" s="5" t="e">
        <f>VLOOKUP($A$1,#REF!,$A23+4,0)</f>
        <v>#REF!</v>
      </c>
      <c r="I23" s="5" t="e">
        <f>VLOOKUP($A$1,#REF!,$A23+4,0)</f>
        <v>#REF!</v>
      </c>
      <c r="J23" s="5" t="e">
        <f>VLOOKUP($A$1,#REF!,$A23+4,0)</f>
        <v>#REF!</v>
      </c>
      <c r="K23" s="5" t="e">
        <f>VLOOKUP($A$1,#REF!,$A23+4,0)</f>
        <v>#REF!</v>
      </c>
      <c r="L23" s="5" t="e">
        <f>VLOOKUP($A$1,#REF!,$A23+4,0)</f>
        <v>#REF!</v>
      </c>
      <c r="M23" s="5" t="e">
        <f>VLOOKUP($A$1,#REF!,$A23+4,0)</f>
        <v>#REF!</v>
      </c>
      <c r="N23" s="5" t="e">
        <f>VLOOKUP($A$1,#REF!,$A23+4,0)</f>
        <v>#REF!</v>
      </c>
      <c r="O23" s="5" t="e">
        <f>VLOOKUP($A$1,#REF!,$A23+4,0)</f>
        <v>#REF!</v>
      </c>
      <c r="P23" s="5" t="e">
        <f>VLOOKUP($A$1,#REF!,$A23+4,0)</f>
        <v>#REF!</v>
      </c>
      <c r="Q23" s="5" t="e">
        <f>VLOOKUP($A$1,#REF!,$A23+4,0)</f>
        <v>#REF!</v>
      </c>
      <c r="R23" s="5" t="e">
        <f>VLOOKUP($A$1,#REF!,$A23+4,0)</f>
        <v>#REF!</v>
      </c>
      <c r="S23" s="5" t="e">
        <f>VLOOKUP($A$1,#REF!,$A23+4,0)</f>
        <v>#REF!</v>
      </c>
      <c r="T23" s="5" t="e">
        <f>VLOOKUP($A$1,#REF!,$A23+4,0)</f>
        <v>#REF!</v>
      </c>
      <c r="U23" s="5" t="e">
        <f>VLOOKUP($A$1,#REF!,$A23+4,0)</f>
        <v>#REF!</v>
      </c>
      <c r="V23" s="5" t="e">
        <f>VLOOKUP($A$1,#REF!,$A23+4,0)</f>
        <v>#REF!</v>
      </c>
      <c r="W23" s="5" t="e">
        <f>VLOOKUP($A$1,#REF!,$A23+4,0)</f>
        <v>#REF!</v>
      </c>
      <c r="X23" s="5" t="e">
        <f>VLOOKUP($A$1,#REF!,$A23+4,0)</f>
        <v>#REF!</v>
      </c>
      <c r="Y23" s="5" t="e">
        <f>VLOOKUP($A$1,#REF!,$A23+4,0)</f>
        <v>#REF!</v>
      </c>
      <c r="Z23" s="5" t="e">
        <f>VLOOKUP($A$1,#REF!,$A23+4,0)</f>
        <v>#REF!</v>
      </c>
      <c r="AA23" s="5" t="e">
        <f>VLOOKUP($A$1,#REF!,$A23+4,0)</f>
        <v>#REF!</v>
      </c>
      <c r="AB23" s="5" t="e">
        <f>VLOOKUP($A$1,#REF!,$A23+4,0)</f>
        <v>#REF!</v>
      </c>
      <c r="AC23" s="5" t="e">
        <f>VLOOKUP($A$1,#REF!,$A23+4,0)</f>
        <v>#REF!</v>
      </c>
      <c r="AD23" s="5" t="e">
        <f>VLOOKUP($A$1,#REF!,$A23+4,0)</f>
        <v>#REF!</v>
      </c>
      <c r="AE23" s="5" t="e">
        <f>VLOOKUP($A$1,#REF!,$A23+4,0)</f>
        <v>#REF!</v>
      </c>
      <c r="AF23" s="5" t="e">
        <f>VLOOKUP($A$1,#REF!,$A23+4,0)</f>
        <v>#REF!</v>
      </c>
      <c r="AG23" s="5" t="e">
        <f>VLOOKUP($A$1,#REF!,$A23+4,0)</f>
        <v>#REF!</v>
      </c>
      <c r="AH23" s="5" t="e">
        <f>VLOOKUP($A$1,#REF!,$A23+4,0)</f>
        <v>#REF!</v>
      </c>
      <c r="AI23" s="5" t="e">
        <f>VLOOKUP($A$1,#REF!,$A23+4,0)</f>
        <v>#REF!</v>
      </c>
      <c r="AJ23" s="5" t="e">
        <f>VLOOKUP($A$1,#REF!,$A23+4,0)</f>
        <v>#REF!</v>
      </c>
      <c r="AK23" s="5" t="e">
        <f>VLOOKUP($A$1,#REF!,$A23+4,0)</f>
        <v>#REF!</v>
      </c>
    </row>
    <row r="24" spans="1:37" x14ac:dyDescent="0.25">
      <c r="A24" s="4">
        <v>22</v>
      </c>
      <c r="B24" s="5" t="e">
        <f>VLOOKUP($A$1,#REF!,$A24+4,0)</f>
        <v>#REF!</v>
      </c>
      <c r="C24" s="5" t="e">
        <f>VLOOKUP($A$1,#REF!,$A24+4,0)</f>
        <v>#REF!</v>
      </c>
      <c r="D24" s="5" t="e">
        <f>VLOOKUP($A$1,#REF!,$A24+4,0)</f>
        <v>#REF!</v>
      </c>
      <c r="E24" s="5" t="e">
        <f>VLOOKUP($A$1,#REF!,$A24+4,0)</f>
        <v>#REF!</v>
      </c>
      <c r="F24" s="5" t="e">
        <f>VLOOKUP($A$1,#REF!,$A24+4,0)</f>
        <v>#REF!</v>
      </c>
      <c r="G24" s="5" t="e">
        <f>VLOOKUP($A$1,#REF!,$A24+4,0)</f>
        <v>#REF!</v>
      </c>
      <c r="H24" s="5" t="e">
        <f>VLOOKUP($A$1,#REF!,$A24+4,0)</f>
        <v>#REF!</v>
      </c>
      <c r="I24" s="5" t="e">
        <f>VLOOKUP($A$1,#REF!,$A24+4,0)</f>
        <v>#REF!</v>
      </c>
      <c r="J24" s="5" t="e">
        <f>VLOOKUP($A$1,#REF!,$A24+4,0)</f>
        <v>#REF!</v>
      </c>
      <c r="K24" s="5" t="e">
        <f>VLOOKUP($A$1,#REF!,$A24+4,0)</f>
        <v>#REF!</v>
      </c>
      <c r="L24" s="5" t="e">
        <f>VLOOKUP($A$1,#REF!,$A24+4,0)</f>
        <v>#REF!</v>
      </c>
      <c r="M24" s="5" t="e">
        <f>VLOOKUP($A$1,#REF!,$A24+4,0)</f>
        <v>#REF!</v>
      </c>
      <c r="N24" s="5" t="e">
        <f>VLOOKUP($A$1,#REF!,$A24+4,0)</f>
        <v>#REF!</v>
      </c>
      <c r="O24" s="5" t="e">
        <f>VLOOKUP($A$1,#REF!,$A24+4,0)</f>
        <v>#REF!</v>
      </c>
      <c r="P24" s="5" t="e">
        <f>VLOOKUP($A$1,#REF!,$A24+4,0)</f>
        <v>#REF!</v>
      </c>
      <c r="Q24" s="5" t="e">
        <f>VLOOKUP($A$1,#REF!,$A24+4,0)</f>
        <v>#REF!</v>
      </c>
      <c r="R24" s="5" t="e">
        <f>VLOOKUP($A$1,#REF!,$A24+4,0)</f>
        <v>#REF!</v>
      </c>
      <c r="S24" s="5" t="e">
        <f>VLOOKUP($A$1,#REF!,$A24+4,0)</f>
        <v>#REF!</v>
      </c>
      <c r="T24" s="5" t="e">
        <f>VLOOKUP($A$1,#REF!,$A24+4,0)</f>
        <v>#REF!</v>
      </c>
      <c r="U24" s="5" t="e">
        <f>VLOOKUP($A$1,#REF!,$A24+4,0)</f>
        <v>#REF!</v>
      </c>
      <c r="V24" s="5" t="e">
        <f>VLOOKUP($A$1,#REF!,$A24+4,0)</f>
        <v>#REF!</v>
      </c>
      <c r="W24" s="5" t="e">
        <f>VLOOKUP($A$1,#REF!,$A24+4,0)</f>
        <v>#REF!</v>
      </c>
      <c r="X24" s="5" t="e">
        <f>VLOOKUP($A$1,#REF!,$A24+4,0)</f>
        <v>#REF!</v>
      </c>
      <c r="Y24" s="5" t="e">
        <f>VLOOKUP($A$1,#REF!,$A24+4,0)</f>
        <v>#REF!</v>
      </c>
      <c r="Z24" s="5" t="e">
        <f>VLOOKUP($A$1,#REF!,$A24+4,0)</f>
        <v>#REF!</v>
      </c>
      <c r="AA24" s="5" t="e">
        <f>VLOOKUP($A$1,#REF!,$A24+4,0)</f>
        <v>#REF!</v>
      </c>
      <c r="AB24" s="5" t="e">
        <f>VLOOKUP($A$1,#REF!,$A24+4,0)</f>
        <v>#REF!</v>
      </c>
      <c r="AC24" s="5" t="e">
        <f>VLOOKUP($A$1,#REF!,$A24+4,0)</f>
        <v>#REF!</v>
      </c>
      <c r="AD24" s="5" t="e">
        <f>VLOOKUP($A$1,#REF!,$A24+4,0)</f>
        <v>#REF!</v>
      </c>
      <c r="AE24" s="5" t="e">
        <f>VLOOKUP($A$1,#REF!,$A24+4,0)</f>
        <v>#REF!</v>
      </c>
      <c r="AF24" s="5" t="e">
        <f>VLOOKUP($A$1,#REF!,$A24+4,0)</f>
        <v>#REF!</v>
      </c>
      <c r="AG24" s="5" t="e">
        <f>VLOOKUP($A$1,#REF!,$A24+4,0)</f>
        <v>#REF!</v>
      </c>
      <c r="AH24" s="5" t="e">
        <f>VLOOKUP($A$1,#REF!,$A24+4,0)</f>
        <v>#REF!</v>
      </c>
      <c r="AI24" s="5" t="e">
        <f>VLOOKUP($A$1,#REF!,$A24+4,0)</f>
        <v>#REF!</v>
      </c>
      <c r="AJ24" s="5" t="e">
        <f>VLOOKUP($A$1,#REF!,$A24+4,0)</f>
        <v>#REF!</v>
      </c>
      <c r="AK24" s="5" t="e">
        <f>VLOOKUP($A$1,#REF!,$A24+4,0)</f>
        <v>#REF!</v>
      </c>
    </row>
    <row r="25" spans="1:37" x14ac:dyDescent="0.25">
      <c r="A25" s="4">
        <v>23</v>
      </c>
      <c r="B25" s="5" t="e">
        <f>VLOOKUP($A$1,#REF!,$A25+4,0)</f>
        <v>#REF!</v>
      </c>
      <c r="C25" s="5" t="e">
        <f>VLOOKUP($A$1,#REF!,$A25+4,0)</f>
        <v>#REF!</v>
      </c>
      <c r="D25" s="5" t="e">
        <f>VLOOKUP($A$1,#REF!,$A25+4,0)</f>
        <v>#REF!</v>
      </c>
      <c r="E25" s="5" t="e">
        <f>VLOOKUP($A$1,#REF!,$A25+4,0)</f>
        <v>#REF!</v>
      </c>
      <c r="F25" s="5" t="e">
        <f>VLOOKUP($A$1,#REF!,$A25+4,0)</f>
        <v>#REF!</v>
      </c>
      <c r="G25" s="5" t="e">
        <f>VLOOKUP($A$1,#REF!,$A25+4,0)</f>
        <v>#REF!</v>
      </c>
      <c r="H25" s="5" t="e">
        <f>VLOOKUP($A$1,#REF!,$A25+4,0)</f>
        <v>#REF!</v>
      </c>
      <c r="I25" s="5" t="e">
        <f>VLOOKUP($A$1,#REF!,$A25+4,0)</f>
        <v>#REF!</v>
      </c>
      <c r="J25" s="5" t="e">
        <f>VLOOKUP($A$1,#REF!,$A25+4,0)</f>
        <v>#REF!</v>
      </c>
      <c r="K25" s="5" t="e">
        <f>VLOOKUP($A$1,#REF!,$A25+4,0)</f>
        <v>#REF!</v>
      </c>
      <c r="L25" s="5" t="e">
        <f>VLOOKUP($A$1,#REF!,$A25+4,0)</f>
        <v>#REF!</v>
      </c>
      <c r="M25" s="5" t="e">
        <f>VLOOKUP($A$1,#REF!,$A25+4,0)</f>
        <v>#REF!</v>
      </c>
      <c r="N25" s="5" t="e">
        <f>VLOOKUP($A$1,#REF!,$A25+4,0)</f>
        <v>#REF!</v>
      </c>
      <c r="O25" s="5" t="e">
        <f>VLOOKUP($A$1,#REF!,$A25+4,0)</f>
        <v>#REF!</v>
      </c>
      <c r="P25" s="5" t="e">
        <f>VLOOKUP($A$1,#REF!,$A25+4,0)</f>
        <v>#REF!</v>
      </c>
      <c r="Q25" s="5" t="e">
        <f>VLOOKUP($A$1,#REF!,$A25+4,0)</f>
        <v>#REF!</v>
      </c>
      <c r="R25" s="5" t="e">
        <f>VLOOKUP($A$1,#REF!,$A25+4,0)</f>
        <v>#REF!</v>
      </c>
      <c r="S25" s="5" t="e">
        <f>VLOOKUP($A$1,#REF!,$A25+4,0)</f>
        <v>#REF!</v>
      </c>
      <c r="T25" s="5" t="e">
        <f>VLOOKUP($A$1,#REF!,$A25+4,0)</f>
        <v>#REF!</v>
      </c>
      <c r="U25" s="5" t="e">
        <f>VLOOKUP($A$1,#REF!,$A25+4,0)</f>
        <v>#REF!</v>
      </c>
      <c r="V25" s="5" t="e">
        <f>VLOOKUP($A$1,#REF!,$A25+4,0)</f>
        <v>#REF!</v>
      </c>
      <c r="W25" s="5" t="e">
        <f>VLOOKUP($A$1,#REF!,$A25+4,0)</f>
        <v>#REF!</v>
      </c>
      <c r="X25" s="5" t="e">
        <f>VLOOKUP($A$1,#REF!,$A25+4,0)</f>
        <v>#REF!</v>
      </c>
      <c r="Y25" s="5" t="e">
        <f>VLOOKUP($A$1,#REF!,$A25+4,0)</f>
        <v>#REF!</v>
      </c>
      <c r="Z25" s="5" t="e">
        <f>VLOOKUP($A$1,#REF!,$A25+4,0)</f>
        <v>#REF!</v>
      </c>
      <c r="AA25" s="5" t="e">
        <f>VLOOKUP($A$1,#REF!,$A25+4,0)</f>
        <v>#REF!</v>
      </c>
      <c r="AB25" s="5" t="e">
        <f>VLOOKUP($A$1,#REF!,$A25+4,0)</f>
        <v>#REF!</v>
      </c>
      <c r="AC25" s="5" t="e">
        <f>VLOOKUP($A$1,#REF!,$A25+4,0)</f>
        <v>#REF!</v>
      </c>
      <c r="AD25" s="5" t="e">
        <f>VLOOKUP($A$1,#REF!,$A25+4,0)</f>
        <v>#REF!</v>
      </c>
      <c r="AE25" s="5" t="e">
        <f>VLOOKUP($A$1,#REF!,$A25+4,0)</f>
        <v>#REF!</v>
      </c>
      <c r="AF25" s="5" t="e">
        <f>VLOOKUP($A$1,#REF!,$A25+4,0)</f>
        <v>#REF!</v>
      </c>
      <c r="AG25" s="5" t="e">
        <f>VLOOKUP($A$1,#REF!,$A25+4,0)</f>
        <v>#REF!</v>
      </c>
      <c r="AH25" s="5" t="e">
        <f>VLOOKUP($A$1,#REF!,$A25+4,0)</f>
        <v>#REF!</v>
      </c>
      <c r="AI25" s="5" t="e">
        <f>VLOOKUP($A$1,#REF!,$A25+4,0)</f>
        <v>#REF!</v>
      </c>
      <c r="AJ25" s="5" t="e">
        <f>VLOOKUP($A$1,#REF!,$A25+4,0)</f>
        <v>#REF!</v>
      </c>
      <c r="AK25" s="5" t="e">
        <f>VLOOKUP($A$1,#REF!,$A25+4,0)</f>
        <v>#REF!</v>
      </c>
    </row>
    <row r="27" spans="1:37" x14ac:dyDescent="0.25">
      <c r="B27" s="6">
        <f>SUM(C27:AK27)</f>
        <v>8678.9749335149991</v>
      </c>
      <c r="C27" s="6">
        <v>388.07628091500004</v>
      </c>
      <c r="D27" s="6">
        <v>265.06744619999995</v>
      </c>
      <c r="E27" s="6">
        <v>282.6261882</v>
      </c>
      <c r="F27" s="6">
        <v>312.30741119999993</v>
      </c>
      <c r="G27" s="6">
        <v>225.52860800000008</v>
      </c>
      <c r="H27" s="6">
        <v>301.80416300000002</v>
      </c>
      <c r="I27" s="6">
        <v>274.27289599999995</v>
      </c>
      <c r="J27" s="6">
        <v>217.81235700000025</v>
      </c>
      <c r="K27" s="6">
        <v>238.73543399999971</v>
      </c>
      <c r="L27" s="6">
        <v>322.64376700000003</v>
      </c>
      <c r="M27" s="6">
        <v>30.162300999999843</v>
      </c>
      <c r="N27" s="6">
        <v>134.06099700000004</v>
      </c>
      <c r="O27" s="6">
        <v>366.69495400000005</v>
      </c>
      <c r="P27" s="6">
        <v>196.61309299999994</v>
      </c>
      <c r="Q27" s="6">
        <v>202.89269400000012</v>
      </c>
      <c r="R27" s="6">
        <v>252.8854110000002</v>
      </c>
      <c r="S27" s="6">
        <v>249.23438699999951</v>
      </c>
      <c r="T27" s="6">
        <v>392.63965800000005</v>
      </c>
      <c r="U27" s="6">
        <v>203.07261500000004</v>
      </c>
      <c r="V27" s="6">
        <v>232.96558100000038</v>
      </c>
      <c r="W27" s="6">
        <v>189.2518399999999</v>
      </c>
      <c r="X27" s="6">
        <v>177.78447599999981</v>
      </c>
      <c r="Y27" s="6">
        <v>235.82414100000005</v>
      </c>
      <c r="Z27" s="6">
        <v>122.5223560000004</v>
      </c>
      <c r="AA27" s="6">
        <v>37.486205000000155</v>
      </c>
      <c r="AB27" s="6">
        <v>278.88789299999917</v>
      </c>
      <c r="AC27" s="6">
        <v>173.44561400000021</v>
      </c>
      <c r="AD27" s="6">
        <v>168.61273400000027</v>
      </c>
      <c r="AE27" s="6">
        <v>364.83032600000024</v>
      </c>
      <c r="AF27" s="6">
        <v>336.54668499999934</v>
      </c>
      <c r="AG27" s="6">
        <v>367.9142380000003</v>
      </c>
      <c r="AH27" s="6">
        <v>103.12838800000009</v>
      </c>
      <c r="AI27" s="6">
        <v>358.22973699999966</v>
      </c>
      <c r="AJ27" s="6">
        <v>45.612509999999929</v>
      </c>
      <c r="AK27" s="6">
        <v>628.80154799999946</v>
      </c>
    </row>
    <row r="28" spans="1:37" x14ac:dyDescent="0.25">
      <c r="A28" s="4">
        <f>A2</f>
        <v>0</v>
      </c>
      <c r="B28" s="6" t="e">
        <f>$B$27/SUM(C28:AK28)</f>
        <v>#VALUE!</v>
      </c>
      <c r="C28" s="6" t="e">
        <f>C$27/C2</f>
        <v>#VALUE!</v>
      </c>
      <c r="D28" s="6" t="e">
        <f t="shared" ref="D28:AK28" si="0">D$27/D2</f>
        <v>#VALUE!</v>
      </c>
      <c r="E28" s="6" t="e">
        <f t="shared" si="0"/>
        <v>#VALUE!</v>
      </c>
      <c r="F28" s="6" t="e">
        <f t="shared" si="0"/>
        <v>#VALUE!</v>
      </c>
      <c r="G28" s="6" t="e">
        <f t="shared" si="0"/>
        <v>#VALUE!</v>
      </c>
      <c r="H28" s="6" t="e">
        <f t="shared" si="0"/>
        <v>#VALUE!</v>
      </c>
      <c r="I28" s="6" t="e">
        <f t="shared" si="0"/>
        <v>#VALUE!</v>
      </c>
      <c r="J28" s="6" t="e">
        <f t="shared" si="0"/>
        <v>#VALUE!</v>
      </c>
      <c r="K28" s="6" t="e">
        <f t="shared" si="0"/>
        <v>#VALUE!</v>
      </c>
      <c r="L28" s="6" t="e">
        <f t="shared" si="0"/>
        <v>#VALUE!</v>
      </c>
      <c r="M28" s="6" t="e">
        <f t="shared" si="0"/>
        <v>#VALUE!</v>
      </c>
      <c r="N28" s="6" t="e">
        <f t="shared" si="0"/>
        <v>#VALUE!</v>
      </c>
      <c r="O28" s="6" t="e">
        <f t="shared" si="0"/>
        <v>#VALUE!</v>
      </c>
      <c r="P28" s="6" t="e">
        <f t="shared" si="0"/>
        <v>#VALUE!</v>
      </c>
      <c r="Q28" s="6" t="e">
        <f t="shared" si="0"/>
        <v>#VALUE!</v>
      </c>
      <c r="R28" s="6" t="e">
        <f t="shared" si="0"/>
        <v>#VALUE!</v>
      </c>
      <c r="S28" s="6" t="e">
        <f t="shared" si="0"/>
        <v>#VALUE!</v>
      </c>
      <c r="T28" s="6" t="e">
        <f t="shared" si="0"/>
        <v>#VALUE!</v>
      </c>
      <c r="U28" s="6" t="e">
        <f t="shared" si="0"/>
        <v>#VALUE!</v>
      </c>
      <c r="V28" s="6" t="e">
        <f t="shared" si="0"/>
        <v>#VALUE!</v>
      </c>
      <c r="W28" s="6" t="e">
        <f t="shared" si="0"/>
        <v>#VALUE!</v>
      </c>
      <c r="X28" s="6" t="e">
        <f t="shared" si="0"/>
        <v>#VALUE!</v>
      </c>
      <c r="Y28" s="6" t="e">
        <f t="shared" si="0"/>
        <v>#VALUE!</v>
      </c>
      <c r="Z28" s="6" t="e">
        <f t="shared" si="0"/>
        <v>#VALUE!</v>
      </c>
      <c r="AA28" s="6" t="e">
        <f t="shared" si="0"/>
        <v>#VALUE!</v>
      </c>
      <c r="AB28" s="6" t="e">
        <f t="shared" si="0"/>
        <v>#VALUE!</v>
      </c>
      <c r="AC28" s="6" t="e">
        <f t="shared" si="0"/>
        <v>#VALUE!</v>
      </c>
      <c r="AD28" s="6" t="e">
        <f t="shared" si="0"/>
        <v>#VALUE!</v>
      </c>
      <c r="AE28" s="6" t="e">
        <f t="shared" si="0"/>
        <v>#VALUE!</v>
      </c>
      <c r="AF28" s="6" t="e">
        <f t="shared" si="0"/>
        <v>#VALUE!</v>
      </c>
      <c r="AG28" s="6" t="e">
        <f t="shared" si="0"/>
        <v>#VALUE!</v>
      </c>
      <c r="AH28" s="6" t="e">
        <f t="shared" si="0"/>
        <v>#VALUE!</v>
      </c>
      <c r="AI28" s="6" t="e">
        <f t="shared" si="0"/>
        <v>#VALUE!</v>
      </c>
      <c r="AJ28" s="6" t="e">
        <f t="shared" si="0"/>
        <v>#VALUE!</v>
      </c>
      <c r="AK28" s="6" t="e">
        <f t="shared" si="0"/>
        <v>#VALUE!</v>
      </c>
    </row>
    <row r="29" spans="1:37" x14ac:dyDescent="0.25">
      <c r="A29" s="4">
        <f t="shared" ref="A29:A51" si="1">A3</f>
        <v>1</v>
      </c>
      <c r="B29" s="6" t="e">
        <f t="shared" ref="B29:B40" si="2">$B$27/SUM(C29:AK29)</f>
        <v>#REF!</v>
      </c>
      <c r="C29" s="6" t="e">
        <f t="shared" ref="C29:AK29" si="3">C$27/C3</f>
        <v>#REF!</v>
      </c>
      <c r="D29" s="6" t="e">
        <f t="shared" si="3"/>
        <v>#REF!</v>
      </c>
      <c r="E29" s="6" t="e">
        <f t="shared" si="3"/>
        <v>#REF!</v>
      </c>
      <c r="F29" s="6" t="e">
        <f t="shared" si="3"/>
        <v>#REF!</v>
      </c>
      <c r="G29" s="6" t="e">
        <f t="shared" si="3"/>
        <v>#REF!</v>
      </c>
      <c r="H29" s="6" t="e">
        <f t="shared" si="3"/>
        <v>#REF!</v>
      </c>
      <c r="I29" s="6" t="e">
        <f t="shared" si="3"/>
        <v>#REF!</v>
      </c>
      <c r="J29" s="6" t="e">
        <f t="shared" si="3"/>
        <v>#REF!</v>
      </c>
      <c r="K29" s="6" t="e">
        <f t="shared" si="3"/>
        <v>#REF!</v>
      </c>
      <c r="L29" s="6" t="e">
        <f t="shared" si="3"/>
        <v>#REF!</v>
      </c>
      <c r="M29" s="6" t="e">
        <f t="shared" si="3"/>
        <v>#REF!</v>
      </c>
      <c r="N29" s="6" t="e">
        <f t="shared" si="3"/>
        <v>#REF!</v>
      </c>
      <c r="O29" s="6" t="e">
        <f t="shared" si="3"/>
        <v>#REF!</v>
      </c>
      <c r="P29" s="6" t="e">
        <f t="shared" si="3"/>
        <v>#REF!</v>
      </c>
      <c r="Q29" s="6" t="e">
        <f t="shared" si="3"/>
        <v>#REF!</v>
      </c>
      <c r="R29" s="6" t="e">
        <f t="shared" si="3"/>
        <v>#REF!</v>
      </c>
      <c r="S29" s="6" t="e">
        <f t="shared" si="3"/>
        <v>#REF!</v>
      </c>
      <c r="T29" s="6" t="e">
        <f t="shared" si="3"/>
        <v>#REF!</v>
      </c>
      <c r="U29" s="6" t="e">
        <f t="shared" si="3"/>
        <v>#REF!</v>
      </c>
      <c r="V29" s="6" t="e">
        <f t="shared" si="3"/>
        <v>#REF!</v>
      </c>
      <c r="W29" s="6" t="e">
        <f t="shared" si="3"/>
        <v>#REF!</v>
      </c>
      <c r="X29" s="6" t="e">
        <f t="shared" si="3"/>
        <v>#REF!</v>
      </c>
      <c r="Y29" s="6" t="e">
        <f t="shared" si="3"/>
        <v>#REF!</v>
      </c>
      <c r="Z29" s="6" t="e">
        <f t="shared" si="3"/>
        <v>#REF!</v>
      </c>
      <c r="AA29" s="6" t="e">
        <f t="shared" si="3"/>
        <v>#REF!</v>
      </c>
      <c r="AB29" s="6" t="e">
        <f t="shared" si="3"/>
        <v>#REF!</v>
      </c>
      <c r="AC29" s="6" t="e">
        <f t="shared" si="3"/>
        <v>#REF!</v>
      </c>
      <c r="AD29" s="6" t="e">
        <f t="shared" si="3"/>
        <v>#REF!</v>
      </c>
      <c r="AE29" s="6" t="e">
        <f t="shared" si="3"/>
        <v>#REF!</v>
      </c>
      <c r="AF29" s="6" t="e">
        <f t="shared" si="3"/>
        <v>#REF!</v>
      </c>
      <c r="AG29" s="6" t="e">
        <f t="shared" si="3"/>
        <v>#REF!</v>
      </c>
      <c r="AH29" s="6" t="e">
        <f t="shared" si="3"/>
        <v>#REF!</v>
      </c>
      <c r="AI29" s="6" t="e">
        <f t="shared" si="3"/>
        <v>#REF!</v>
      </c>
      <c r="AJ29" s="6" t="e">
        <f t="shared" si="3"/>
        <v>#REF!</v>
      </c>
      <c r="AK29" s="6" t="e">
        <f t="shared" si="3"/>
        <v>#REF!</v>
      </c>
    </row>
    <row r="30" spans="1:37" x14ac:dyDescent="0.25">
      <c r="A30" s="4">
        <f t="shared" si="1"/>
        <v>2</v>
      </c>
      <c r="B30" s="6" t="e">
        <f t="shared" si="2"/>
        <v>#REF!</v>
      </c>
      <c r="C30" s="6" t="e">
        <f t="shared" ref="C30:AK30" si="4">C$27/C4</f>
        <v>#REF!</v>
      </c>
      <c r="D30" s="6" t="e">
        <f t="shared" si="4"/>
        <v>#REF!</v>
      </c>
      <c r="E30" s="6" t="e">
        <f t="shared" si="4"/>
        <v>#REF!</v>
      </c>
      <c r="F30" s="6" t="e">
        <f t="shared" si="4"/>
        <v>#REF!</v>
      </c>
      <c r="G30" s="6" t="e">
        <f t="shared" si="4"/>
        <v>#REF!</v>
      </c>
      <c r="H30" s="6" t="e">
        <f t="shared" si="4"/>
        <v>#REF!</v>
      </c>
      <c r="I30" s="6" t="e">
        <f t="shared" si="4"/>
        <v>#REF!</v>
      </c>
      <c r="J30" s="6" t="e">
        <f t="shared" si="4"/>
        <v>#REF!</v>
      </c>
      <c r="K30" s="6" t="e">
        <f t="shared" si="4"/>
        <v>#REF!</v>
      </c>
      <c r="L30" s="6" t="e">
        <f t="shared" si="4"/>
        <v>#REF!</v>
      </c>
      <c r="M30" s="6" t="e">
        <f t="shared" si="4"/>
        <v>#REF!</v>
      </c>
      <c r="N30" s="6" t="e">
        <f t="shared" si="4"/>
        <v>#REF!</v>
      </c>
      <c r="O30" s="6" t="e">
        <f t="shared" si="4"/>
        <v>#REF!</v>
      </c>
      <c r="P30" s="6" t="e">
        <f t="shared" si="4"/>
        <v>#REF!</v>
      </c>
      <c r="Q30" s="6" t="e">
        <f t="shared" si="4"/>
        <v>#REF!</v>
      </c>
      <c r="R30" s="6" t="e">
        <f t="shared" si="4"/>
        <v>#REF!</v>
      </c>
      <c r="S30" s="6" t="e">
        <f t="shared" si="4"/>
        <v>#REF!</v>
      </c>
      <c r="T30" s="6" t="e">
        <f t="shared" si="4"/>
        <v>#REF!</v>
      </c>
      <c r="U30" s="6" t="e">
        <f t="shared" si="4"/>
        <v>#REF!</v>
      </c>
      <c r="V30" s="6" t="e">
        <f t="shared" si="4"/>
        <v>#REF!</v>
      </c>
      <c r="W30" s="6" t="e">
        <f t="shared" si="4"/>
        <v>#REF!</v>
      </c>
      <c r="X30" s="6" t="e">
        <f t="shared" si="4"/>
        <v>#REF!</v>
      </c>
      <c r="Y30" s="6" t="e">
        <f t="shared" si="4"/>
        <v>#REF!</v>
      </c>
      <c r="Z30" s="6" t="e">
        <f t="shared" si="4"/>
        <v>#REF!</v>
      </c>
      <c r="AA30" s="6" t="e">
        <f t="shared" si="4"/>
        <v>#REF!</v>
      </c>
      <c r="AB30" s="6" t="e">
        <f t="shared" si="4"/>
        <v>#REF!</v>
      </c>
      <c r="AC30" s="6" t="e">
        <f t="shared" si="4"/>
        <v>#REF!</v>
      </c>
      <c r="AD30" s="6" t="e">
        <f t="shared" si="4"/>
        <v>#REF!</v>
      </c>
      <c r="AE30" s="6" t="e">
        <f t="shared" si="4"/>
        <v>#REF!</v>
      </c>
      <c r="AF30" s="6" t="e">
        <f t="shared" si="4"/>
        <v>#REF!</v>
      </c>
      <c r="AG30" s="6" t="e">
        <f t="shared" si="4"/>
        <v>#REF!</v>
      </c>
      <c r="AH30" s="6" t="e">
        <f t="shared" si="4"/>
        <v>#REF!</v>
      </c>
      <c r="AI30" s="6" t="e">
        <f t="shared" si="4"/>
        <v>#REF!</v>
      </c>
      <c r="AJ30" s="6" t="e">
        <f t="shared" si="4"/>
        <v>#REF!</v>
      </c>
      <c r="AK30" s="6" t="e">
        <f t="shared" si="4"/>
        <v>#REF!</v>
      </c>
    </row>
    <row r="31" spans="1:37" x14ac:dyDescent="0.25">
      <c r="A31" s="4">
        <f t="shared" si="1"/>
        <v>3</v>
      </c>
      <c r="B31" s="6" t="e">
        <f t="shared" si="2"/>
        <v>#REF!</v>
      </c>
      <c r="C31" s="6" t="e">
        <f t="shared" ref="C31:AK31" si="5">C$27/C5</f>
        <v>#REF!</v>
      </c>
      <c r="D31" s="6" t="e">
        <f t="shared" si="5"/>
        <v>#REF!</v>
      </c>
      <c r="E31" s="6" t="e">
        <f t="shared" si="5"/>
        <v>#REF!</v>
      </c>
      <c r="F31" s="6" t="e">
        <f t="shared" si="5"/>
        <v>#REF!</v>
      </c>
      <c r="G31" s="6" t="e">
        <f t="shared" si="5"/>
        <v>#REF!</v>
      </c>
      <c r="H31" s="6" t="e">
        <f t="shared" si="5"/>
        <v>#REF!</v>
      </c>
      <c r="I31" s="6" t="e">
        <f t="shared" si="5"/>
        <v>#REF!</v>
      </c>
      <c r="J31" s="6" t="e">
        <f t="shared" si="5"/>
        <v>#REF!</v>
      </c>
      <c r="K31" s="6" t="e">
        <f t="shared" si="5"/>
        <v>#REF!</v>
      </c>
      <c r="L31" s="6" t="e">
        <f t="shared" si="5"/>
        <v>#REF!</v>
      </c>
      <c r="M31" s="6" t="e">
        <f t="shared" si="5"/>
        <v>#REF!</v>
      </c>
      <c r="N31" s="6" t="e">
        <f t="shared" si="5"/>
        <v>#REF!</v>
      </c>
      <c r="O31" s="6" t="e">
        <f t="shared" si="5"/>
        <v>#REF!</v>
      </c>
      <c r="P31" s="6" t="e">
        <f t="shared" si="5"/>
        <v>#REF!</v>
      </c>
      <c r="Q31" s="6" t="e">
        <f t="shared" si="5"/>
        <v>#REF!</v>
      </c>
      <c r="R31" s="6" t="e">
        <f t="shared" si="5"/>
        <v>#REF!</v>
      </c>
      <c r="S31" s="6" t="e">
        <f t="shared" si="5"/>
        <v>#REF!</v>
      </c>
      <c r="T31" s="6" t="e">
        <f t="shared" si="5"/>
        <v>#REF!</v>
      </c>
      <c r="U31" s="6" t="e">
        <f t="shared" si="5"/>
        <v>#REF!</v>
      </c>
      <c r="V31" s="6" t="e">
        <f t="shared" si="5"/>
        <v>#REF!</v>
      </c>
      <c r="W31" s="6" t="e">
        <f t="shared" si="5"/>
        <v>#REF!</v>
      </c>
      <c r="X31" s="6" t="e">
        <f t="shared" si="5"/>
        <v>#REF!</v>
      </c>
      <c r="Y31" s="6" t="e">
        <f t="shared" si="5"/>
        <v>#REF!</v>
      </c>
      <c r="Z31" s="6" t="e">
        <f t="shared" si="5"/>
        <v>#REF!</v>
      </c>
      <c r="AA31" s="6" t="e">
        <f t="shared" si="5"/>
        <v>#REF!</v>
      </c>
      <c r="AB31" s="6" t="e">
        <f t="shared" si="5"/>
        <v>#REF!</v>
      </c>
      <c r="AC31" s="6" t="e">
        <f t="shared" si="5"/>
        <v>#REF!</v>
      </c>
      <c r="AD31" s="6" t="e">
        <f t="shared" si="5"/>
        <v>#REF!</v>
      </c>
      <c r="AE31" s="6" t="e">
        <f t="shared" si="5"/>
        <v>#REF!</v>
      </c>
      <c r="AF31" s="6" t="e">
        <f t="shared" si="5"/>
        <v>#REF!</v>
      </c>
      <c r="AG31" s="6" t="e">
        <f t="shared" si="5"/>
        <v>#REF!</v>
      </c>
      <c r="AH31" s="6" t="e">
        <f t="shared" si="5"/>
        <v>#REF!</v>
      </c>
      <c r="AI31" s="6" t="e">
        <f t="shared" si="5"/>
        <v>#REF!</v>
      </c>
      <c r="AJ31" s="6" t="e">
        <f t="shared" si="5"/>
        <v>#REF!</v>
      </c>
      <c r="AK31" s="6" t="e">
        <f t="shared" si="5"/>
        <v>#REF!</v>
      </c>
    </row>
    <row r="32" spans="1:37" x14ac:dyDescent="0.25">
      <c r="A32" s="4">
        <f t="shared" si="1"/>
        <v>4</v>
      </c>
      <c r="B32" s="6" t="e">
        <f t="shared" si="2"/>
        <v>#REF!</v>
      </c>
      <c r="C32" s="6" t="e">
        <f t="shared" ref="C32:AK32" si="6">C$27/C6</f>
        <v>#REF!</v>
      </c>
      <c r="D32" s="6" t="e">
        <f t="shared" si="6"/>
        <v>#REF!</v>
      </c>
      <c r="E32" s="6" t="e">
        <f t="shared" si="6"/>
        <v>#REF!</v>
      </c>
      <c r="F32" s="6" t="e">
        <f t="shared" si="6"/>
        <v>#REF!</v>
      </c>
      <c r="G32" s="6" t="e">
        <f t="shared" si="6"/>
        <v>#REF!</v>
      </c>
      <c r="H32" s="6" t="e">
        <f t="shared" si="6"/>
        <v>#REF!</v>
      </c>
      <c r="I32" s="6" t="e">
        <f t="shared" si="6"/>
        <v>#REF!</v>
      </c>
      <c r="J32" s="6" t="e">
        <f t="shared" si="6"/>
        <v>#REF!</v>
      </c>
      <c r="K32" s="6" t="e">
        <f t="shared" si="6"/>
        <v>#REF!</v>
      </c>
      <c r="L32" s="6" t="e">
        <f t="shared" si="6"/>
        <v>#REF!</v>
      </c>
      <c r="M32" s="6" t="e">
        <f t="shared" si="6"/>
        <v>#REF!</v>
      </c>
      <c r="N32" s="6" t="e">
        <f t="shared" si="6"/>
        <v>#REF!</v>
      </c>
      <c r="O32" s="6" t="e">
        <f t="shared" si="6"/>
        <v>#REF!</v>
      </c>
      <c r="P32" s="6" t="e">
        <f t="shared" si="6"/>
        <v>#REF!</v>
      </c>
      <c r="Q32" s="6" t="e">
        <f t="shared" si="6"/>
        <v>#REF!</v>
      </c>
      <c r="R32" s="6" t="e">
        <f t="shared" si="6"/>
        <v>#REF!</v>
      </c>
      <c r="S32" s="6" t="e">
        <f t="shared" si="6"/>
        <v>#REF!</v>
      </c>
      <c r="T32" s="6" t="e">
        <f t="shared" si="6"/>
        <v>#REF!</v>
      </c>
      <c r="U32" s="6" t="e">
        <f t="shared" si="6"/>
        <v>#REF!</v>
      </c>
      <c r="V32" s="6" t="e">
        <f t="shared" si="6"/>
        <v>#REF!</v>
      </c>
      <c r="W32" s="6" t="e">
        <f t="shared" si="6"/>
        <v>#REF!</v>
      </c>
      <c r="X32" s="6" t="e">
        <f t="shared" si="6"/>
        <v>#REF!</v>
      </c>
      <c r="Y32" s="6" t="e">
        <f t="shared" si="6"/>
        <v>#REF!</v>
      </c>
      <c r="Z32" s="6" t="e">
        <f t="shared" si="6"/>
        <v>#REF!</v>
      </c>
      <c r="AA32" s="6" t="e">
        <f t="shared" si="6"/>
        <v>#REF!</v>
      </c>
      <c r="AB32" s="6" t="e">
        <f t="shared" si="6"/>
        <v>#REF!</v>
      </c>
      <c r="AC32" s="6" t="e">
        <f t="shared" si="6"/>
        <v>#REF!</v>
      </c>
      <c r="AD32" s="6" t="e">
        <f t="shared" si="6"/>
        <v>#REF!</v>
      </c>
      <c r="AE32" s="6" t="e">
        <f t="shared" si="6"/>
        <v>#REF!</v>
      </c>
      <c r="AF32" s="6" t="e">
        <f t="shared" si="6"/>
        <v>#REF!</v>
      </c>
      <c r="AG32" s="6" t="e">
        <f t="shared" si="6"/>
        <v>#REF!</v>
      </c>
      <c r="AH32" s="6" t="e">
        <f t="shared" si="6"/>
        <v>#REF!</v>
      </c>
      <c r="AI32" s="6" t="e">
        <f t="shared" si="6"/>
        <v>#REF!</v>
      </c>
      <c r="AJ32" s="6" t="e">
        <f t="shared" si="6"/>
        <v>#REF!</v>
      </c>
      <c r="AK32" s="6" t="e">
        <f t="shared" si="6"/>
        <v>#REF!</v>
      </c>
    </row>
    <row r="33" spans="1:37" x14ac:dyDescent="0.25">
      <c r="A33" s="4">
        <f t="shared" si="1"/>
        <v>5</v>
      </c>
      <c r="B33" s="6" t="e">
        <f t="shared" si="2"/>
        <v>#REF!</v>
      </c>
      <c r="C33" s="6" t="e">
        <f t="shared" ref="C33:AK33" si="7">C$27/C7</f>
        <v>#REF!</v>
      </c>
      <c r="D33" s="6" t="e">
        <f t="shared" si="7"/>
        <v>#REF!</v>
      </c>
      <c r="E33" s="6" t="e">
        <f t="shared" si="7"/>
        <v>#REF!</v>
      </c>
      <c r="F33" s="6" t="e">
        <f t="shared" si="7"/>
        <v>#REF!</v>
      </c>
      <c r="G33" s="6" t="e">
        <f t="shared" si="7"/>
        <v>#REF!</v>
      </c>
      <c r="H33" s="6" t="e">
        <f t="shared" si="7"/>
        <v>#REF!</v>
      </c>
      <c r="I33" s="6" t="e">
        <f t="shared" si="7"/>
        <v>#REF!</v>
      </c>
      <c r="J33" s="6" t="e">
        <f t="shared" si="7"/>
        <v>#REF!</v>
      </c>
      <c r="K33" s="6" t="e">
        <f t="shared" si="7"/>
        <v>#REF!</v>
      </c>
      <c r="L33" s="6" t="e">
        <f t="shared" si="7"/>
        <v>#REF!</v>
      </c>
      <c r="M33" s="6" t="e">
        <f t="shared" si="7"/>
        <v>#REF!</v>
      </c>
      <c r="N33" s="6" t="e">
        <f t="shared" si="7"/>
        <v>#REF!</v>
      </c>
      <c r="O33" s="6" t="e">
        <f t="shared" si="7"/>
        <v>#REF!</v>
      </c>
      <c r="P33" s="6" t="e">
        <f t="shared" si="7"/>
        <v>#REF!</v>
      </c>
      <c r="Q33" s="6" t="e">
        <f t="shared" si="7"/>
        <v>#REF!</v>
      </c>
      <c r="R33" s="6" t="e">
        <f t="shared" si="7"/>
        <v>#REF!</v>
      </c>
      <c r="S33" s="6" t="e">
        <f t="shared" si="7"/>
        <v>#REF!</v>
      </c>
      <c r="T33" s="6" t="e">
        <f t="shared" si="7"/>
        <v>#REF!</v>
      </c>
      <c r="U33" s="6" t="e">
        <f t="shared" si="7"/>
        <v>#REF!</v>
      </c>
      <c r="V33" s="6" t="e">
        <f t="shared" si="7"/>
        <v>#REF!</v>
      </c>
      <c r="W33" s="6" t="e">
        <f t="shared" si="7"/>
        <v>#REF!</v>
      </c>
      <c r="X33" s="6" t="e">
        <f t="shared" si="7"/>
        <v>#REF!</v>
      </c>
      <c r="Y33" s="6" t="e">
        <f t="shared" si="7"/>
        <v>#REF!</v>
      </c>
      <c r="Z33" s="6" t="e">
        <f t="shared" si="7"/>
        <v>#REF!</v>
      </c>
      <c r="AA33" s="6" t="e">
        <f t="shared" si="7"/>
        <v>#REF!</v>
      </c>
      <c r="AB33" s="6" t="e">
        <f t="shared" si="7"/>
        <v>#REF!</v>
      </c>
      <c r="AC33" s="6" t="e">
        <f t="shared" si="7"/>
        <v>#REF!</v>
      </c>
      <c r="AD33" s="6" t="e">
        <f t="shared" si="7"/>
        <v>#REF!</v>
      </c>
      <c r="AE33" s="6" t="e">
        <f t="shared" si="7"/>
        <v>#REF!</v>
      </c>
      <c r="AF33" s="6" t="e">
        <f t="shared" si="7"/>
        <v>#REF!</v>
      </c>
      <c r="AG33" s="6" t="e">
        <f t="shared" si="7"/>
        <v>#REF!</v>
      </c>
      <c r="AH33" s="6" t="e">
        <f t="shared" si="7"/>
        <v>#REF!</v>
      </c>
      <c r="AI33" s="6" t="e">
        <f t="shared" si="7"/>
        <v>#REF!</v>
      </c>
      <c r="AJ33" s="6" t="e">
        <f t="shared" si="7"/>
        <v>#REF!</v>
      </c>
      <c r="AK33" s="6" t="e">
        <f t="shared" si="7"/>
        <v>#REF!</v>
      </c>
    </row>
    <row r="34" spans="1:37" x14ac:dyDescent="0.25">
      <c r="A34" s="4">
        <f t="shared" si="1"/>
        <v>6</v>
      </c>
      <c r="B34" s="6" t="e">
        <f t="shared" si="2"/>
        <v>#REF!</v>
      </c>
      <c r="C34" s="6" t="e">
        <f t="shared" ref="C34:AK34" si="8">C$27/C8</f>
        <v>#REF!</v>
      </c>
      <c r="D34" s="6" t="e">
        <f t="shared" si="8"/>
        <v>#REF!</v>
      </c>
      <c r="E34" s="6" t="e">
        <f t="shared" si="8"/>
        <v>#REF!</v>
      </c>
      <c r="F34" s="6" t="e">
        <f t="shared" si="8"/>
        <v>#REF!</v>
      </c>
      <c r="G34" s="6" t="e">
        <f t="shared" si="8"/>
        <v>#REF!</v>
      </c>
      <c r="H34" s="6" t="e">
        <f t="shared" si="8"/>
        <v>#REF!</v>
      </c>
      <c r="I34" s="6" t="e">
        <f t="shared" si="8"/>
        <v>#REF!</v>
      </c>
      <c r="J34" s="6" t="e">
        <f t="shared" si="8"/>
        <v>#REF!</v>
      </c>
      <c r="K34" s="6" t="e">
        <f t="shared" si="8"/>
        <v>#REF!</v>
      </c>
      <c r="L34" s="6" t="e">
        <f t="shared" si="8"/>
        <v>#REF!</v>
      </c>
      <c r="M34" s="6" t="e">
        <f t="shared" si="8"/>
        <v>#REF!</v>
      </c>
      <c r="N34" s="6" t="e">
        <f t="shared" si="8"/>
        <v>#REF!</v>
      </c>
      <c r="O34" s="6" t="e">
        <f t="shared" si="8"/>
        <v>#REF!</v>
      </c>
      <c r="P34" s="6" t="e">
        <f t="shared" si="8"/>
        <v>#REF!</v>
      </c>
      <c r="Q34" s="6" t="e">
        <f t="shared" si="8"/>
        <v>#REF!</v>
      </c>
      <c r="R34" s="6" t="e">
        <f t="shared" si="8"/>
        <v>#REF!</v>
      </c>
      <c r="S34" s="6" t="e">
        <f t="shared" si="8"/>
        <v>#REF!</v>
      </c>
      <c r="T34" s="6" t="e">
        <f t="shared" si="8"/>
        <v>#REF!</v>
      </c>
      <c r="U34" s="6" t="e">
        <f t="shared" si="8"/>
        <v>#REF!</v>
      </c>
      <c r="V34" s="6" t="e">
        <f t="shared" si="8"/>
        <v>#REF!</v>
      </c>
      <c r="W34" s="6" t="e">
        <f t="shared" si="8"/>
        <v>#REF!</v>
      </c>
      <c r="X34" s="6" t="e">
        <f t="shared" si="8"/>
        <v>#REF!</v>
      </c>
      <c r="Y34" s="6" t="e">
        <f t="shared" si="8"/>
        <v>#REF!</v>
      </c>
      <c r="Z34" s="6" t="e">
        <f t="shared" si="8"/>
        <v>#REF!</v>
      </c>
      <c r="AA34" s="6" t="e">
        <f t="shared" si="8"/>
        <v>#REF!</v>
      </c>
      <c r="AB34" s="6" t="e">
        <f t="shared" si="8"/>
        <v>#REF!</v>
      </c>
      <c r="AC34" s="6" t="e">
        <f t="shared" si="8"/>
        <v>#REF!</v>
      </c>
      <c r="AD34" s="6" t="e">
        <f t="shared" si="8"/>
        <v>#REF!</v>
      </c>
      <c r="AE34" s="6" t="e">
        <f t="shared" si="8"/>
        <v>#REF!</v>
      </c>
      <c r="AF34" s="6" t="e">
        <f t="shared" si="8"/>
        <v>#REF!</v>
      </c>
      <c r="AG34" s="6" t="e">
        <f t="shared" si="8"/>
        <v>#REF!</v>
      </c>
      <c r="AH34" s="6" t="e">
        <f t="shared" si="8"/>
        <v>#REF!</v>
      </c>
      <c r="AI34" s="6" t="e">
        <f t="shared" si="8"/>
        <v>#REF!</v>
      </c>
      <c r="AJ34" s="6" t="e">
        <f t="shared" si="8"/>
        <v>#REF!</v>
      </c>
      <c r="AK34" s="6" t="e">
        <f t="shared" si="8"/>
        <v>#REF!</v>
      </c>
    </row>
    <row r="35" spans="1:37" x14ac:dyDescent="0.25">
      <c r="A35" s="4">
        <f t="shared" si="1"/>
        <v>7</v>
      </c>
      <c r="B35" s="6" t="e">
        <f t="shared" si="2"/>
        <v>#REF!</v>
      </c>
      <c r="C35" s="6" t="e">
        <f t="shared" ref="C35:AK35" si="9">C$27/C9</f>
        <v>#REF!</v>
      </c>
      <c r="D35" s="6" t="e">
        <f t="shared" si="9"/>
        <v>#REF!</v>
      </c>
      <c r="E35" s="6" t="e">
        <f t="shared" si="9"/>
        <v>#REF!</v>
      </c>
      <c r="F35" s="6" t="e">
        <f t="shared" si="9"/>
        <v>#REF!</v>
      </c>
      <c r="G35" s="6" t="e">
        <f t="shared" si="9"/>
        <v>#REF!</v>
      </c>
      <c r="H35" s="6" t="e">
        <f t="shared" si="9"/>
        <v>#REF!</v>
      </c>
      <c r="I35" s="6" t="e">
        <f t="shared" si="9"/>
        <v>#REF!</v>
      </c>
      <c r="J35" s="6" t="e">
        <f t="shared" si="9"/>
        <v>#REF!</v>
      </c>
      <c r="K35" s="6" t="e">
        <f t="shared" si="9"/>
        <v>#REF!</v>
      </c>
      <c r="L35" s="6" t="e">
        <f t="shared" si="9"/>
        <v>#REF!</v>
      </c>
      <c r="M35" s="6" t="e">
        <f t="shared" si="9"/>
        <v>#REF!</v>
      </c>
      <c r="N35" s="6" t="e">
        <f t="shared" si="9"/>
        <v>#REF!</v>
      </c>
      <c r="O35" s="6" t="e">
        <f t="shared" si="9"/>
        <v>#REF!</v>
      </c>
      <c r="P35" s="6" t="e">
        <f t="shared" si="9"/>
        <v>#REF!</v>
      </c>
      <c r="Q35" s="6" t="e">
        <f t="shared" si="9"/>
        <v>#REF!</v>
      </c>
      <c r="R35" s="6" t="e">
        <f t="shared" si="9"/>
        <v>#REF!</v>
      </c>
      <c r="S35" s="6" t="e">
        <f t="shared" si="9"/>
        <v>#REF!</v>
      </c>
      <c r="T35" s="6" t="e">
        <f t="shared" si="9"/>
        <v>#REF!</v>
      </c>
      <c r="U35" s="6" t="e">
        <f t="shared" si="9"/>
        <v>#REF!</v>
      </c>
      <c r="V35" s="6" t="e">
        <f t="shared" si="9"/>
        <v>#REF!</v>
      </c>
      <c r="W35" s="6" t="e">
        <f t="shared" si="9"/>
        <v>#REF!</v>
      </c>
      <c r="X35" s="6" t="e">
        <f t="shared" si="9"/>
        <v>#REF!</v>
      </c>
      <c r="Y35" s="6" t="e">
        <f t="shared" si="9"/>
        <v>#REF!</v>
      </c>
      <c r="Z35" s="6" t="e">
        <f t="shared" si="9"/>
        <v>#REF!</v>
      </c>
      <c r="AA35" s="6" t="e">
        <f t="shared" si="9"/>
        <v>#REF!</v>
      </c>
      <c r="AB35" s="6" t="e">
        <f t="shared" si="9"/>
        <v>#REF!</v>
      </c>
      <c r="AC35" s="6" t="e">
        <f t="shared" si="9"/>
        <v>#REF!</v>
      </c>
      <c r="AD35" s="6" t="e">
        <f t="shared" si="9"/>
        <v>#REF!</v>
      </c>
      <c r="AE35" s="6" t="e">
        <f t="shared" si="9"/>
        <v>#REF!</v>
      </c>
      <c r="AF35" s="6" t="e">
        <f t="shared" si="9"/>
        <v>#REF!</v>
      </c>
      <c r="AG35" s="6" t="e">
        <f t="shared" si="9"/>
        <v>#REF!</v>
      </c>
      <c r="AH35" s="6" t="e">
        <f t="shared" si="9"/>
        <v>#REF!</v>
      </c>
      <c r="AI35" s="6" t="e">
        <f t="shared" si="9"/>
        <v>#REF!</v>
      </c>
      <c r="AJ35" s="6" t="e">
        <f t="shared" si="9"/>
        <v>#REF!</v>
      </c>
      <c r="AK35" s="6" t="e">
        <f t="shared" si="9"/>
        <v>#REF!</v>
      </c>
    </row>
    <row r="36" spans="1:37" x14ac:dyDescent="0.25">
      <c r="A36" s="4">
        <f t="shared" si="1"/>
        <v>8</v>
      </c>
      <c r="B36" s="6" t="e">
        <f t="shared" si="2"/>
        <v>#REF!</v>
      </c>
      <c r="C36" s="6" t="e">
        <f t="shared" ref="C36:AK36" si="10">C$27/C10</f>
        <v>#REF!</v>
      </c>
      <c r="D36" s="6" t="e">
        <f t="shared" si="10"/>
        <v>#REF!</v>
      </c>
      <c r="E36" s="6" t="e">
        <f t="shared" si="10"/>
        <v>#REF!</v>
      </c>
      <c r="F36" s="6" t="e">
        <f t="shared" si="10"/>
        <v>#REF!</v>
      </c>
      <c r="G36" s="6" t="e">
        <f t="shared" si="10"/>
        <v>#REF!</v>
      </c>
      <c r="H36" s="6" t="e">
        <f t="shared" si="10"/>
        <v>#REF!</v>
      </c>
      <c r="I36" s="6" t="e">
        <f t="shared" si="10"/>
        <v>#REF!</v>
      </c>
      <c r="J36" s="6" t="e">
        <f t="shared" si="10"/>
        <v>#REF!</v>
      </c>
      <c r="K36" s="6" t="e">
        <f t="shared" si="10"/>
        <v>#REF!</v>
      </c>
      <c r="L36" s="6" t="e">
        <f t="shared" si="10"/>
        <v>#REF!</v>
      </c>
      <c r="M36" s="6" t="e">
        <f t="shared" si="10"/>
        <v>#REF!</v>
      </c>
      <c r="N36" s="6" t="e">
        <f t="shared" si="10"/>
        <v>#REF!</v>
      </c>
      <c r="O36" s="6" t="e">
        <f t="shared" si="10"/>
        <v>#REF!</v>
      </c>
      <c r="P36" s="6" t="e">
        <f t="shared" si="10"/>
        <v>#REF!</v>
      </c>
      <c r="Q36" s="6" t="e">
        <f t="shared" si="10"/>
        <v>#REF!</v>
      </c>
      <c r="R36" s="6" t="e">
        <f t="shared" si="10"/>
        <v>#REF!</v>
      </c>
      <c r="S36" s="6" t="e">
        <f t="shared" si="10"/>
        <v>#REF!</v>
      </c>
      <c r="T36" s="6" t="e">
        <f t="shared" si="10"/>
        <v>#REF!</v>
      </c>
      <c r="U36" s="6" t="e">
        <f t="shared" si="10"/>
        <v>#REF!</v>
      </c>
      <c r="V36" s="6" t="e">
        <f t="shared" si="10"/>
        <v>#REF!</v>
      </c>
      <c r="W36" s="6" t="e">
        <f t="shared" si="10"/>
        <v>#REF!</v>
      </c>
      <c r="X36" s="6" t="e">
        <f t="shared" si="10"/>
        <v>#REF!</v>
      </c>
      <c r="Y36" s="6" t="e">
        <f t="shared" si="10"/>
        <v>#REF!</v>
      </c>
      <c r="Z36" s="6" t="e">
        <f t="shared" si="10"/>
        <v>#REF!</v>
      </c>
      <c r="AA36" s="6" t="e">
        <f t="shared" si="10"/>
        <v>#REF!</v>
      </c>
      <c r="AB36" s="6" t="e">
        <f t="shared" si="10"/>
        <v>#REF!</v>
      </c>
      <c r="AC36" s="6" t="e">
        <f t="shared" si="10"/>
        <v>#REF!</v>
      </c>
      <c r="AD36" s="6" t="e">
        <f t="shared" si="10"/>
        <v>#REF!</v>
      </c>
      <c r="AE36" s="6" t="e">
        <f t="shared" si="10"/>
        <v>#REF!</v>
      </c>
      <c r="AF36" s="6" t="e">
        <f t="shared" si="10"/>
        <v>#REF!</v>
      </c>
      <c r="AG36" s="6" t="e">
        <f t="shared" si="10"/>
        <v>#REF!</v>
      </c>
      <c r="AH36" s="6" t="e">
        <f t="shared" si="10"/>
        <v>#REF!</v>
      </c>
      <c r="AI36" s="6" t="e">
        <f t="shared" si="10"/>
        <v>#REF!</v>
      </c>
      <c r="AJ36" s="6" t="e">
        <f t="shared" si="10"/>
        <v>#REF!</v>
      </c>
      <c r="AK36" s="6" t="e">
        <f t="shared" si="10"/>
        <v>#REF!</v>
      </c>
    </row>
    <row r="37" spans="1:37" x14ac:dyDescent="0.25">
      <c r="A37" s="4">
        <f t="shared" si="1"/>
        <v>9</v>
      </c>
      <c r="B37" s="6" t="e">
        <f t="shared" si="2"/>
        <v>#REF!</v>
      </c>
      <c r="C37" s="6" t="e">
        <f t="shared" ref="C37:AK37" si="11">C$27/C11</f>
        <v>#REF!</v>
      </c>
      <c r="D37" s="6" t="e">
        <f t="shared" si="11"/>
        <v>#REF!</v>
      </c>
      <c r="E37" s="6" t="e">
        <f t="shared" si="11"/>
        <v>#REF!</v>
      </c>
      <c r="F37" s="6" t="e">
        <f t="shared" si="11"/>
        <v>#REF!</v>
      </c>
      <c r="G37" s="6" t="e">
        <f t="shared" si="11"/>
        <v>#REF!</v>
      </c>
      <c r="H37" s="6" t="e">
        <f t="shared" si="11"/>
        <v>#REF!</v>
      </c>
      <c r="I37" s="6" t="e">
        <f t="shared" si="11"/>
        <v>#REF!</v>
      </c>
      <c r="J37" s="6" t="e">
        <f t="shared" si="11"/>
        <v>#REF!</v>
      </c>
      <c r="K37" s="6" t="e">
        <f t="shared" si="11"/>
        <v>#REF!</v>
      </c>
      <c r="L37" s="6" t="e">
        <f t="shared" si="11"/>
        <v>#REF!</v>
      </c>
      <c r="M37" s="6" t="e">
        <f t="shared" si="11"/>
        <v>#REF!</v>
      </c>
      <c r="N37" s="6" t="e">
        <f t="shared" si="11"/>
        <v>#REF!</v>
      </c>
      <c r="O37" s="6" t="e">
        <f t="shared" si="11"/>
        <v>#REF!</v>
      </c>
      <c r="P37" s="6" t="e">
        <f t="shared" si="11"/>
        <v>#REF!</v>
      </c>
      <c r="Q37" s="6" t="e">
        <f t="shared" si="11"/>
        <v>#REF!</v>
      </c>
      <c r="R37" s="6" t="e">
        <f t="shared" si="11"/>
        <v>#REF!</v>
      </c>
      <c r="S37" s="6" t="e">
        <f t="shared" si="11"/>
        <v>#REF!</v>
      </c>
      <c r="T37" s="6" t="e">
        <f t="shared" si="11"/>
        <v>#REF!</v>
      </c>
      <c r="U37" s="6" t="e">
        <f t="shared" si="11"/>
        <v>#REF!</v>
      </c>
      <c r="V37" s="6" t="e">
        <f t="shared" si="11"/>
        <v>#REF!</v>
      </c>
      <c r="W37" s="6" t="e">
        <f t="shared" si="11"/>
        <v>#REF!</v>
      </c>
      <c r="X37" s="6" t="e">
        <f t="shared" si="11"/>
        <v>#REF!</v>
      </c>
      <c r="Y37" s="6" t="e">
        <f t="shared" si="11"/>
        <v>#REF!</v>
      </c>
      <c r="Z37" s="6" t="e">
        <f t="shared" si="11"/>
        <v>#REF!</v>
      </c>
      <c r="AA37" s="6" t="e">
        <f t="shared" si="11"/>
        <v>#REF!</v>
      </c>
      <c r="AB37" s="6" t="e">
        <f t="shared" si="11"/>
        <v>#REF!</v>
      </c>
      <c r="AC37" s="6" t="e">
        <f t="shared" si="11"/>
        <v>#REF!</v>
      </c>
      <c r="AD37" s="6" t="e">
        <f t="shared" si="11"/>
        <v>#REF!</v>
      </c>
      <c r="AE37" s="6" t="e">
        <f t="shared" si="11"/>
        <v>#REF!</v>
      </c>
      <c r="AF37" s="6" t="e">
        <f t="shared" si="11"/>
        <v>#REF!</v>
      </c>
      <c r="AG37" s="6" t="e">
        <f t="shared" si="11"/>
        <v>#REF!</v>
      </c>
      <c r="AH37" s="6" t="e">
        <f t="shared" si="11"/>
        <v>#REF!</v>
      </c>
      <c r="AI37" s="6" t="e">
        <f t="shared" si="11"/>
        <v>#REF!</v>
      </c>
      <c r="AJ37" s="6" t="e">
        <f t="shared" si="11"/>
        <v>#REF!</v>
      </c>
      <c r="AK37" s="6" t="e">
        <f t="shared" si="11"/>
        <v>#REF!</v>
      </c>
    </row>
    <row r="38" spans="1:37" x14ac:dyDescent="0.25">
      <c r="A38" s="4">
        <f t="shared" si="1"/>
        <v>10</v>
      </c>
      <c r="B38" s="6" t="e">
        <f t="shared" si="2"/>
        <v>#REF!</v>
      </c>
      <c r="C38" s="6" t="e">
        <f t="shared" ref="C38:AK38" si="12">C$27/C12</f>
        <v>#REF!</v>
      </c>
      <c r="D38" s="6" t="e">
        <f t="shared" si="12"/>
        <v>#REF!</v>
      </c>
      <c r="E38" s="6" t="e">
        <f t="shared" si="12"/>
        <v>#REF!</v>
      </c>
      <c r="F38" s="6" t="e">
        <f t="shared" si="12"/>
        <v>#REF!</v>
      </c>
      <c r="G38" s="6" t="e">
        <f t="shared" si="12"/>
        <v>#REF!</v>
      </c>
      <c r="H38" s="6" t="e">
        <f t="shared" si="12"/>
        <v>#REF!</v>
      </c>
      <c r="I38" s="6" t="e">
        <f t="shared" si="12"/>
        <v>#REF!</v>
      </c>
      <c r="J38" s="6" t="e">
        <f t="shared" si="12"/>
        <v>#REF!</v>
      </c>
      <c r="K38" s="6" t="e">
        <f t="shared" si="12"/>
        <v>#REF!</v>
      </c>
      <c r="L38" s="6" t="e">
        <f t="shared" si="12"/>
        <v>#REF!</v>
      </c>
      <c r="M38" s="6" t="e">
        <f t="shared" si="12"/>
        <v>#REF!</v>
      </c>
      <c r="N38" s="6" t="e">
        <f t="shared" si="12"/>
        <v>#REF!</v>
      </c>
      <c r="O38" s="6" t="e">
        <f t="shared" si="12"/>
        <v>#REF!</v>
      </c>
      <c r="P38" s="6" t="e">
        <f t="shared" si="12"/>
        <v>#REF!</v>
      </c>
      <c r="Q38" s="6" t="e">
        <f t="shared" si="12"/>
        <v>#REF!</v>
      </c>
      <c r="R38" s="6" t="e">
        <f t="shared" si="12"/>
        <v>#REF!</v>
      </c>
      <c r="S38" s="6" t="e">
        <f t="shared" si="12"/>
        <v>#REF!</v>
      </c>
      <c r="T38" s="6" t="e">
        <f t="shared" si="12"/>
        <v>#REF!</v>
      </c>
      <c r="U38" s="6" t="e">
        <f t="shared" si="12"/>
        <v>#REF!</v>
      </c>
      <c r="V38" s="6" t="e">
        <f t="shared" si="12"/>
        <v>#REF!</v>
      </c>
      <c r="W38" s="6" t="e">
        <f t="shared" si="12"/>
        <v>#REF!</v>
      </c>
      <c r="X38" s="6" t="e">
        <f t="shared" si="12"/>
        <v>#REF!</v>
      </c>
      <c r="Y38" s="6" t="e">
        <f t="shared" si="12"/>
        <v>#REF!</v>
      </c>
      <c r="Z38" s="6" t="e">
        <f t="shared" si="12"/>
        <v>#REF!</v>
      </c>
      <c r="AA38" s="6" t="e">
        <f t="shared" si="12"/>
        <v>#REF!</v>
      </c>
      <c r="AB38" s="6" t="e">
        <f t="shared" si="12"/>
        <v>#REF!</v>
      </c>
      <c r="AC38" s="6" t="e">
        <f t="shared" si="12"/>
        <v>#REF!</v>
      </c>
      <c r="AD38" s="6" t="e">
        <f t="shared" si="12"/>
        <v>#REF!</v>
      </c>
      <c r="AE38" s="6" t="e">
        <f t="shared" si="12"/>
        <v>#REF!</v>
      </c>
      <c r="AF38" s="6" t="e">
        <f t="shared" si="12"/>
        <v>#REF!</v>
      </c>
      <c r="AG38" s="6" t="e">
        <f t="shared" si="12"/>
        <v>#REF!</v>
      </c>
      <c r="AH38" s="6" t="e">
        <f t="shared" si="12"/>
        <v>#REF!</v>
      </c>
      <c r="AI38" s="6" t="e">
        <f t="shared" si="12"/>
        <v>#REF!</v>
      </c>
      <c r="AJ38" s="6" t="e">
        <f t="shared" si="12"/>
        <v>#REF!</v>
      </c>
      <c r="AK38" s="6" t="e">
        <f t="shared" si="12"/>
        <v>#REF!</v>
      </c>
    </row>
    <row r="39" spans="1:37" x14ac:dyDescent="0.25">
      <c r="A39" s="4">
        <f t="shared" si="1"/>
        <v>11</v>
      </c>
      <c r="B39" s="6" t="e">
        <f t="shared" si="2"/>
        <v>#REF!</v>
      </c>
      <c r="C39" s="6" t="e">
        <f t="shared" ref="C39:AK39" si="13">C$27/C13</f>
        <v>#REF!</v>
      </c>
      <c r="D39" s="6" t="e">
        <f t="shared" si="13"/>
        <v>#REF!</v>
      </c>
      <c r="E39" s="6" t="e">
        <f t="shared" si="13"/>
        <v>#REF!</v>
      </c>
      <c r="F39" s="6" t="e">
        <f t="shared" si="13"/>
        <v>#REF!</v>
      </c>
      <c r="G39" s="6" t="e">
        <f t="shared" si="13"/>
        <v>#REF!</v>
      </c>
      <c r="H39" s="6" t="e">
        <f t="shared" si="13"/>
        <v>#REF!</v>
      </c>
      <c r="I39" s="6" t="e">
        <f t="shared" si="13"/>
        <v>#REF!</v>
      </c>
      <c r="J39" s="6" t="e">
        <f t="shared" si="13"/>
        <v>#REF!</v>
      </c>
      <c r="K39" s="6" t="e">
        <f t="shared" si="13"/>
        <v>#REF!</v>
      </c>
      <c r="L39" s="6" t="e">
        <f t="shared" si="13"/>
        <v>#REF!</v>
      </c>
      <c r="M39" s="6" t="e">
        <f t="shared" si="13"/>
        <v>#REF!</v>
      </c>
      <c r="N39" s="6" t="e">
        <f t="shared" si="13"/>
        <v>#REF!</v>
      </c>
      <c r="O39" s="6" t="e">
        <f t="shared" si="13"/>
        <v>#REF!</v>
      </c>
      <c r="P39" s="6" t="e">
        <f t="shared" si="13"/>
        <v>#REF!</v>
      </c>
      <c r="Q39" s="6" t="e">
        <f t="shared" si="13"/>
        <v>#REF!</v>
      </c>
      <c r="R39" s="6" t="e">
        <f t="shared" si="13"/>
        <v>#REF!</v>
      </c>
      <c r="S39" s="6" t="e">
        <f t="shared" si="13"/>
        <v>#REF!</v>
      </c>
      <c r="T39" s="6" t="e">
        <f t="shared" si="13"/>
        <v>#REF!</v>
      </c>
      <c r="U39" s="6" t="e">
        <f t="shared" si="13"/>
        <v>#REF!</v>
      </c>
      <c r="V39" s="6" t="e">
        <f t="shared" si="13"/>
        <v>#REF!</v>
      </c>
      <c r="W39" s="6" t="e">
        <f t="shared" si="13"/>
        <v>#REF!</v>
      </c>
      <c r="X39" s="6" t="e">
        <f t="shared" si="13"/>
        <v>#REF!</v>
      </c>
      <c r="Y39" s="6" t="e">
        <f t="shared" si="13"/>
        <v>#REF!</v>
      </c>
      <c r="Z39" s="6" t="e">
        <f t="shared" si="13"/>
        <v>#REF!</v>
      </c>
      <c r="AA39" s="6" t="e">
        <f t="shared" si="13"/>
        <v>#REF!</v>
      </c>
      <c r="AB39" s="6" t="e">
        <f t="shared" si="13"/>
        <v>#REF!</v>
      </c>
      <c r="AC39" s="6" t="e">
        <f t="shared" si="13"/>
        <v>#REF!</v>
      </c>
      <c r="AD39" s="6" t="e">
        <f t="shared" si="13"/>
        <v>#REF!</v>
      </c>
      <c r="AE39" s="6" t="e">
        <f t="shared" si="13"/>
        <v>#REF!</v>
      </c>
      <c r="AF39" s="6" t="e">
        <f t="shared" si="13"/>
        <v>#REF!</v>
      </c>
      <c r="AG39" s="6" t="e">
        <f t="shared" si="13"/>
        <v>#REF!</v>
      </c>
      <c r="AH39" s="6" t="e">
        <f t="shared" si="13"/>
        <v>#REF!</v>
      </c>
      <c r="AI39" s="6" t="e">
        <f t="shared" si="13"/>
        <v>#REF!</v>
      </c>
      <c r="AJ39" s="6" t="e">
        <f t="shared" si="13"/>
        <v>#REF!</v>
      </c>
      <c r="AK39" s="6" t="e">
        <f t="shared" si="13"/>
        <v>#REF!</v>
      </c>
    </row>
    <row r="40" spans="1:37" x14ac:dyDescent="0.25">
      <c r="A40" s="4">
        <f t="shared" si="1"/>
        <v>12</v>
      </c>
      <c r="B40" s="6" t="e">
        <f t="shared" si="2"/>
        <v>#REF!</v>
      </c>
      <c r="C40" s="6" t="e">
        <f t="shared" ref="C40:AK40" si="14">C$27/C14</f>
        <v>#REF!</v>
      </c>
      <c r="D40" s="6" t="e">
        <f t="shared" si="14"/>
        <v>#REF!</v>
      </c>
      <c r="E40" s="6" t="e">
        <f t="shared" si="14"/>
        <v>#REF!</v>
      </c>
      <c r="F40" s="6" t="e">
        <f t="shared" si="14"/>
        <v>#REF!</v>
      </c>
      <c r="G40" s="6" t="e">
        <f t="shared" si="14"/>
        <v>#REF!</v>
      </c>
      <c r="H40" s="6" t="e">
        <f t="shared" si="14"/>
        <v>#REF!</v>
      </c>
      <c r="I40" s="6" t="e">
        <f t="shared" si="14"/>
        <v>#REF!</v>
      </c>
      <c r="J40" s="6" t="e">
        <f t="shared" si="14"/>
        <v>#REF!</v>
      </c>
      <c r="K40" s="6" t="e">
        <f t="shared" si="14"/>
        <v>#REF!</v>
      </c>
      <c r="L40" s="6" t="e">
        <f t="shared" si="14"/>
        <v>#REF!</v>
      </c>
      <c r="M40" s="6" t="e">
        <f t="shared" si="14"/>
        <v>#REF!</v>
      </c>
      <c r="N40" s="6" t="e">
        <f t="shared" si="14"/>
        <v>#REF!</v>
      </c>
      <c r="O40" s="6" t="e">
        <f t="shared" si="14"/>
        <v>#REF!</v>
      </c>
      <c r="P40" s="6" t="e">
        <f t="shared" si="14"/>
        <v>#REF!</v>
      </c>
      <c r="Q40" s="6" t="e">
        <f t="shared" si="14"/>
        <v>#REF!</v>
      </c>
      <c r="R40" s="6" t="e">
        <f t="shared" si="14"/>
        <v>#REF!</v>
      </c>
      <c r="S40" s="6" t="e">
        <f t="shared" si="14"/>
        <v>#REF!</v>
      </c>
      <c r="T40" s="6" t="e">
        <f t="shared" si="14"/>
        <v>#REF!</v>
      </c>
      <c r="U40" s="6" t="e">
        <f t="shared" si="14"/>
        <v>#REF!</v>
      </c>
      <c r="V40" s="6" t="e">
        <f t="shared" si="14"/>
        <v>#REF!</v>
      </c>
      <c r="W40" s="6" t="e">
        <f t="shared" si="14"/>
        <v>#REF!</v>
      </c>
      <c r="X40" s="6" t="e">
        <f t="shared" si="14"/>
        <v>#REF!</v>
      </c>
      <c r="Y40" s="6" t="e">
        <f t="shared" si="14"/>
        <v>#REF!</v>
      </c>
      <c r="Z40" s="6" t="e">
        <f t="shared" si="14"/>
        <v>#REF!</v>
      </c>
      <c r="AA40" s="6" t="e">
        <f t="shared" si="14"/>
        <v>#REF!</v>
      </c>
      <c r="AB40" s="6" t="e">
        <f t="shared" si="14"/>
        <v>#REF!</v>
      </c>
      <c r="AC40" s="6" t="e">
        <f t="shared" si="14"/>
        <v>#REF!</v>
      </c>
      <c r="AD40" s="6" t="e">
        <f t="shared" si="14"/>
        <v>#REF!</v>
      </c>
      <c r="AE40" s="6" t="e">
        <f t="shared" si="14"/>
        <v>#REF!</v>
      </c>
      <c r="AF40" s="6" t="e">
        <f t="shared" si="14"/>
        <v>#REF!</v>
      </c>
      <c r="AG40" s="6" t="e">
        <f t="shared" si="14"/>
        <v>#REF!</v>
      </c>
      <c r="AH40" s="6" t="e">
        <f t="shared" si="14"/>
        <v>#REF!</v>
      </c>
      <c r="AI40" s="6" t="e">
        <f t="shared" si="14"/>
        <v>#REF!</v>
      </c>
      <c r="AJ40" s="6" t="e">
        <f t="shared" si="14"/>
        <v>#REF!</v>
      </c>
      <c r="AK40" s="6" t="e">
        <f t="shared" si="14"/>
        <v>#REF!</v>
      </c>
    </row>
    <row r="41" spans="1:37" x14ac:dyDescent="0.25">
      <c r="A41" s="4">
        <f>A15</f>
        <v>13</v>
      </c>
      <c r="B41" s="6" t="e">
        <f>$B$27/SUM(C41:AK41)</f>
        <v>#REF!</v>
      </c>
      <c r="C41" s="6" t="e">
        <f>C$27/C15</f>
        <v>#REF!</v>
      </c>
      <c r="D41" s="6" t="e">
        <f t="shared" ref="D41:AK41" si="15">D$27/D15</f>
        <v>#REF!</v>
      </c>
      <c r="E41" s="6" t="e">
        <f t="shared" si="15"/>
        <v>#REF!</v>
      </c>
      <c r="F41" s="6" t="e">
        <f t="shared" si="15"/>
        <v>#REF!</v>
      </c>
      <c r="G41" s="6" t="e">
        <f t="shared" si="15"/>
        <v>#REF!</v>
      </c>
      <c r="H41" s="6" t="e">
        <f t="shared" si="15"/>
        <v>#REF!</v>
      </c>
      <c r="I41" s="6" t="e">
        <f t="shared" si="15"/>
        <v>#REF!</v>
      </c>
      <c r="J41" s="6" t="e">
        <f t="shared" si="15"/>
        <v>#REF!</v>
      </c>
      <c r="K41" s="6" t="e">
        <f t="shared" si="15"/>
        <v>#REF!</v>
      </c>
      <c r="L41" s="6" t="e">
        <f t="shared" si="15"/>
        <v>#REF!</v>
      </c>
      <c r="M41" s="6" t="e">
        <f t="shared" si="15"/>
        <v>#REF!</v>
      </c>
      <c r="N41" s="6" t="e">
        <f t="shared" si="15"/>
        <v>#REF!</v>
      </c>
      <c r="O41" s="6" t="e">
        <f t="shared" si="15"/>
        <v>#REF!</v>
      </c>
      <c r="P41" s="6" t="e">
        <f t="shared" si="15"/>
        <v>#REF!</v>
      </c>
      <c r="Q41" s="6" t="e">
        <f t="shared" si="15"/>
        <v>#REF!</v>
      </c>
      <c r="R41" s="6" t="e">
        <f t="shared" si="15"/>
        <v>#REF!</v>
      </c>
      <c r="S41" s="6" t="e">
        <f t="shared" si="15"/>
        <v>#REF!</v>
      </c>
      <c r="T41" s="6" t="e">
        <f t="shared" si="15"/>
        <v>#REF!</v>
      </c>
      <c r="U41" s="6" t="e">
        <f t="shared" si="15"/>
        <v>#REF!</v>
      </c>
      <c r="V41" s="6" t="e">
        <f t="shared" si="15"/>
        <v>#REF!</v>
      </c>
      <c r="W41" s="6" t="e">
        <f t="shared" si="15"/>
        <v>#REF!</v>
      </c>
      <c r="X41" s="6" t="e">
        <f t="shared" si="15"/>
        <v>#REF!</v>
      </c>
      <c r="Y41" s="6" t="e">
        <f t="shared" si="15"/>
        <v>#REF!</v>
      </c>
      <c r="Z41" s="6" t="e">
        <f t="shared" si="15"/>
        <v>#REF!</v>
      </c>
      <c r="AA41" s="6" t="e">
        <f t="shared" si="15"/>
        <v>#REF!</v>
      </c>
      <c r="AB41" s="6" t="e">
        <f t="shared" si="15"/>
        <v>#REF!</v>
      </c>
      <c r="AC41" s="6" t="e">
        <f t="shared" si="15"/>
        <v>#REF!</v>
      </c>
      <c r="AD41" s="6" t="e">
        <f t="shared" si="15"/>
        <v>#REF!</v>
      </c>
      <c r="AE41" s="6" t="e">
        <f t="shared" si="15"/>
        <v>#REF!</v>
      </c>
      <c r="AF41" s="6" t="e">
        <f t="shared" si="15"/>
        <v>#REF!</v>
      </c>
      <c r="AG41" s="6" t="e">
        <f t="shared" si="15"/>
        <v>#REF!</v>
      </c>
      <c r="AH41" s="6" t="e">
        <f t="shared" si="15"/>
        <v>#REF!</v>
      </c>
      <c r="AI41" s="6" t="e">
        <f t="shared" si="15"/>
        <v>#REF!</v>
      </c>
      <c r="AJ41" s="6" t="e">
        <f t="shared" si="15"/>
        <v>#REF!</v>
      </c>
      <c r="AK41" s="6" t="e">
        <f t="shared" si="15"/>
        <v>#REF!</v>
      </c>
    </row>
    <row r="42" spans="1:37" x14ac:dyDescent="0.25">
      <c r="A42" s="4">
        <f t="shared" si="1"/>
        <v>14</v>
      </c>
      <c r="B42" s="6" t="e">
        <f t="shared" ref="B42:B51" si="16">$B$27/SUM(C42:AK42)</f>
        <v>#REF!</v>
      </c>
      <c r="C42" s="6" t="e">
        <f t="shared" ref="C42:AK42" si="17">C$27/C16</f>
        <v>#REF!</v>
      </c>
      <c r="D42" s="6" t="e">
        <f t="shared" si="17"/>
        <v>#REF!</v>
      </c>
      <c r="E42" s="6" t="e">
        <f t="shared" si="17"/>
        <v>#REF!</v>
      </c>
      <c r="F42" s="6" t="e">
        <f t="shared" si="17"/>
        <v>#REF!</v>
      </c>
      <c r="G42" s="6" t="e">
        <f t="shared" si="17"/>
        <v>#REF!</v>
      </c>
      <c r="H42" s="6" t="e">
        <f t="shared" si="17"/>
        <v>#REF!</v>
      </c>
      <c r="I42" s="6" t="e">
        <f t="shared" si="17"/>
        <v>#REF!</v>
      </c>
      <c r="J42" s="6" t="e">
        <f t="shared" si="17"/>
        <v>#REF!</v>
      </c>
      <c r="K42" s="6" t="e">
        <f t="shared" si="17"/>
        <v>#REF!</v>
      </c>
      <c r="L42" s="6" t="e">
        <f t="shared" si="17"/>
        <v>#REF!</v>
      </c>
      <c r="M42" s="6" t="e">
        <f t="shared" si="17"/>
        <v>#REF!</v>
      </c>
      <c r="N42" s="6" t="e">
        <f t="shared" si="17"/>
        <v>#REF!</v>
      </c>
      <c r="O42" s="6" t="e">
        <f t="shared" si="17"/>
        <v>#REF!</v>
      </c>
      <c r="P42" s="6" t="e">
        <f t="shared" si="17"/>
        <v>#REF!</v>
      </c>
      <c r="Q42" s="6" t="e">
        <f t="shared" si="17"/>
        <v>#REF!</v>
      </c>
      <c r="R42" s="6" t="e">
        <f t="shared" si="17"/>
        <v>#REF!</v>
      </c>
      <c r="S42" s="6" t="e">
        <f t="shared" si="17"/>
        <v>#REF!</v>
      </c>
      <c r="T42" s="6" t="e">
        <f t="shared" si="17"/>
        <v>#REF!</v>
      </c>
      <c r="U42" s="6" t="e">
        <f t="shared" si="17"/>
        <v>#REF!</v>
      </c>
      <c r="V42" s="6" t="e">
        <f t="shared" si="17"/>
        <v>#REF!</v>
      </c>
      <c r="W42" s="6" t="e">
        <f t="shared" si="17"/>
        <v>#REF!</v>
      </c>
      <c r="X42" s="6" t="e">
        <f t="shared" si="17"/>
        <v>#REF!</v>
      </c>
      <c r="Y42" s="6" t="e">
        <f t="shared" si="17"/>
        <v>#REF!</v>
      </c>
      <c r="Z42" s="6" t="e">
        <f t="shared" si="17"/>
        <v>#REF!</v>
      </c>
      <c r="AA42" s="6" t="e">
        <f t="shared" si="17"/>
        <v>#REF!</v>
      </c>
      <c r="AB42" s="6" t="e">
        <f t="shared" si="17"/>
        <v>#REF!</v>
      </c>
      <c r="AC42" s="6" t="e">
        <f t="shared" si="17"/>
        <v>#REF!</v>
      </c>
      <c r="AD42" s="6" t="e">
        <f t="shared" si="17"/>
        <v>#REF!</v>
      </c>
      <c r="AE42" s="6" t="e">
        <f t="shared" si="17"/>
        <v>#REF!</v>
      </c>
      <c r="AF42" s="6" t="e">
        <f t="shared" si="17"/>
        <v>#REF!</v>
      </c>
      <c r="AG42" s="6" t="e">
        <f t="shared" si="17"/>
        <v>#REF!</v>
      </c>
      <c r="AH42" s="6" t="e">
        <f t="shared" si="17"/>
        <v>#REF!</v>
      </c>
      <c r="AI42" s="6" t="e">
        <f t="shared" si="17"/>
        <v>#REF!</v>
      </c>
      <c r="AJ42" s="6" t="e">
        <f t="shared" si="17"/>
        <v>#REF!</v>
      </c>
      <c r="AK42" s="6" t="e">
        <f t="shared" si="17"/>
        <v>#REF!</v>
      </c>
    </row>
    <row r="43" spans="1:37" x14ac:dyDescent="0.25">
      <c r="A43" s="4">
        <f t="shared" si="1"/>
        <v>15</v>
      </c>
      <c r="B43" s="6" t="e">
        <f t="shared" si="16"/>
        <v>#REF!</v>
      </c>
      <c r="C43" s="6" t="e">
        <f t="shared" ref="C43:AK43" si="18">C$27/C17</f>
        <v>#REF!</v>
      </c>
      <c r="D43" s="6" t="e">
        <f t="shared" si="18"/>
        <v>#REF!</v>
      </c>
      <c r="E43" s="6" t="e">
        <f t="shared" si="18"/>
        <v>#REF!</v>
      </c>
      <c r="F43" s="6" t="e">
        <f t="shared" si="18"/>
        <v>#REF!</v>
      </c>
      <c r="G43" s="6" t="e">
        <f t="shared" si="18"/>
        <v>#REF!</v>
      </c>
      <c r="H43" s="6" t="e">
        <f t="shared" si="18"/>
        <v>#REF!</v>
      </c>
      <c r="I43" s="6" t="e">
        <f t="shared" si="18"/>
        <v>#REF!</v>
      </c>
      <c r="J43" s="6" t="e">
        <f t="shared" si="18"/>
        <v>#REF!</v>
      </c>
      <c r="K43" s="6" t="e">
        <f t="shared" si="18"/>
        <v>#REF!</v>
      </c>
      <c r="L43" s="6" t="e">
        <f t="shared" si="18"/>
        <v>#REF!</v>
      </c>
      <c r="M43" s="6" t="e">
        <f t="shared" si="18"/>
        <v>#REF!</v>
      </c>
      <c r="N43" s="6" t="e">
        <f t="shared" si="18"/>
        <v>#REF!</v>
      </c>
      <c r="O43" s="6" t="e">
        <f t="shared" si="18"/>
        <v>#REF!</v>
      </c>
      <c r="P43" s="6" t="e">
        <f t="shared" si="18"/>
        <v>#REF!</v>
      </c>
      <c r="Q43" s="6" t="e">
        <f t="shared" si="18"/>
        <v>#REF!</v>
      </c>
      <c r="R43" s="6" t="e">
        <f t="shared" si="18"/>
        <v>#REF!</v>
      </c>
      <c r="S43" s="6" t="e">
        <f t="shared" si="18"/>
        <v>#REF!</v>
      </c>
      <c r="T43" s="6" t="e">
        <f t="shared" si="18"/>
        <v>#REF!</v>
      </c>
      <c r="U43" s="6" t="e">
        <f t="shared" si="18"/>
        <v>#REF!</v>
      </c>
      <c r="V43" s="6" t="e">
        <f t="shared" si="18"/>
        <v>#REF!</v>
      </c>
      <c r="W43" s="6" t="e">
        <f t="shared" si="18"/>
        <v>#REF!</v>
      </c>
      <c r="X43" s="6" t="e">
        <f t="shared" si="18"/>
        <v>#REF!</v>
      </c>
      <c r="Y43" s="6" t="e">
        <f t="shared" si="18"/>
        <v>#REF!</v>
      </c>
      <c r="Z43" s="6" t="e">
        <f t="shared" si="18"/>
        <v>#REF!</v>
      </c>
      <c r="AA43" s="6" t="e">
        <f t="shared" si="18"/>
        <v>#REF!</v>
      </c>
      <c r="AB43" s="6" t="e">
        <f t="shared" si="18"/>
        <v>#REF!</v>
      </c>
      <c r="AC43" s="6" t="e">
        <f t="shared" si="18"/>
        <v>#REF!</v>
      </c>
      <c r="AD43" s="6" t="e">
        <f t="shared" si="18"/>
        <v>#REF!</v>
      </c>
      <c r="AE43" s="6" t="e">
        <f t="shared" si="18"/>
        <v>#REF!</v>
      </c>
      <c r="AF43" s="6" t="e">
        <f t="shared" si="18"/>
        <v>#REF!</v>
      </c>
      <c r="AG43" s="6" t="e">
        <f t="shared" si="18"/>
        <v>#REF!</v>
      </c>
      <c r="AH43" s="6" t="e">
        <f t="shared" si="18"/>
        <v>#REF!</v>
      </c>
      <c r="AI43" s="6" t="e">
        <f t="shared" si="18"/>
        <v>#REF!</v>
      </c>
      <c r="AJ43" s="6" t="e">
        <f t="shared" si="18"/>
        <v>#REF!</v>
      </c>
      <c r="AK43" s="6" t="e">
        <f t="shared" si="18"/>
        <v>#REF!</v>
      </c>
    </row>
    <row r="44" spans="1:37" x14ac:dyDescent="0.25">
      <c r="A44" s="4">
        <f t="shared" si="1"/>
        <v>16</v>
      </c>
      <c r="B44" s="6" t="e">
        <f t="shared" si="16"/>
        <v>#REF!</v>
      </c>
      <c r="C44" s="6" t="e">
        <f t="shared" ref="C44:AK44" si="19">C$27/C18</f>
        <v>#REF!</v>
      </c>
      <c r="D44" s="6" t="e">
        <f t="shared" si="19"/>
        <v>#REF!</v>
      </c>
      <c r="E44" s="6" t="e">
        <f t="shared" si="19"/>
        <v>#REF!</v>
      </c>
      <c r="F44" s="6" t="e">
        <f t="shared" si="19"/>
        <v>#REF!</v>
      </c>
      <c r="G44" s="6" t="e">
        <f t="shared" si="19"/>
        <v>#REF!</v>
      </c>
      <c r="H44" s="6" t="e">
        <f t="shared" si="19"/>
        <v>#REF!</v>
      </c>
      <c r="I44" s="6" t="e">
        <f t="shared" si="19"/>
        <v>#REF!</v>
      </c>
      <c r="J44" s="6" t="e">
        <f t="shared" si="19"/>
        <v>#REF!</v>
      </c>
      <c r="K44" s="6" t="e">
        <f t="shared" si="19"/>
        <v>#REF!</v>
      </c>
      <c r="L44" s="6" t="e">
        <f t="shared" si="19"/>
        <v>#REF!</v>
      </c>
      <c r="M44" s="6" t="e">
        <f t="shared" si="19"/>
        <v>#REF!</v>
      </c>
      <c r="N44" s="6" t="e">
        <f t="shared" si="19"/>
        <v>#REF!</v>
      </c>
      <c r="O44" s="6" t="e">
        <f t="shared" si="19"/>
        <v>#REF!</v>
      </c>
      <c r="P44" s="6" t="e">
        <f t="shared" si="19"/>
        <v>#REF!</v>
      </c>
      <c r="Q44" s="6" t="e">
        <f t="shared" si="19"/>
        <v>#REF!</v>
      </c>
      <c r="R44" s="6" t="e">
        <f t="shared" si="19"/>
        <v>#REF!</v>
      </c>
      <c r="S44" s="6" t="e">
        <f t="shared" si="19"/>
        <v>#REF!</v>
      </c>
      <c r="T44" s="6" t="e">
        <f t="shared" si="19"/>
        <v>#REF!</v>
      </c>
      <c r="U44" s="6" t="e">
        <f t="shared" si="19"/>
        <v>#REF!</v>
      </c>
      <c r="V44" s="6" t="e">
        <f t="shared" si="19"/>
        <v>#REF!</v>
      </c>
      <c r="W44" s="6" t="e">
        <f t="shared" si="19"/>
        <v>#REF!</v>
      </c>
      <c r="X44" s="6" t="e">
        <f t="shared" si="19"/>
        <v>#REF!</v>
      </c>
      <c r="Y44" s="6" t="e">
        <f t="shared" si="19"/>
        <v>#REF!</v>
      </c>
      <c r="Z44" s="6" t="e">
        <f t="shared" si="19"/>
        <v>#REF!</v>
      </c>
      <c r="AA44" s="6" t="e">
        <f t="shared" si="19"/>
        <v>#REF!</v>
      </c>
      <c r="AB44" s="6" t="e">
        <f t="shared" si="19"/>
        <v>#REF!</v>
      </c>
      <c r="AC44" s="6" t="e">
        <f t="shared" si="19"/>
        <v>#REF!</v>
      </c>
      <c r="AD44" s="6" t="e">
        <f t="shared" si="19"/>
        <v>#REF!</v>
      </c>
      <c r="AE44" s="6" t="e">
        <f t="shared" si="19"/>
        <v>#REF!</v>
      </c>
      <c r="AF44" s="6" t="e">
        <f t="shared" si="19"/>
        <v>#REF!</v>
      </c>
      <c r="AG44" s="6" t="e">
        <f t="shared" si="19"/>
        <v>#REF!</v>
      </c>
      <c r="AH44" s="6" t="e">
        <f t="shared" si="19"/>
        <v>#REF!</v>
      </c>
      <c r="AI44" s="6" t="e">
        <f t="shared" si="19"/>
        <v>#REF!</v>
      </c>
      <c r="AJ44" s="6" t="e">
        <f t="shared" si="19"/>
        <v>#REF!</v>
      </c>
      <c r="AK44" s="6" t="e">
        <f t="shared" si="19"/>
        <v>#REF!</v>
      </c>
    </row>
    <row r="45" spans="1:37" x14ac:dyDescent="0.25">
      <c r="A45" s="4">
        <f t="shared" si="1"/>
        <v>17</v>
      </c>
      <c r="B45" s="6" t="e">
        <f t="shared" si="16"/>
        <v>#REF!</v>
      </c>
      <c r="C45" s="6" t="e">
        <f t="shared" ref="C45:AK45" si="20">C$27/C19</f>
        <v>#REF!</v>
      </c>
      <c r="D45" s="6" t="e">
        <f t="shared" si="20"/>
        <v>#REF!</v>
      </c>
      <c r="E45" s="6" t="e">
        <f t="shared" si="20"/>
        <v>#REF!</v>
      </c>
      <c r="F45" s="6" t="e">
        <f t="shared" si="20"/>
        <v>#REF!</v>
      </c>
      <c r="G45" s="6" t="e">
        <f t="shared" si="20"/>
        <v>#REF!</v>
      </c>
      <c r="H45" s="6" t="e">
        <f t="shared" si="20"/>
        <v>#REF!</v>
      </c>
      <c r="I45" s="6" t="e">
        <f t="shared" si="20"/>
        <v>#REF!</v>
      </c>
      <c r="J45" s="6" t="e">
        <f t="shared" si="20"/>
        <v>#REF!</v>
      </c>
      <c r="K45" s="6" t="e">
        <f t="shared" si="20"/>
        <v>#REF!</v>
      </c>
      <c r="L45" s="6" t="e">
        <f t="shared" si="20"/>
        <v>#REF!</v>
      </c>
      <c r="M45" s="6" t="e">
        <f t="shared" si="20"/>
        <v>#REF!</v>
      </c>
      <c r="N45" s="6" t="e">
        <f t="shared" si="20"/>
        <v>#REF!</v>
      </c>
      <c r="O45" s="6" t="e">
        <f t="shared" si="20"/>
        <v>#REF!</v>
      </c>
      <c r="P45" s="6" t="e">
        <f t="shared" si="20"/>
        <v>#REF!</v>
      </c>
      <c r="Q45" s="6" t="e">
        <f t="shared" si="20"/>
        <v>#REF!</v>
      </c>
      <c r="R45" s="6" t="e">
        <f t="shared" si="20"/>
        <v>#REF!</v>
      </c>
      <c r="S45" s="6" t="e">
        <f t="shared" si="20"/>
        <v>#REF!</v>
      </c>
      <c r="T45" s="6" t="e">
        <f t="shared" si="20"/>
        <v>#REF!</v>
      </c>
      <c r="U45" s="6" t="e">
        <f t="shared" si="20"/>
        <v>#REF!</v>
      </c>
      <c r="V45" s="6" t="e">
        <f t="shared" si="20"/>
        <v>#REF!</v>
      </c>
      <c r="W45" s="6" t="e">
        <f t="shared" si="20"/>
        <v>#REF!</v>
      </c>
      <c r="X45" s="6" t="e">
        <f t="shared" si="20"/>
        <v>#REF!</v>
      </c>
      <c r="Y45" s="6" t="e">
        <f t="shared" si="20"/>
        <v>#REF!</v>
      </c>
      <c r="Z45" s="6" t="e">
        <f t="shared" si="20"/>
        <v>#REF!</v>
      </c>
      <c r="AA45" s="6" t="e">
        <f t="shared" si="20"/>
        <v>#REF!</v>
      </c>
      <c r="AB45" s="6" t="e">
        <f t="shared" si="20"/>
        <v>#REF!</v>
      </c>
      <c r="AC45" s="6" t="e">
        <f t="shared" si="20"/>
        <v>#REF!</v>
      </c>
      <c r="AD45" s="6" t="e">
        <f t="shared" si="20"/>
        <v>#REF!</v>
      </c>
      <c r="AE45" s="6" t="e">
        <f t="shared" si="20"/>
        <v>#REF!</v>
      </c>
      <c r="AF45" s="6" t="e">
        <f t="shared" si="20"/>
        <v>#REF!</v>
      </c>
      <c r="AG45" s="6" t="e">
        <f t="shared" si="20"/>
        <v>#REF!</v>
      </c>
      <c r="AH45" s="6" t="e">
        <f t="shared" si="20"/>
        <v>#REF!</v>
      </c>
      <c r="AI45" s="6" t="e">
        <f t="shared" si="20"/>
        <v>#REF!</v>
      </c>
      <c r="AJ45" s="6" t="e">
        <f t="shared" si="20"/>
        <v>#REF!</v>
      </c>
      <c r="AK45" s="6" t="e">
        <f t="shared" si="20"/>
        <v>#REF!</v>
      </c>
    </row>
    <row r="46" spans="1:37" x14ac:dyDescent="0.25">
      <c r="A46" s="4">
        <f t="shared" si="1"/>
        <v>18</v>
      </c>
      <c r="B46" s="6" t="e">
        <f t="shared" si="16"/>
        <v>#REF!</v>
      </c>
      <c r="C46" s="6" t="e">
        <f t="shared" ref="C46:AK46" si="21">C$27/C20</f>
        <v>#REF!</v>
      </c>
      <c r="D46" s="6" t="e">
        <f t="shared" si="21"/>
        <v>#REF!</v>
      </c>
      <c r="E46" s="6" t="e">
        <f t="shared" si="21"/>
        <v>#REF!</v>
      </c>
      <c r="F46" s="6" t="e">
        <f t="shared" si="21"/>
        <v>#REF!</v>
      </c>
      <c r="G46" s="6" t="e">
        <f t="shared" si="21"/>
        <v>#REF!</v>
      </c>
      <c r="H46" s="6" t="e">
        <f t="shared" si="21"/>
        <v>#REF!</v>
      </c>
      <c r="I46" s="6" t="e">
        <f t="shared" si="21"/>
        <v>#REF!</v>
      </c>
      <c r="J46" s="6" t="e">
        <f t="shared" si="21"/>
        <v>#REF!</v>
      </c>
      <c r="K46" s="6" t="e">
        <f t="shared" si="21"/>
        <v>#REF!</v>
      </c>
      <c r="L46" s="6" t="e">
        <f t="shared" si="21"/>
        <v>#REF!</v>
      </c>
      <c r="M46" s="6" t="e">
        <f t="shared" si="21"/>
        <v>#REF!</v>
      </c>
      <c r="N46" s="6" t="e">
        <f t="shared" si="21"/>
        <v>#REF!</v>
      </c>
      <c r="O46" s="6" t="e">
        <f t="shared" si="21"/>
        <v>#REF!</v>
      </c>
      <c r="P46" s="6" t="e">
        <f t="shared" si="21"/>
        <v>#REF!</v>
      </c>
      <c r="Q46" s="6" t="e">
        <f t="shared" si="21"/>
        <v>#REF!</v>
      </c>
      <c r="R46" s="6" t="e">
        <f t="shared" si="21"/>
        <v>#REF!</v>
      </c>
      <c r="S46" s="6" t="e">
        <f t="shared" si="21"/>
        <v>#REF!</v>
      </c>
      <c r="T46" s="6" t="e">
        <f t="shared" si="21"/>
        <v>#REF!</v>
      </c>
      <c r="U46" s="6" t="e">
        <f t="shared" si="21"/>
        <v>#REF!</v>
      </c>
      <c r="V46" s="6" t="e">
        <f t="shared" si="21"/>
        <v>#REF!</v>
      </c>
      <c r="W46" s="6" t="e">
        <f t="shared" si="21"/>
        <v>#REF!</v>
      </c>
      <c r="X46" s="6" t="e">
        <f t="shared" si="21"/>
        <v>#REF!</v>
      </c>
      <c r="Y46" s="6" t="e">
        <f t="shared" si="21"/>
        <v>#REF!</v>
      </c>
      <c r="Z46" s="6" t="e">
        <f t="shared" si="21"/>
        <v>#REF!</v>
      </c>
      <c r="AA46" s="6" t="e">
        <f t="shared" si="21"/>
        <v>#REF!</v>
      </c>
      <c r="AB46" s="6" t="e">
        <f t="shared" si="21"/>
        <v>#REF!</v>
      </c>
      <c r="AC46" s="6" t="e">
        <f t="shared" si="21"/>
        <v>#REF!</v>
      </c>
      <c r="AD46" s="6" t="e">
        <f t="shared" si="21"/>
        <v>#REF!</v>
      </c>
      <c r="AE46" s="6" t="e">
        <f t="shared" si="21"/>
        <v>#REF!</v>
      </c>
      <c r="AF46" s="6" t="e">
        <f t="shared" si="21"/>
        <v>#REF!</v>
      </c>
      <c r="AG46" s="6" t="e">
        <f t="shared" si="21"/>
        <v>#REF!</v>
      </c>
      <c r="AH46" s="6" t="e">
        <f t="shared" si="21"/>
        <v>#REF!</v>
      </c>
      <c r="AI46" s="6" t="e">
        <f t="shared" si="21"/>
        <v>#REF!</v>
      </c>
      <c r="AJ46" s="6" t="e">
        <f t="shared" si="21"/>
        <v>#REF!</v>
      </c>
      <c r="AK46" s="6" t="e">
        <f t="shared" si="21"/>
        <v>#REF!</v>
      </c>
    </row>
    <row r="47" spans="1:37" x14ac:dyDescent="0.25">
      <c r="A47" s="4">
        <f t="shared" si="1"/>
        <v>19</v>
      </c>
      <c r="B47" s="6" t="e">
        <f t="shared" si="16"/>
        <v>#REF!</v>
      </c>
      <c r="C47" s="6" t="e">
        <f t="shared" ref="C47:AK47" si="22">C$27/C21</f>
        <v>#REF!</v>
      </c>
      <c r="D47" s="6" t="e">
        <f t="shared" si="22"/>
        <v>#REF!</v>
      </c>
      <c r="E47" s="6" t="e">
        <f t="shared" si="22"/>
        <v>#REF!</v>
      </c>
      <c r="F47" s="6" t="e">
        <f t="shared" si="22"/>
        <v>#REF!</v>
      </c>
      <c r="G47" s="6" t="e">
        <f t="shared" si="22"/>
        <v>#REF!</v>
      </c>
      <c r="H47" s="6" t="e">
        <f t="shared" si="22"/>
        <v>#REF!</v>
      </c>
      <c r="I47" s="6" t="e">
        <f t="shared" si="22"/>
        <v>#REF!</v>
      </c>
      <c r="J47" s="6" t="e">
        <f t="shared" si="22"/>
        <v>#REF!</v>
      </c>
      <c r="K47" s="6" t="e">
        <f t="shared" si="22"/>
        <v>#REF!</v>
      </c>
      <c r="L47" s="6" t="e">
        <f t="shared" si="22"/>
        <v>#REF!</v>
      </c>
      <c r="M47" s="6" t="e">
        <f t="shared" si="22"/>
        <v>#REF!</v>
      </c>
      <c r="N47" s="6" t="e">
        <f t="shared" si="22"/>
        <v>#REF!</v>
      </c>
      <c r="O47" s="6" t="e">
        <f t="shared" si="22"/>
        <v>#REF!</v>
      </c>
      <c r="P47" s="6" t="e">
        <f t="shared" si="22"/>
        <v>#REF!</v>
      </c>
      <c r="Q47" s="6" t="e">
        <f t="shared" si="22"/>
        <v>#REF!</v>
      </c>
      <c r="R47" s="6" t="e">
        <f t="shared" si="22"/>
        <v>#REF!</v>
      </c>
      <c r="S47" s="6" t="e">
        <f t="shared" si="22"/>
        <v>#REF!</v>
      </c>
      <c r="T47" s="6" t="e">
        <f t="shared" si="22"/>
        <v>#REF!</v>
      </c>
      <c r="U47" s="6" t="e">
        <f t="shared" si="22"/>
        <v>#REF!</v>
      </c>
      <c r="V47" s="6" t="e">
        <f t="shared" si="22"/>
        <v>#REF!</v>
      </c>
      <c r="W47" s="6" t="e">
        <f t="shared" si="22"/>
        <v>#REF!</v>
      </c>
      <c r="X47" s="6" t="e">
        <f t="shared" si="22"/>
        <v>#REF!</v>
      </c>
      <c r="Y47" s="6" t="e">
        <f t="shared" si="22"/>
        <v>#REF!</v>
      </c>
      <c r="Z47" s="6" t="e">
        <f t="shared" si="22"/>
        <v>#REF!</v>
      </c>
      <c r="AA47" s="6" t="e">
        <f t="shared" si="22"/>
        <v>#REF!</v>
      </c>
      <c r="AB47" s="6" t="e">
        <f t="shared" si="22"/>
        <v>#REF!</v>
      </c>
      <c r="AC47" s="6" t="e">
        <f t="shared" si="22"/>
        <v>#REF!</v>
      </c>
      <c r="AD47" s="6" t="e">
        <f t="shared" si="22"/>
        <v>#REF!</v>
      </c>
      <c r="AE47" s="6" t="e">
        <f t="shared" si="22"/>
        <v>#REF!</v>
      </c>
      <c r="AF47" s="6" t="e">
        <f t="shared" si="22"/>
        <v>#REF!</v>
      </c>
      <c r="AG47" s="6" t="e">
        <f t="shared" si="22"/>
        <v>#REF!</v>
      </c>
      <c r="AH47" s="6" t="e">
        <f t="shared" si="22"/>
        <v>#REF!</v>
      </c>
      <c r="AI47" s="6" t="e">
        <f t="shared" si="22"/>
        <v>#REF!</v>
      </c>
      <c r="AJ47" s="6" t="e">
        <f t="shared" si="22"/>
        <v>#REF!</v>
      </c>
      <c r="AK47" s="6" t="e">
        <f t="shared" si="22"/>
        <v>#REF!</v>
      </c>
    </row>
    <row r="48" spans="1:37" x14ac:dyDescent="0.25">
      <c r="A48" s="4">
        <f t="shared" si="1"/>
        <v>20</v>
      </c>
      <c r="B48" s="6" t="e">
        <f t="shared" si="16"/>
        <v>#REF!</v>
      </c>
      <c r="C48" s="6" t="e">
        <f t="shared" ref="C48:AK48" si="23">C$27/C22</f>
        <v>#REF!</v>
      </c>
      <c r="D48" s="6" t="e">
        <f t="shared" si="23"/>
        <v>#REF!</v>
      </c>
      <c r="E48" s="6" t="e">
        <f t="shared" si="23"/>
        <v>#REF!</v>
      </c>
      <c r="F48" s="6" t="e">
        <f t="shared" si="23"/>
        <v>#REF!</v>
      </c>
      <c r="G48" s="6" t="e">
        <f t="shared" si="23"/>
        <v>#REF!</v>
      </c>
      <c r="H48" s="6" t="e">
        <f t="shared" si="23"/>
        <v>#REF!</v>
      </c>
      <c r="I48" s="6" t="e">
        <f t="shared" si="23"/>
        <v>#REF!</v>
      </c>
      <c r="J48" s="6" t="e">
        <f t="shared" si="23"/>
        <v>#REF!</v>
      </c>
      <c r="K48" s="6" t="e">
        <f t="shared" si="23"/>
        <v>#REF!</v>
      </c>
      <c r="L48" s="6" t="e">
        <f t="shared" si="23"/>
        <v>#REF!</v>
      </c>
      <c r="M48" s="6" t="e">
        <f t="shared" si="23"/>
        <v>#REF!</v>
      </c>
      <c r="N48" s="6" t="e">
        <f t="shared" si="23"/>
        <v>#REF!</v>
      </c>
      <c r="O48" s="6" t="e">
        <f t="shared" si="23"/>
        <v>#REF!</v>
      </c>
      <c r="P48" s="6" t="e">
        <f t="shared" si="23"/>
        <v>#REF!</v>
      </c>
      <c r="Q48" s="6" t="e">
        <f t="shared" si="23"/>
        <v>#REF!</v>
      </c>
      <c r="R48" s="6" t="e">
        <f t="shared" si="23"/>
        <v>#REF!</v>
      </c>
      <c r="S48" s="6" t="e">
        <f t="shared" si="23"/>
        <v>#REF!</v>
      </c>
      <c r="T48" s="6" t="e">
        <f t="shared" si="23"/>
        <v>#REF!</v>
      </c>
      <c r="U48" s="6" t="e">
        <f t="shared" si="23"/>
        <v>#REF!</v>
      </c>
      <c r="V48" s="6" t="e">
        <f t="shared" si="23"/>
        <v>#REF!</v>
      </c>
      <c r="W48" s="6" t="e">
        <f t="shared" si="23"/>
        <v>#REF!</v>
      </c>
      <c r="X48" s="6" t="e">
        <f t="shared" si="23"/>
        <v>#REF!</v>
      </c>
      <c r="Y48" s="6" t="e">
        <f t="shared" si="23"/>
        <v>#REF!</v>
      </c>
      <c r="Z48" s="6" t="e">
        <f t="shared" si="23"/>
        <v>#REF!</v>
      </c>
      <c r="AA48" s="6" t="e">
        <f t="shared" si="23"/>
        <v>#REF!</v>
      </c>
      <c r="AB48" s="6" t="e">
        <f t="shared" si="23"/>
        <v>#REF!</v>
      </c>
      <c r="AC48" s="6" t="e">
        <f t="shared" si="23"/>
        <v>#REF!</v>
      </c>
      <c r="AD48" s="6" t="e">
        <f t="shared" si="23"/>
        <v>#REF!</v>
      </c>
      <c r="AE48" s="6" t="e">
        <f t="shared" si="23"/>
        <v>#REF!</v>
      </c>
      <c r="AF48" s="6" t="e">
        <f t="shared" si="23"/>
        <v>#REF!</v>
      </c>
      <c r="AG48" s="6" t="e">
        <f t="shared" si="23"/>
        <v>#REF!</v>
      </c>
      <c r="AH48" s="6" t="e">
        <f t="shared" si="23"/>
        <v>#REF!</v>
      </c>
      <c r="AI48" s="6" t="e">
        <f t="shared" si="23"/>
        <v>#REF!</v>
      </c>
      <c r="AJ48" s="6" t="e">
        <f t="shared" si="23"/>
        <v>#REF!</v>
      </c>
      <c r="AK48" s="6" t="e">
        <f t="shared" si="23"/>
        <v>#REF!</v>
      </c>
    </row>
    <row r="49" spans="1:37" x14ac:dyDescent="0.25">
      <c r="A49" s="4">
        <f t="shared" si="1"/>
        <v>21</v>
      </c>
      <c r="B49" s="6" t="e">
        <f t="shared" si="16"/>
        <v>#REF!</v>
      </c>
      <c r="C49" s="6" t="e">
        <f t="shared" ref="C49:AK49" si="24">C$27/C23</f>
        <v>#REF!</v>
      </c>
      <c r="D49" s="6" t="e">
        <f t="shared" si="24"/>
        <v>#REF!</v>
      </c>
      <c r="E49" s="6" t="e">
        <f t="shared" si="24"/>
        <v>#REF!</v>
      </c>
      <c r="F49" s="6" t="e">
        <f t="shared" si="24"/>
        <v>#REF!</v>
      </c>
      <c r="G49" s="6" t="e">
        <f t="shared" si="24"/>
        <v>#REF!</v>
      </c>
      <c r="H49" s="6" t="e">
        <f t="shared" si="24"/>
        <v>#REF!</v>
      </c>
      <c r="I49" s="6" t="e">
        <f t="shared" si="24"/>
        <v>#REF!</v>
      </c>
      <c r="J49" s="6" t="e">
        <f t="shared" si="24"/>
        <v>#REF!</v>
      </c>
      <c r="K49" s="6" t="e">
        <f t="shared" si="24"/>
        <v>#REF!</v>
      </c>
      <c r="L49" s="6" t="e">
        <f t="shared" si="24"/>
        <v>#REF!</v>
      </c>
      <c r="M49" s="6" t="e">
        <f t="shared" si="24"/>
        <v>#REF!</v>
      </c>
      <c r="N49" s="6" t="e">
        <f t="shared" si="24"/>
        <v>#REF!</v>
      </c>
      <c r="O49" s="6" t="e">
        <f t="shared" si="24"/>
        <v>#REF!</v>
      </c>
      <c r="P49" s="6" t="e">
        <f t="shared" si="24"/>
        <v>#REF!</v>
      </c>
      <c r="Q49" s="6" t="e">
        <f t="shared" si="24"/>
        <v>#REF!</v>
      </c>
      <c r="R49" s="6" t="e">
        <f t="shared" si="24"/>
        <v>#REF!</v>
      </c>
      <c r="S49" s="6" t="e">
        <f t="shared" si="24"/>
        <v>#REF!</v>
      </c>
      <c r="T49" s="6" t="e">
        <f t="shared" si="24"/>
        <v>#REF!</v>
      </c>
      <c r="U49" s="6" t="e">
        <f t="shared" si="24"/>
        <v>#REF!</v>
      </c>
      <c r="V49" s="6" t="e">
        <f t="shared" si="24"/>
        <v>#REF!</v>
      </c>
      <c r="W49" s="6" t="e">
        <f t="shared" si="24"/>
        <v>#REF!</v>
      </c>
      <c r="X49" s="6" t="e">
        <f t="shared" si="24"/>
        <v>#REF!</v>
      </c>
      <c r="Y49" s="6" t="e">
        <f t="shared" si="24"/>
        <v>#REF!</v>
      </c>
      <c r="Z49" s="6" t="e">
        <f t="shared" si="24"/>
        <v>#REF!</v>
      </c>
      <c r="AA49" s="6" t="e">
        <f t="shared" si="24"/>
        <v>#REF!</v>
      </c>
      <c r="AB49" s="6" t="e">
        <f t="shared" si="24"/>
        <v>#REF!</v>
      </c>
      <c r="AC49" s="6" t="e">
        <f t="shared" si="24"/>
        <v>#REF!</v>
      </c>
      <c r="AD49" s="6" t="e">
        <f t="shared" si="24"/>
        <v>#REF!</v>
      </c>
      <c r="AE49" s="6" t="e">
        <f t="shared" si="24"/>
        <v>#REF!</v>
      </c>
      <c r="AF49" s="6" t="e">
        <f t="shared" si="24"/>
        <v>#REF!</v>
      </c>
      <c r="AG49" s="6" t="e">
        <f t="shared" si="24"/>
        <v>#REF!</v>
      </c>
      <c r="AH49" s="6" t="e">
        <f t="shared" si="24"/>
        <v>#REF!</v>
      </c>
      <c r="AI49" s="6" t="e">
        <f t="shared" si="24"/>
        <v>#REF!</v>
      </c>
      <c r="AJ49" s="6" t="e">
        <f t="shared" si="24"/>
        <v>#REF!</v>
      </c>
      <c r="AK49" s="6" t="e">
        <f t="shared" si="24"/>
        <v>#REF!</v>
      </c>
    </row>
    <row r="50" spans="1:37" x14ac:dyDescent="0.25">
      <c r="A50" s="4">
        <f t="shared" si="1"/>
        <v>22</v>
      </c>
      <c r="B50" s="6" t="e">
        <f t="shared" si="16"/>
        <v>#REF!</v>
      </c>
      <c r="C50" s="6" t="e">
        <f t="shared" ref="C50:AK50" si="25">C$27/C24</f>
        <v>#REF!</v>
      </c>
      <c r="D50" s="6" t="e">
        <f t="shared" si="25"/>
        <v>#REF!</v>
      </c>
      <c r="E50" s="6" t="e">
        <f t="shared" si="25"/>
        <v>#REF!</v>
      </c>
      <c r="F50" s="6" t="e">
        <f t="shared" si="25"/>
        <v>#REF!</v>
      </c>
      <c r="G50" s="6" t="e">
        <f t="shared" si="25"/>
        <v>#REF!</v>
      </c>
      <c r="H50" s="6" t="e">
        <f t="shared" si="25"/>
        <v>#REF!</v>
      </c>
      <c r="I50" s="6" t="e">
        <f t="shared" si="25"/>
        <v>#REF!</v>
      </c>
      <c r="J50" s="6" t="e">
        <f t="shared" si="25"/>
        <v>#REF!</v>
      </c>
      <c r="K50" s="6" t="e">
        <f t="shared" si="25"/>
        <v>#REF!</v>
      </c>
      <c r="L50" s="6" t="e">
        <f t="shared" si="25"/>
        <v>#REF!</v>
      </c>
      <c r="M50" s="6" t="e">
        <f t="shared" si="25"/>
        <v>#REF!</v>
      </c>
      <c r="N50" s="6" t="e">
        <f t="shared" si="25"/>
        <v>#REF!</v>
      </c>
      <c r="O50" s="6" t="e">
        <f t="shared" si="25"/>
        <v>#REF!</v>
      </c>
      <c r="P50" s="6" t="e">
        <f t="shared" si="25"/>
        <v>#REF!</v>
      </c>
      <c r="Q50" s="6" t="e">
        <f t="shared" si="25"/>
        <v>#REF!</v>
      </c>
      <c r="R50" s="6" t="e">
        <f t="shared" si="25"/>
        <v>#REF!</v>
      </c>
      <c r="S50" s="6" t="e">
        <f t="shared" si="25"/>
        <v>#REF!</v>
      </c>
      <c r="T50" s="6" t="e">
        <f t="shared" si="25"/>
        <v>#REF!</v>
      </c>
      <c r="U50" s="6" t="e">
        <f t="shared" si="25"/>
        <v>#REF!</v>
      </c>
      <c r="V50" s="6" t="e">
        <f t="shared" si="25"/>
        <v>#REF!</v>
      </c>
      <c r="W50" s="6" t="e">
        <f t="shared" si="25"/>
        <v>#REF!</v>
      </c>
      <c r="X50" s="6" t="e">
        <f t="shared" si="25"/>
        <v>#REF!</v>
      </c>
      <c r="Y50" s="6" t="e">
        <f t="shared" si="25"/>
        <v>#REF!</v>
      </c>
      <c r="Z50" s="6" t="e">
        <f t="shared" si="25"/>
        <v>#REF!</v>
      </c>
      <c r="AA50" s="6" t="e">
        <f t="shared" si="25"/>
        <v>#REF!</v>
      </c>
      <c r="AB50" s="6" t="e">
        <f t="shared" si="25"/>
        <v>#REF!</v>
      </c>
      <c r="AC50" s="6" t="e">
        <f t="shared" si="25"/>
        <v>#REF!</v>
      </c>
      <c r="AD50" s="6" t="e">
        <f t="shared" si="25"/>
        <v>#REF!</v>
      </c>
      <c r="AE50" s="6" t="e">
        <f t="shared" si="25"/>
        <v>#REF!</v>
      </c>
      <c r="AF50" s="6" t="e">
        <f t="shared" si="25"/>
        <v>#REF!</v>
      </c>
      <c r="AG50" s="6" t="e">
        <f t="shared" si="25"/>
        <v>#REF!</v>
      </c>
      <c r="AH50" s="6" t="e">
        <f t="shared" si="25"/>
        <v>#REF!</v>
      </c>
      <c r="AI50" s="6" t="e">
        <f t="shared" si="25"/>
        <v>#REF!</v>
      </c>
      <c r="AJ50" s="6" t="e">
        <f t="shared" si="25"/>
        <v>#REF!</v>
      </c>
      <c r="AK50" s="6" t="e">
        <f t="shared" si="25"/>
        <v>#REF!</v>
      </c>
    </row>
    <row r="51" spans="1:37" x14ac:dyDescent="0.25">
      <c r="A51" s="4">
        <f t="shared" si="1"/>
        <v>23</v>
      </c>
      <c r="B51" s="6" t="e">
        <f t="shared" si="16"/>
        <v>#REF!</v>
      </c>
      <c r="C51" s="6" t="e">
        <f t="shared" ref="C51:AK51" si="26">C$27/C25</f>
        <v>#REF!</v>
      </c>
      <c r="D51" s="6" t="e">
        <f t="shared" si="26"/>
        <v>#REF!</v>
      </c>
      <c r="E51" s="6" t="e">
        <f t="shared" si="26"/>
        <v>#REF!</v>
      </c>
      <c r="F51" s="6" t="e">
        <f t="shared" si="26"/>
        <v>#REF!</v>
      </c>
      <c r="G51" s="6" t="e">
        <f t="shared" si="26"/>
        <v>#REF!</v>
      </c>
      <c r="H51" s="6" t="e">
        <f t="shared" si="26"/>
        <v>#REF!</v>
      </c>
      <c r="I51" s="6" t="e">
        <f t="shared" si="26"/>
        <v>#REF!</v>
      </c>
      <c r="J51" s="6" t="e">
        <f t="shared" si="26"/>
        <v>#REF!</v>
      </c>
      <c r="K51" s="6" t="e">
        <f t="shared" si="26"/>
        <v>#REF!</v>
      </c>
      <c r="L51" s="6" t="e">
        <f t="shared" si="26"/>
        <v>#REF!</v>
      </c>
      <c r="M51" s="6" t="e">
        <f t="shared" si="26"/>
        <v>#REF!</v>
      </c>
      <c r="N51" s="6" t="e">
        <f t="shared" si="26"/>
        <v>#REF!</v>
      </c>
      <c r="O51" s="6" t="e">
        <f t="shared" si="26"/>
        <v>#REF!</v>
      </c>
      <c r="P51" s="6" t="e">
        <f t="shared" si="26"/>
        <v>#REF!</v>
      </c>
      <c r="Q51" s="6" t="e">
        <f t="shared" si="26"/>
        <v>#REF!</v>
      </c>
      <c r="R51" s="6" t="e">
        <f t="shared" si="26"/>
        <v>#REF!</v>
      </c>
      <c r="S51" s="6" t="e">
        <f t="shared" si="26"/>
        <v>#REF!</v>
      </c>
      <c r="T51" s="6" t="e">
        <f t="shared" si="26"/>
        <v>#REF!</v>
      </c>
      <c r="U51" s="6" t="e">
        <f t="shared" si="26"/>
        <v>#REF!</v>
      </c>
      <c r="V51" s="6" t="e">
        <f t="shared" si="26"/>
        <v>#REF!</v>
      </c>
      <c r="W51" s="6" t="e">
        <f t="shared" si="26"/>
        <v>#REF!</v>
      </c>
      <c r="X51" s="6" t="e">
        <f t="shared" si="26"/>
        <v>#REF!</v>
      </c>
      <c r="Y51" s="6" t="e">
        <f t="shared" si="26"/>
        <v>#REF!</v>
      </c>
      <c r="Z51" s="6" t="e">
        <f t="shared" si="26"/>
        <v>#REF!</v>
      </c>
      <c r="AA51" s="6" t="e">
        <f t="shared" si="26"/>
        <v>#REF!</v>
      </c>
      <c r="AB51" s="6" t="e">
        <f t="shared" si="26"/>
        <v>#REF!</v>
      </c>
      <c r="AC51" s="6" t="e">
        <f t="shared" si="26"/>
        <v>#REF!</v>
      </c>
      <c r="AD51" s="6" t="e">
        <f t="shared" si="26"/>
        <v>#REF!</v>
      </c>
      <c r="AE51" s="6" t="e">
        <f t="shared" si="26"/>
        <v>#REF!</v>
      </c>
      <c r="AF51" s="6" t="e">
        <f t="shared" si="26"/>
        <v>#REF!</v>
      </c>
      <c r="AG51" s="6" t="e">
        <f t="shared" si="26"/>
        <v>#REF!</v>
      </c>
      <c r="AH51" s="6" t="e">
        <f t="shared" si="26"/>
        <v>#REF!</v>
      </c>
      <c r="AI51" s="6" t="e">
        <f t="shared" si="26"/>
        <v>#REF!</v>
      </c>
      <c r="AJ51" s="6" t="e">
        <f t="shared" si="26"/>
        <v>#REF!</v>
      </c>
      <c r="AK51" s="6" t="e">
        <f t="shared" si="26"/>
        <v>#REF!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D37"/>
  <sheetViews>
    <sheetView tabSelected="1" topLeftCell="B1" workbookViewId="0">
      <selection activeCell="C31" sqref="C31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4" width="8.7109375" bestFit="1" customWidth="1"/>
    <col min="5" max="27" width="5.5703125" bestFit="1" customWidth="1"/>
  </cols>
  <sheetData>
    <row r="1" spans="1:30" x14ac:dyDescent="0.25">
      <c r="A1" t="s">
        <v>0</v>
      </c>
      <c r="B1" t="s">
        <v>1</v>
      </c>
      <c r="C1" t="s">
        <v>2</v>
      </c>
      <c r="D1" s="1" t="s">
        <v>39</v>
      </c>
      <c r="E1" s="1" t="s">
        <v>40</v>
      </c>
      <c r="F1" s="1" t="s">
        <v>41</v>
      </c>
      <c r="G1" s="1" t="s">
        <v>42</v>
      </c>
      <c r="H1" s="1" t="s">
        <v>43</v>
      </c>
      <c r="I1" s="1" t="s">
        <v>44</v>
      </c>
      <c r="J1" s="1" t="s">
        <v>45</v>
      </c>
      <c r="K1" s="1" t="s">
        <v>46</v>
      </c>
      <c r="L1" s="1" t="s">
        <v>47</v>
      </c>
      <c r="M1" s="1" t="s">
        <v>48</v>
      </c>
      <c r="N1" s="1" t="s">
        <v>49</v>
      </c>
      <c r="O1" s="1" t="s">
        <v>50</v>
      </c>
      <c r="P1" s="1" t="s">
        <v>51</v>
      </c>
      <c r="Q1" s="1" t="s">
        <v>52</v>
      </c>
      <c r="R1" s="1" t="s">
        <v>53</v>
      </c>
      <c r="S1" s="1" t="s">
        <v>54</v>
      </c>
      <c r="T1" s="1" t="s">
        <v>55</v>
      </c>
      <c r="U1" s="1" t="s">
        <v>56</v>
      </c>
      <c r="V1" s="1" t="s">
        <v>57</v>
      </c>
      <c r="W1" s="1" t="s">
        <v>58</v>
      </c>
      <c r="X1" s="1" t="s">
        <v>59</v>
      </c>
      <c r="Y1" s="1" t="s">
        <v>60</v>
      </c>
      <c r="Z1" s="1" t="s">
        <v>61</v>
      </c>
      <c r="AA1" s="1" t="s">
        <v>62</v>
      </c>
      <c r="AD1" s="6"/>
    </row>
    <row r="2" spans="1:30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  <c r="AD2" s="6"/>
    </row>
    <row r="3" spans="1:30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23.9</v>
      </c>
      <c r="H3">
        <v>23.4</v>
      </c>
      <c r="I3">
        <v>20.5</v>
      </c>
      <c r="J3">
        <v>14.6</v>
      </c>
      <c r="K3">
        <v>10.9</v>
      </c>
      <c r="L3">
        <v>10.6</v>
      </c>
      <c r="M3">
        <v>11.7</v>
      </c>
      <c r="N3">
        <v>10.7</v>
      </c>
      <c r="O3">
        <v>12</v>
      </c>
      <c r="P3">
        <v>10.7</v>
      </c>
      <c r="Q3">
        <v>11.2</v>
      </c>
      <c r="R3">
        <v>14.6</v>
      </c>
      <c r="S3">
        <v>14.4</v>
      </c>
      <c r="T3">
        <v>12.7</v>
      </c>
      <c r="U3">
        <v>12.7</v>
      </c>
      <c r="V3">
        <v>12.3</v>
      </c>
      <c r="W3">
        <v>14.7</v>
      </c>
      <c r="X3">
        <v>13.9</v>
      </c>
      <c r="Y3">
        <v>15.9</v>
      </c>
      <c r="Z3">
        <v>18.399999999999999</v>
      </c>
      <c r="AA3">
        <v>20.5</v>
      </c>
    </row>
    <row r="4" spans="1:30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20.3</v>
      </c>
      <c r="H4">
        <v>24.6</v>
      </c>
      <c r="I4">
        <v>21.3</v>
      </c>
      <c r="J4">
        <v>20.2</v>
      </c>
      <c r="K4">
        <v>16.100000000000001</v>
      </c>
      <c r="L4">
        <v>16.100000000000001</v>
      </c>
      <c r="M4">
        <v>13.1</v>
      </c>
      <c r="N4">
        <v>12.2</v>
      </c>
      <c r="O4">
        <v>11.1</v>
      </c>
      <c r="P4">
        <v>12.6</v>
      </c>
      <c r="Q4">
        <v>11.3</v>
      </c>
      <c r="R4">
        <v>12.5</v>
      </c>
      <c r="S4">
        <v>12.7</v>
      </c>
      <c r="T4">
        <v>12.8</v>
      </c>
      <c r="U4">
        <v>13.3</v>
      </c>
      <c r="V4">
        <v>14.9</v>
      </c>
      <c r="W4">
        <v>14.8</v>
      </c>
      <c r="X4">
        <v>13.9</v>
      </c>
      <c r="Y4">
        <v>15.5</v>
      </c>
      <c r="Z4">
        <v>16.2</v>
      </c>
      <c r="AA4">
        <v>21.8</v>
      </c>
    </row>
    <row r="5" spans="1:30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23.8</v>
      </c>
      <c r="E5">
        <v>27.7</v>
      </c>
      <c r="H5">
        <v>25.6</v>
      </c>
      <c r="I5">
        <v>23.6</v>
      </c>
      <c r="J5">
        <v>21.6</v>
      </c>
      <c r="K5">
        <v>21.4</v>
      </c>
      <c r="L5">
        <v>20.6</v>
      </c>
      <c r="M5">
        <v>16.899999999999999</v>
      </c>
      <c r="N5">
        <v>15.5</v>
      </c>
      <c r="O5">
        <v>15.3</v>
      </c>
      <c r="P5">
        <v>13.9</v>
      </c>
      <c r="Q5">
        <v>13.8</v>
      </c>
      <c r="R5">
        <v>16.899999999999999</v>
      </c>
      <c r="S5">
        <v>16.2</v>
      </c>
      <c r="T5">
        <v>16.8</v>
      </c>
      <c r="U5">
        <v>16.5</v>
      </c>
      <c r="V5">
        <v>15.5</v>
      </c>
      <c r="W5">
        <v>15</v>
      </c>
      <c r="X5">
        <v>17.3</v>
      </c>
      <c r="Y5">
        <v>17.5</v>
      </c>
      <c r="Z5">
        <v>19.3</v>
      </c>
      <c r="AA5">
        <v>23.3</v>
      </c>
    </row>
    <row r="6" spans="1:30" x14ac:dyDescent="0.25">
      <c r="A6" s="2">
        <v>43500</v>
      </c>
      <c r="B6" s="3">
        <v>4203791666666660</v>
      </c>
      <c r="C6">
        <f t="shared" si="1"/>
        <v>3</v>
      </c>
      <c r="D6">
        <v>22.8</v>
      </c>
      <c r="H6">
        <v>24.4</v>
      </c>
      <c r="I6">
        <v>18.600000000000001</v>
      </c>
      <c r="J6">
        <v>12.2</v>
      </c>
      <c r="K6">
        <v>11.2</v>
      </c>
      <c r="L6">
        <v>11.9</v>
      </c>
      <c r="M6">
        <v>11</v>
      </c>
      <c r="N6">
        <v>12.6</v>
      </c>
      <c r="O6">
        <v>13.4</v>
      </c>
      <c r="P6">
        <v>12.1</v>
      </c>
      <c r="Q6">
        <v>10</v>
      </c>
      <c r="R6">
        <v>12.9</v>
      </c>
      <c r="S6">
        <v>12.3</v>
      </c>
      <c r="T6">
        <v>12.5</v>
      </c>
      <c r="U6">
        <v>13.8</v>
      </c>
      <c r="V6">
        <v>13.3</v>
      </c>
      <c r="W6">
        <v>15.5</v>
      </c>
      <c r="X6">
        <v>16.600000000000001</v>
      </c>
      <c r="Y6">
        <v>19.100000000000001</v>
      </c>
      <c r="Z6">
        <v>19.8</v>
      </c>
      <c r="AA6">
        <v>24.8</v>
      </c>
    </row>
    <row r="7" spans="1:30" x14ac:dyDescent="0.25">
      <c r="A7" s="2">
        <v>43501</v>
      </c>
      <c r="B7" s="3">
        <v>4203891666666660</v>
      </c>
      <c r="C7">
        <f t="shared" si="1"/>
        <v>4</v>
      </c>
      <c r="D7">
        <v>23.4</v>
      </c>
      <c r="H7">
        <v>26.8</v>
      </c>
      <c r="I7">
        <v>20.7</v>
      </c>
      <c r="J7">
        <v>13.1</v>
      </c>
      <c r="K7">
        <v>10</v>
      </c>
      <c r="L7">
        <v>10.5</v>
      </c>
      <c r="M7">
        <v>10.9</v>
      </c>
      <c r="N7">
        <v>11.2</v>
      </c>
      <c r="O7">
        <v>12</v>
      </c>
      <c r="P7">
        <v>11.9</v>
      </c>
      <c r="Q7">
        <v>11</v>
      </c>
      <c r="R7">
        <v>10.199999999999999</v>
      </c>
      <c r="S7">
        <v>11.3</v>
      </c>
      <c r="T7">
        <v>14.1</v>
      </c>
      <c r="U7">
        <v>13.3</v>
      </c>
      <c r="V7">
        <v>13</v>
      </c>
      <c r="W7">
        <v>14.6</v>
      </c>
      <c r="X7">
        <v>17.2</v>
      </c>
      <c r="Y7">
        <v>18</v>
      </c>
      <c r="Z7">
        <v>18.3</v>
      </c>
      <c r="AA7">
        <v>23.2</v>
      </c>
    </row>
    <row r="8" spans="1:30" x14ac:dyDescent="0.25">
      <c r="A8" s="2">
        <v>43502</v>
      </c>
      <c r="B8" s="3">
        <v>4203991666666660</v>
      </c>
      <c r="C8">
        <f t="shared" si="1"/>
        <v>5</v>
      </c>
      <c r="D8">
        <v>26.6</v>
      </c>
      <c r="H8">
        <v>24.9</v>
      </c>
      <c r="I8">
        <v>20.6</v>
      </c>
      <c r="J8">
        <v>12.5</v>
      </c>
      <c r="K8">
        <v>9.4</v>
      </c>
      <c r="L8">
        <v>9.9</v>
      </c>
      <c r="M8">
        <v>10.3</v>
      </c>
      <c r="N8">
        <v>9.9</v>
      </c>
      <c r="O8">
        <v>8</v>
      </c>
      <c r="P8">
        <v>9.5</v>
      </c>
      <c r="Q8">
        <v>9.3000000000000007</v>
      </c>
      <c r="R8">
        <v>11.4</v>
      </c>
      <c r="S8">
        <v>12.6</v>
      </c>
      <c r="T8">
        <v>11.3</v>
      </c>
      <c r="U8">
        <v>13.4</v>
      </c>
      <c r="V8">
        <v>13</v>
      </c>
      <c r="W8">
        <v>16.2</v>
      </c>
      <c r="X8">
        <v>14.7</v>
      </c>
      <c r="Y8">
        <v>18.5</v>
      </c>
      <c r="Z8">
        <v>20.2</v>
      </c>
      <c r="AA8">
        <v>21.2</v>
      </c>
    </row>
    <row r="9" spans="1:30" x14ac:dyDescent="0.25">
      <c r="A9" s="2">
        <v>43503</v>
      </c>
      <c r="B9" s="3">
        <v>4204091666666660</v>
      </c>
      <c r="C9">
        <f t="shared" si="1"/>
        <v>6</v>
      </c>
      <c r="D9">
        <v>25.4</v>
      </c>
      <c r="H9">
        <v>24.5</v>
      </c>
      <c r="I9">
        <v>19.5</v>
      </c>
      <c r="J9">
        <v>12.8</v>
      </c>
      <c r="K9">
        <v>9.4</v>
      </c>
      <c r="L9">
        <v>9.5</v>
      </c>
      <c r="M9">
        <v>12.7</v>
      </c>
      <c r="N9">
        <v>13.6</v>
      </c>
      <c r="O9">
        <v>12.8</v>
      </c>
      <c r="P9">
        <v>13.1</v>
      </c>
      <c r="Q9">
        <v>12</v>
      </c>
      <c r="R9">
        <v>13.9</v>
      </c>
      <c r="S9">
        <v>14.2</v>
      </c>
      <c r="T9">
        <v>12.9</v>
      </c>
      <c r="U9">
        <v>14.2</v>
      </c>
      <c r="V9">
        <v>12.7</v>
      </c>
      <c r="W9">
        <v>15.1</v>
      </c>
      <c r="X9">
        <v>17.2</v>
      </c>
      <c r="Y9">
        <v>16.399999999999999</v>
      </c>
      <c r="Z9">
        <v>19.600000000000001</v>
      </c>
      <c r="AA9">
        <v>22.2</v>
      </c>
    </row>
    <row r="10" spans="1:30" x14ac:dyDescent="0.25">
      <c r="A10" s="2">
        <v>43504</v>
      </c>
      <c r="B10" s="3">
        <v>4204191666666660</v>
      </c>
      <c r="C10">
        <f t="shared" si="1"/>
        <v>7</v>
      </c>
      <c r="D10">
        <v>24</v>
      </c>
      <c r="H10">
        <v>23.1</v>
      </c>
      <c r="I10">
        <v>19.8</v>
      </c>
      <c r="J10">
        <v>13</v>
      </c>
      <c r="K10">
        <v>9.6999999999999993</v>
      </c>
      <c r="L10">
        <v>10.6</v>
      </c>
      <c r="M10">
        <v>12</v>
      </c>
      <c r="N10">
        <v>13</v>
      </c>
      <c r="O10">
        <v>12.8</v>
      </c>
      <c r="P10">
        <v>10.7</v>
      </c>
      <c r="Q10">
        <v>11.4</v>
      </c>
      <c r="R10">
        <v>14.3</v>
      </c>
      <c r="S10">
        <v>14.4</v>
      </c>
      <c r="T10">
        <v>13</v>
      </c>
      <c r="U10">
        <v>12.4</v>
      </c>
      <c r="V10">
        <v>11.7</v>
      </c>
      <c r="W10">
        <v>13.8</v>
      </c>
      <c r="X10">
        <v>15.5</v>
      </c>
      <c r="Y10">
        <v>15.9</v>
      </c>
      <c r="Z10">
        <v>18.399999999999999</v>
      </c>
      <c r="AA10">
        <v>22.1</v>
      </c>
    </row>
    <row r="11" spans="1:30" x14ac:dyDescent="0.25">
      <c r="A11" s="2">
        <v>43505</v>
      </c>
      <c r="B11" s="3">
        <v>4204291666666660</v>
      </c>
      <c r="C11">
        <f t="shared" si="1"/>
        <v>2</v>
      </c>
      <c r="D11">
        <v>22.9</v>
      </c>
      <c r="H11">
        <v>26.6</v>
      </c>
      <c r="I11">
        <v>22.4</v>
      </c>
      <c r="J11">
        <v>20.100000000000001</v>
      </c>
      <c r="K11">
        <v>16.2</v>
      </c>
      <c r="L11">
        <v>15.9</v>
      </c>
      <c r="M11">
        <v>14.6</v>
      </c>
      <c r="N11">
        <v>13.3</v>
      </c>
      <c r="O11">
        <v>12.8</v>
      </c>
      <c r="P11">
        <v>11.6</v>
      </c>
      <c r="Q11">
        <v>12</v>
      </c>
      <c r="R11">
        <v>13.5</v>
      </c>
      <c r="S11">
        <v>14.1</v>
      </c>
      <c r="T11">
        <v>14.1</v>
      </c>
      <c r="U11">
        <v>14.5</v>
      </c>
      <c r="V11">
        <v>13.4</v>
      </c>
      <c r="W11">
        <v>16</v>
      </c>
      <c r="X11">
        <v>15.4</v>
      </c>
      <c r="Y11">
        <v>19.5</v>
      </c>
      <c r="Z11">
        <v>18.3</v>
      </c>
      <c r="AA11">
        <v>23.2</v>
      </c>
    </row>
    <row r="12" spans="1:30" x14ac:dyDescent="0.25">
      <c r="A12" s="2">
        <v>43506</v>
      </c>
      <c r="B12" s="3">
        <v>4204391666666660</v>
      </c>
      <c r="C12">
        <f t="shared" si="1"/>
        <v>1</v>
      </c>
      <c r="D12">
        <v>24.3</v>
      </c>
      <c r="E12">
        <v>26.9</v>
      </c>
      <c r="H12">
        <v>25.1</v>
      </c>
      <c r="I12">
        <v>22.6</v>
      </c>
      <c r="J12">
        <v>21.7</v>
      </c>
      <c r="K12">
        <v>19.7</v>
      </c>
      <c r="L12">
        <v>19.100000000000001</v>
      </c>
      <c r="M12">
        <v>16.8</v>
      </c>
      <c r="N12">
        <v>15.6</v>
      </c>
      <c r="O12">
        <v>15.8</v>
      </c>
      <c r="P12">
        <v>14.9</v>
      </c>
      <c r="Q12">
        <v>16</v>
      </c>
      <c r="R12">
        <v>17.2</v>
      </c>
      <c r="S12">
        <v>18.100000000000001</v>
      </c>
      <c r="T12">
        <v>17.7</v>
      </c>
      <c r="U12">
        <v>16.8</v>
      </c>
      <c r="V12">
        <v>17.8</v>
      </c>
      <c r="W12">
        <v>17.3</v>
      </c>
      <c r="X12">
        <v>17.399999999999999</v>
      </c>
      <c r="Y12">
        <v>18.3</v>
      </c>
      <c r="Z12">
        <v>20.100000000000001</v>
      </c>
      <c r="AA12">
        <v>22.1</v>
      </c>
    </row>
    <row r="13" spans="1:30" x14ac:dyDescent="0.25">
      <c r="A13" s="2">
        <v>43507</v>
      </c>
      <c r="B13" s="3">
        <v>4204491666666660</v>
      </c>
      <c r="C13">
        <f t="shared" si="1"/>
        <v>3</v>
      </c>
      <c r="D13">
        <v>24.3</v>
      </c>
      <c r="H13">
        <v>22.9</v>
      </c>
      <c r="I13">
        <v>19.5</v>
      </c>
      <c r="J13">
        <v>11.3</v>
      </c>
      <c r="K13">
        <v>9.1</v>
      </c>
      <c r="L13">
        <v>10</v>
      </c>
      <c r="M13">
        <v>12.8</v>
      </c>
      <c r="N13">
        <v>13.7</v>
      </c>
      <c r="O13">
        <v>15.1</v>
      </c>
      <c r="P13">
        <v>13.2</v>
      </c>
      <c r="Q13">
        <v>12.8</v>
      </c>
      <c r="R13">
        <v>14.9</v>
      </c>
      <c r="S13">
        <v>13.9</v>
      </c>
      <c r="T13">
        <v>14.5</v>
      </c>
      <c r="U13">
        <v>12.2</v>
      </c>
      <c r="V13">
        <v>13.5</v>
      </c>
      <c r="W13">
        <v>14.2</v>
      </c>
      <c r="X13">
        <v>17.600000000000001</v>
      </c>
      <c r="Y13">
        <v>18.2</v>
      </c>
      <c r="Z13">
        <v>20.3</v>
      </c>
      <c r="AA13">
        <v>22.7</v>
      </c>
    </row>
    <row r="14" spans="1:30" x14ac:dyDescent="0.25">
      <c r="A14" s="2">
        <v>43508</v>
      </c>
      <c r="B14" s="3">
        <v>4204591666666660</v>
      </c>
      <c r="C14">
        <f t="shared" si="1"/>
        <v>4</v>
      </c>
      <c r="D14">
        <v>26</v>
      </c>
      <c r="H14">
        <v>23.8</v>
      </c>
      <c r="I14">
        <v>20.2</v>
      </c>
      <c r="J14">
        <v>12.3</v>
      </c>
      <c r="K14">
        <v>10.5</v>
      </c>
      <c r="L14">
        <v>9.6999999999999993</v>
      </c>
      <c r="M14">
        <v>12.6</v>
      </c>
      <c r="N14">
        <v>13.3</v>
      </c>
      <c r="O14">
        <v>14.8</v>
      </c>
      <c r="P14">
        <v>11.4</v>
      </c>
      <c r="Q14">
        <v>12.5</v>
      </c>
      <c r="R14">
        <v>14.5</v>
      </c>
      <c r="S14">
        <v>13.2</v>
      </c>
      <c r="T14">
        <v>13.8</v>
      </c>
      <c r="U14">
        <v>12.3</v>
      </c>
      <c r="V14">
        <v>12.1</v>
      </c>
      <c r="W14">
        <v>13</v>
      </c>
      <c r="X14">
        <v>15.9</v>
      </c>
      <c r="Y14">
        <v>17.8</v>
      </c>
      <c r="Z14">
        <v>19.399999999999999</v>
      </c>
      <c r="AA14">
        <v>20</v>
      </c>
    </row>
    <row r="15" spans="1:30" x14ac:dyDescent="0.25">
      <c r="A15" s="2">
        <v>43509</v>
      </c>
      <c r="B15" s="3">
        <v>4204691666666660</v>
      </c>
      <c r="C15">
        <f t="shared" si="1"/>
        <v>5</v>
      </c>
      <c r="D15">
        <v>24.3</v>
      </c>
      <c r="H15">
        <v>24.7</v>
      </c>
      <c r="I15">
        <v>20.5</v>
      </c>
      <c r="J15">
        <v>12.2</v>
      </c>
      <c r="K15">
        <v>7.9</v>
      </c>
      <c r="L15">
        <v>9.4</v>
      </c>
      <c r="M15">
        <v>12.9</v>
      </c>
      <c r="N15">
        <v>13.3</v>
      </c>
      <c r="O15">
        <v>13.6</v>
      </c>
      <c r="P15">
        <v>12.8</v>
      </c>
      <c r="Q15">
        <v>11.6</v>
      </c>
      <c r="R15">
        <v>13.2</v>
      </c>
      <c r="S15">
        <v>14.1</v>
      </c>
      <c r="T15">
        <v>12.6</v>
      </c>
      <c r="U15">
        <v>12</v>
      </c>
      <c r="V15">
        <v>11.6</v>
      </c>
      <c r="W15">
        <v>14.6</v>
      </c>
      <c r="X15">
        <v>15.8</v>
      </c>
      <c r="Y15">
        <v>20.399999999999999</v>
      </c>
      <c r="Z15">
        <v>19.5</v>
      </c>
      <c r="AA15">
        <v>22.1</v>
      </c>
    </row>
    <row r="16" spans="1:30" x14ac:dyDescent="0.25">
      <c r="A16" s="2">
        <v>43510</v>
      </c>
      <c r="B16" s="3">
        <v>4204791666666660</v>
      </c>
      <c r="C16">
        <f t="shared" si="1"/>
        <v>6</v>
      </c>
      <c r="D16">
        <v>23.8</v>
      </c>
      <c r="H16">
        <v>23.6</v>
      </c>
      <c r="I16">
        <v>19.600000000000001</v>
      </c>
      <c r="J16">
        <v>12.4</v>
      </c>
      <c r="K16">
        <v>10.8</v>
      </c>
      <c r="L16">
        <v>10.1</v>
      </c>
      <c r="M16">
        <v>11.4</v>
      </c>
      <c r="N16">
        <v>12</v>
      </c>
      <c r="O16">
        <v>13</v>
      </c>
      <c r="P16">
        <v>12</v>
      </c>
      <c r="Q16">
        <v>12.6</v>
      </c>
      <c r="R16">
        <v>14.2</v>
      </c>
      <c r="S16">
        <v>13.9</v>
      </c>
      <c r="T16">
        <v>13.8</v>
      </c>
      <c r="U16">
        <v>13.5</v>
      </c>
      <c r="V16">
        <v>13.2</v>
      </c>
      <c r="W16">
        <v>14.2</v>
      </c>
      <c r="X16">
        <v>16.100000000000001</v>
      </c>
      <c r="Y16">
        <v>17.7</v>
      </c>
      <c r="Z16">
        <v>18.100000000000001</v>
      </c>
      <c r="AA16">
        <v>22.4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25.1</v>
      </c>
      <c r="H17">
        <v>26.3</v>
      </c>
      <c r="I17">
        <v>21</v>
      </c>
      <c r="J17">
        <v>13</v>
      </c>
      <c r="K17">
        <v>9.1</v>
      </c>
      <c r="L17">
        <v>9.8000000000000007</v>
      </c>
      <c r="M17">
        <v>12.1</v>
      </c>
      <c r="N17">
        <v>12.6</v>
      </c>
      <c r="O17">
        <v>13</v>
      </c>
      <c r="P17">
        <v>13.3</v>
      </c>
      <c r="Q17">
        <v>11.7</v>
      </c>
      <c r="R17">
        <v>12</v>
      </c>
      <c r="S17">
        <v>12.8</v>
      </c>
      <c r="T17">
        <v>12.3</v>
      </c>
      <c r="U17">
        <v>11.5</v>
      </c>
      <c r="V17">
        <v>12.8</v>
      </c>
      <c r="W17">
        <v>12.1</v>
      </c>
      <c r="X17">
        <v>14.9</v>
      </c>
      <c r="Y17">
        <v>13.4</v>
      </c>
      <c r="Z17">
        <v>17.7</v>
      </c>
      <c r="AA17">
        <v>20.9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22.9</v>
      </c>
      <c r="H18">
        <v>26.1</v>
      </c>
      <c r="I18">
        <v>21.1</v>
      </c>
      <c r="J18">
        <v>18.600000000000001</v>
      </c>
      <c r="K18">
        <v>16.600000000000001</v>
      </c>
      <c r="L18">
        <v>13.4</v>
      </c>
      <c r="M18">
        <v>11.9</v>
      </c>
      <c r="N18">
        <v>12.9</v>
      </c>
      <c r="O18">
        <v>11.8</v>
      </c>
      <c r="P18">
        <v>11.7</v>
      </c>
      <c r="Q18">
        <v>12.1</v>
      </c>
      <c r="R18">
        <v>13.5</v>
      </c>
      <c r="S18">
        <v>14.7</v>
      </c>
      <c r="T18">
        <v>14.5</v>
      </c>
      <c r="U18">
        <v>13.1</v>
      </c>
      <c r="V18">
        <v>15</v>
      </c>
      <c r="W18">
        <v>11.4</v>
      </c>
      <c r="X18">
        <v>14.8</v>
      </c>
      <c r="Y18">
        <v>17.5</v>
      </c>
      <c r="Z18">
        <v>19.5</v>
      </c>
      <c r="AA18">
        <v>23.9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25</v>
      </c>
      <c r="H19">
        <v>27.8</v>
      </c>
      <c r="I19">
        <v>23.2</v>
      </c>
      <c r="J19">
        <v>22.8</v>
      </c>
      <c r="K19">
        <v>20</v>
      </c>
      <c r="L19">
        <v>19.899999999999999</v>
      </c>
      <c r="M19">
        <v>17.2</v>
      </c>
      <c r="N19">
        <v>17.2</v>
      </c>
      <c r="O19">
        <v>16</v>
      </c>
      <c r="P19">
        <v>14.4</v>
      </c>
      <c r="Q19">
        <v>15.3</v>
      </c>
      <c r="R19">
        <v>17.899999999999999</v>
      </c>
      <c r="S19">
        <v>17</v>
      </c>
      <c r="T19">
        <v>18.399999999999999</v>
      </c>
      <c r="U19">
        <v>17.5</v>
      </c>
      <c r="V19">
        <v>17.5</v>
      </c>
      <c r="W19">
        <v>17.100000000000001</v>
      </c>
      <c r="X19">
        <v>18.2</v>
      </c>
      <c r="Y19">
        <v>19.8</v>
      </c>
      <c r="Z19">
        <v>21.4</v>
      </c>
      <c r="AA19">
        <v>23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26</v>
      </c>
      <c r="H20">
        <v>26.8</v>
      </c>
      <c r="I20">
        <v>21</v>
      </c>
      <c r="J20">
        <v>11.4</v>
      </c>
      <c r="K20">
        <v>9.3000000000000007</v>
      </c>
      <c r="L20">
        <v>10.7</v>
      </c>
      <c r="M20">
        <v>12.7</v>
      </c>
      <c r="N20">
        <v>11.4</v>
      </c>
      <c r="O20">
        <v>15.3</v>
      </c>
      <c r="P20">
        <v>14.4</v>
      </c>
      <c r="Q20">
        <v>13.5</v>
      </c>
      <c r="R20">
        <v>13.2</v>
      </c>
      <c r="S20">
        <v>14.7</v>
      </c>
      <c r="T20">
        <v>13.6</v>
      </c>
      <c r="U20">
        <v>12.1</v>
      </c>
      <c r="V20">
        <v>13.3</v>
      </c>
      <c r="W20">
        <v>14.7</v>
      </c>
      <c r="X20">
        <v>15.7</v>
      </c>
      <c r="Y20">
        <v>19.2</v>
      </c>
      <c r="Z20">
        <v>20.8</v>
      </c>
      <c r="AA20">
        <v>24.5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24.2</v>
      </c>
      <c r="H21">
        <v>26.3</v>
      </c>
      <c r="I21">
        <v>19.899999999999999</v>
      </c>
      <c r="J21">
        <v>11.8</v>
      </c>
      <c r="K21">
        <v>9.6</v>
      </c>
      <c r="L21">
        <v>10</v>
      </c>
      <c r="M21">
        <v>11.9</v>
      </c>
      <c r="N21">
        <v>12.7</v>
      </c>
      <c r="O21">
        <v>14.2</v>
      </c>
      <c r="P21">
        <v>14.1</v>
      </c>
      <c r="Q21">
        <v>12.6</v>
      </c>
      <c r="R21">
        <v>14.1</v>
      </c>
      <c r="S21">
        <v>14.1</v>
      </c>
      <c r="T21">
        <v>13.6</v>
      </c>
      <c r="U21">
        <v>12.1</v>
      </c>
      <c r="V21">
        <v>11.7</v>
      </c>
      <c r="W21">
        <v>14.2</v>
      </c>
      <c r="X21">
        <v>16.899999999999999</v>
      </c>
      <c r="Y21">
        <v>19.8</v>
      </c>
      <c r="Z21">
        <v>18.7</v>
      </c>
      <c r="AA21">
        <v>23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25</v>
      </c>
      <c r="H22">
        <v>24.8</v>
      </c>
      <c r="I22">
        <v>19.3</v>
      </c>
      <c r="J22">
        <v>12.3</v>
      </c>
      <c r="K22">
        <v>9.8000000000000007</v>
      </c>
      <c r="L22">
        <v>10.9</v>
      </c>
      <c r="M22">
        <v>12.7</v>
      </c>
      <c r="N22">
        <v>12.9</v>
      </c>
      <c r="O22">
        <v>15.5</v>
      </c>
      <c r="P22">
        <v>13.3</v>
      </c>
      <c r="Q22">
        <v>13.2</v>
      </c>
      <c r="R22">
        <v>13.9</v>
      </c>
      <c r="S22">
        <v>13.8</v>
      </c>
      <c r="T22">
        <v>13.1</v>
      </c>
      <c r="U22">
        <v>13.1</v>
      </c>
      <c r="V22">
        <v>12.4</v>
      </c>
      <c r="W22">
        <v>13</v>
      </c>
      <c r="X22">
        <v>15.2</v>
      </c>
      <c r="Y22">
        <v>17.600000000000001</v>
      </c>
      <c r="Z22">
        <v>19.2</v>
      </c>
      <c r="AA22">
        <v>22.5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20.6</v>
      </c>
      <c r="H23">
        <v>21.4</v>
      </c>
      <c r="I23">
        <v>20.5</v>
      </c>
      <c r="J23">
        <v>13.1</v>
      </c>
      <c r="K23">
        <v>10.199999999999999</v>
      </c>
      <c r="L23">
        <v>10.6</v>
      </c>
      <c r="M23">
        <v>12.9</v>
      </c>
      <c r="N23">
        <v>12.2</v>
      </c>
      <c r="O23">
        <v>14.5</v>
      </c>
      <c r="P23">
        <v>12.3</v>
      </c>
      <c r="Q23">
        <v>11.7</v>
      </c>
      <c r="R23">
        <v>13.8</v>
      </c>
      <c r="S23">
        <v>15.8</v>
      </c>
      <c r="T23">
        <v>12.7</v>
      </c>
      <c r="U23">
        <v>13.4</v>
      </c>
      <c r="V23">
        <v>12.9</v>
      </c>
      <c r="W23">
        <v>12.1</v>
      </c>
      <c r="X23">
        <v>16.7</v>
      </c>
      <c r="Y23">
        <v>17.100000000000001</v>
      </c>
      <c r="Z23">
        <v>20.5</v>
      </c>
      <c r="AA23">
        <v>22.1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25.8</v>
      </c>
      <c r="H24">
        <v>22.7</v>
      </c>
      <c r="I24">
        <v>21.2</v>
      </c>
      <c r="J24">
        <v>13.5</v>
      </c>
      <c r="K24">
        <v>10.4</v>
      </c>
      <c r="L24">
        <v>9.4</v>
      </c>
      <c r="M24">
        <v>11.9</v>
      </c>
      <c r="N24">
        <v>11.2</v>
      </c>
      <c r="O24">
        <v>13.4</v>
      </c>
      <c r="P24">
        <v>11.4</v>
      </c>
      <c r="Q24">
        <v>11.4</v>
      </c>
      <c r="R24">
        <v>13</v>
      </c>
      <c r="S24">
        <v>14.2</v>
      </c>
      <c r="T24">
        <v>13</v>
      </c>
      <c r="U24">
        <v>11.9</v>
      </c>
      <c r="V24">
        <v>11.3</v>
      </c>
      <c r="W24">
        <v>12</v>
      </c>
      <c r="X24">
        <v>15.6</v>
      </c>
      <c r="Y24">
        <v>17.5</v>
      </c>
      <c r="Z24">
        <v>19.600000000000001</v>
      </c>
      <c r="AA24">
        <v>21.4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25.1</v>
      </c>
      <c r="H25">
        <v>27.4</v>
      </c>
      <c r="I25">
        <v>22.2</v>
      </c>
      <c r="J25">
        <v>19.7</v>
      </c>
      <c r="K25">
        <v>16.399999999999999</v>
      </c>
      <c r="L25">
        <v>14.7</v>
      </c>
      <c r="M25">
        <v>12.2</v>
      </c>
      <c r="N25">
        <v>12.6</v>
      </c>
      <c r="O25">
        <v>12.1</v>
      </c>
      <c r="P25">
        <v>13.1</v>
      </c>
      <c r="Q25">
        <v>11.6</v>
      </c>
      <c r="R25">
        <v>12.1</v>
      </c>
      <c r="T25">
        <v>12.3</v>
      </c>
      <c r="V25">
        <v>14.3</v>
      </c>
      <c r="Z25">
        <v>15.5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25.4</v>
      </c>
      <c r="E26">
        <v>26.3</v>
      </c>
      <c r="H26">
        <v>25.8</v>
      </c>
      <c r="I26">
        <v>22.2</v>
      </c>
      <c r="J26">
        <v>21.7</v>
      </c>
      <c r="K26">
        <v>19.3</v>
      </c>
      <c r="L26">
        <v>18.399999999999999</v>
      </c>
      <c r="M26">
        <v>17.399999999999999</v>
      </c>
      <c r="N26">
        <v>16.600000000000001</v>
      </c>
      <c r="O26">
        <v>15</v>
      </c>
      <c r="P26">
        <v>14.3</v>
      </c>
      <c r="Q26">
        <v>14.2</v>
      </c>
      <c r="R26">
        <v>16</v>
      </c>
      <c r="S26">
        <v>16.3</v>
      </c>
      <c r="T26">
        <v>17</v>
      </c>
      <c r="U26">
        <v>17.2</v>
      </c>
      <c r="V26">
        <v>17.399999999999999</v>
      </c>
      <c r="W26">
        <v>17.100000000000001</v>
      </c>
      <c r="X26">
        <v>18.5</v>
      </c>
      <c r="Y26">
        <v>16.2</v>
      </c>
      <c r="Z26">
        <v>20.100000000000001</v>
      </c>
      <c r="AA26">
        <v>22.8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22.7</v>
      </c>
      <c r="H27">
        <v>22.9</v>
      </c>
      <c r="I27">
        <v>19.2</v>
      </c>
      <c r="J27">
        <v>12.1</v>
      </c>
      <c r="K27">
        <v>10.7</v>
      </c>
      <c r="L27">
        <v>10</v>
      </c>
      <c r="M27">
        <v>13.7</v>
      </c>
      <c r="N27">
        <v>13.5</v>
      </c>
      <c r="O27">
        <v>13.8</v>
      </c>
      <c r="P27">
        <v>12.6</v>
      </c>
      <c r="Q27">
        <v>13.6</v>
      </c>
      <c r="R27">
        <v>15</v>
      </c>
      <c r="S27">
        <v>15.2</v>
      </c>
      <c r="T27">
        <v>13.2</v>
      </c>
      <c r="U27">
        <v>11.5</v>
      </c>
      <c r="V27">
        <v>10.7</v>
      </c>
      <c r="W27">
        <v>14.6</v>
      </c>
      <c r="X27">
        <v>17.7</v>
      </c>
      <c r="Y27">
        <v>17.899999999999999</v>
      </c>
      <c r="Z27">
        <v>17.899999999999999</v>
      </c>
      <c r="AA27">
        <v>21.4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23.9</v>
      </c>
      <c r="H28">
        <v>24.6</v>
      </c>
      <c r="I28">
        <v>20.399999999999999</v>
      </c>
      <c r="J28">
        <v>10.7</v>
      </c>
      <c r="K28">
        <v>8.6</v>
      </c>
      <c r="L28">
        <v>9.6999999999999993</v>
      </c>
      <c r="M28">
        <v>12.2</v>
      </c>
      <c r="N28">
        <v>13.1</v>
      </c>
      <c r="O28">
        <v>14.6</v>
      </c>
      <c r="P28">
        <v>12.5</v>
      </c>
      <c r="Q28">
        <v>12.3</v>
      </c>
      <c r="R28">
        <v>13</v>
      </c>
      <c r="S28">
        <v>13.6</v>
      </c>
      <c r="T28">
        <v>13.3</v>
      </c>
      <c r="U28">
        <v>12.1</v>
      </c>
      <c r="V28">
        <v>12.5</v>
      </c>
      <c r="W28">
        <v>14.3</v>
      </c>
      <c r="X28">
        <v>15.9</v>
      </c>
      <c r="Y28">
        <v>17.399999999999999</v>
      </c>
      <c r="Z28">
        <v>18.899999999999999</v>
      </c>
      <c r="AA28">
        <v>20.5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25.2</v>
      </c>
      <c r="H29">
        <v>23.6</v>
      </c>
      <c r="I29">
        <v>19.600000000000001</v>
      </c>
      <c r="J29">
        <v>12.5</v>
      </c>
      <c r="K29">
        <v>9.8000000000000007</v>
      </c>
      <c r="L29">
        <v>10.199999999999999</v>
      </c>
      <c r="M29">
        <v>12.2</v>
      </c>
      <c r="N29">
        <v>11.7</v>
      </c>
      <c r="O29">
        <v>14.1</v>
      </c>
      <c r="P29">
        <v>12.7</v>
      </c>
      <c r="Q29">
        <v>12.6</v>
      </c>
      <c r="R29">
        <v>13.6</v>
      </c>
      <c r="S29">
        <v>13.2</v>
      </c>
      <c r="T29">
        <v>13.1</v>
      </c>
      <c r="U29">
        <v>13</v>
      </c>
      <c r="V29">
        <v>9</v>
      </c>
      <c r="W29">
        <v>9.4</v>
      </c>
      <c r="X29">
        <v>14</v>
      </c>
      <c r="Y29">
        <v>16.600000000000001</v>
      </c>
      <c r="Z29">
        <v>17.899999999999999</v>
      </c>
      <c r="AA29">
        <v>23.1</v>
      </c>
    </row>
    <row r="31" spans="1:27" x14ac:dyDescent="0.25">
      <c r="A31" s="3"/>
      <c r="B31" s="3"/>
      <c r="C31">
        <v>1</v>
      </c>
      <c r="D31">
        <f t="array" ref="D31">MEDIAN(IF($C$3:$C$29=$C31,D$3:D$29,""))</f>
        <v>24.65</v>
      </c>
      <c r="E31">
        <f t="array" ref="E31">MEDIAN(IF($C$3:$C$29=$C31,E$3:E$29,""))</f>
        <v>26.6</v>
      </c>
      <c r="F31">
        <f t="array" ref="F31">MEDIAN(IF($C$3:$C$29=$C31,F$3:F$29,""))</f>
        <v>0</v>
      </c>
      <c r="G31">
        <v>26</v>
      </c>
      <c r="H31">
        <f t="array" ref="H31">MEDIAN(IF($C$3:$C$29=$C31,H$3:H$29,""))</f>
        <v>25.700000000000003</v>
      </c>
      <c r="I31">
        <f t="array" ref="I31">MEDIAN(IF($C$3:$C$29=$C31,I$3:I$29,""))</f>
        <v>22.9</v>
      </c>
      <c r="J31">
        <f t="array" ref="J31">MEDIAN(IF($C$3:$C$29=$C31,J$3:J$29,""))</f>
        <v>21.7</v>
      </c>
      <c r="K31">
        <f t="array" ref="K31">MEDIAN(IF($C$3:$C$29=$C31,K$3:K$29,""))</f>
        <v>19.850000000000001</v>
      </c>
      <c r="L31">
        <f t="array" ref="L31">MEDIAN(IF($C$3:$C$29=$C31,L$3:L$29,""))</f>
        <v>19.5</v>
      </c>
      <c r="M31">
        <f t="array" ref="M31">MEDIAN(IF($C$3:$C$29=$C31,M$3:M$29,""))</f>
        <v>17.049999999999997</v>
      </c>
      <c r="N31">
        <f t="array" ref="N31">MEDIAN(IF($C$3:$C$29=$C31,N$3:N$29,""))</f>
        <v>16.100000000000001</v>
      </c>
      <c r="O31">
        <f t="array" ref="O31">MEDIAN(IF($C$3:$C$29=$C31,O$3:O$29,""))</f>
        <v>15.55</v>
      </c>
      <c r="P31">
        <f t="array" ref="P31">MEDIAN(IF($C$3:$C$29=$C31,P$3:P$29,""))</f>
        <v>14.350000000000001</v>
      </c>
      <c r="Q31">
        <f t="array" ref="Q31">MEDIAN(IF($C$3:$C$29=$C31,Q$3:Q$29,""))</f>
        <v>14.75</v>
      </c>
      <c r="R31">
        <f t="array" ref="R31">MEDIAN(IF($C$3:$C$29=$C31,R$3:R$29,""))</f>
        <v>17.049999999999997</v>
      </c>
      <c r="S31">
        <f t="array" ref="S31">MEDIAN(IF($C$3:$C$29=$C31,S$3:S$29,""))</f>
        <v>16.649999999999999</v>
      </c>
      <c r="T31">
        <f t="array" ref="T31">MEDIAN(IF($C$3:$C$29=$C31,T$3:T$29,""))</f>
        <v>17.350000000000001</v>
      </c>
      <c r="U31">
        <f t="array" ref="U31">MEDIAN(IF($C$3:$C$29=$C31,U$3:U$29,""))</f>
        <v>17</v>
      </c>
      <c r="V31">
        <f t="array" ref="V31">MEDIAN(IF($C$3:$C$29=$C31,V$3:V$29,""))</f>
        <v>17.45</v>
      </c>
      <c r="W31">
        <f t="array" ref="W31">MEDIAN(IF($C$3:$C$29=$C31,W$3:W$29,""))</f>
        <v>17.100000000000001</v>
      </c>
      <c r="X31">
        <f t="array" ref="X31">MEDIAN(IF($C$3:$C$29=$C31,X$3:X$29,""))</f>
        <v>17.799999999999997</v>
      </c>
      <c r="Y31">
        <f t="array" ref="Y31">MEDIAN(IF($C$3:$C$29=$C31,Y$3:Y$29,""))</f>
        <v>17.899999999999999</v>
      </c>
      <c r="Z31">
        <f t="array" ref="Z31">MEDIAN(IF($C$3:$C$29=$C31,Z$3:Z$29,""))</f>
        <v>20.100000000000001</v>
      </c>
      <c r="AA31">
        <f t="array" ref="AA31">MEDIAN(IF($C$3:$C$29=$C31,AA$3:AA$29,""))</f>
        <v>22.9</v>
      </c>
    </row>
    <row r="32" spans="1:27" x14ac:dyDescent="0.25">
      <c r="C32">
        <v>2</v>
      </c>
      <c r="D32">
        <f t="array" ref="D32">MEDIAN(IF($C$3:$C$29=$C32,D$3:D$29,""))</f>
        <v>22.9</v>
      </c>
      <c r="E32">
        <f t="array" ref="E32">MEDIAN(IF($C$3:$C$29=$C32,E$3:E$29,""))</f>
        <v>0</v>
      </c>
      <c r="F32">
        <f t="array" ref="F32">MEDIAN(IF($C$3:$C$29=$C32,F$3:F$29,""))</f>
        <v>0</v>
      </c>
      <c r="G32">
        <v>26</v>
      </c>
      <c r="H32">
        <f t="array" ref="H32">MEDIAN(IF($C$3:$C$29=$C32,H$3:H$29,""))</f>
        <v>26.35</v>
      </c>
      <c r="I32">
        <f t="array" ref="I32">MEDIAN(IF($C$3:$C$29=$C32,I$3:I$29,""))</f>
        <v>21.75</v>
      </c>
      <c r="J32">
        <f t="array" ref="J32">MEDIAN(IF($C$3:$C$29=$C32,J$3:J$29,""))</f>
        <v>19.899999999999999</v>
      </c>
      <c r="K32">
        <f t="array" ref="K32">MEDIAN(IF($C$3:$C$29=$C32,K$3:K$29,""))</f>
        <v>16.299999999999997</v>
      </c>
      <c r="L32">
        <f t="array" ref="L32">MEDIAN(IF($C$3:$C$29=$C32,L$3:L$29,""))</f>
        <v>15.3</v>
      </c>
      <c r="M32">
        <f t="array" ref="M32">MEDIAN(IF($C$3:$C$29=$C32,M$3:M$29,""))</f>
        <v>12.649999999999999</v>
      </c>
      <c r="N32">
        <f t="array" ref="N32">MEDIAN(IF($C$3:$C$29=$C32,N$3:N$29,""))</f>
        <v>12.75</v>
      </c>
      <c r="O32">
        <f t="array" ref="O32">MEDIAN(IF($C$3:$C$29=$C32,O$3:O$29,""))</f>
        <v>11.95</v>
      </c>
      <c r="P32">
        <f t="array" ref="P32">MEDIAN(IF($C$3:$C$29=$C32,P$3:P$29,""))</f>
        <v>12.149999999999999</v>
      </c>
      <c r="Q32">
        <f t="array" ref="Q32">MEDIAN(IF($C$3:$C$29=$C32,Q$3:Q$29,""))</f>
        <v>11.8</v>
      </c>
      <c r="R32">
        <f t="array" ref="R32">MEDIAN(IF($C$3:$C$29=$C32,R$3:R$29,""))</f>
        <v>13</v>
      </c>
      <c r="S32">
        <f t="array" ref="S32">MEDIAN(IF($C$3:$C$29=$C32,S$3:S$29,""))</f>
        <v>13.399999999999999</v>
      </c>
      <c r="T32">
        <f t="array" ref="T32">MEDIAN(IF($C$3:$C$29=$C32,T$3:T$29,""))</f>
        <v>13.45</v>
      </c>
      <c r="U32">
        <f t="array" ref="U32">MEDIAN(IF($C$3:$C$29=$C32,U$3:U$29,""))</f>
        <v>13.2</v>
      </c>
      <c r="V32">
        <f t="array" ref="V32">MEDIAN(IF($C$3:$C$29=$C32,V$3:V$29,""))</f>
        <v>14.600000000000001</v>
      </c>
      <c r="W32">
        <f t="array" ref="W32">MEDIAN(IF($C$3:$C$29=$C32,W$3:W$29,""))</f>
        <v>13.100000000000001</v>
      </c>
      <c r="X32">
        <f t="array" ref="X32">MEDIAN(IF($C$3:$C$29=$C32,X$3:X$29,""))</f>
        <v>14.350000000000001</v>
      </c>
      <c r="Y32">
        <f t="array" ref="Y32">MEDIAN(IF($C$3:$C$29=$C32,Y$3:Y$29,""))</f>
        <v>16.5</v>
      </c>
      <c r="Z32">
        <f t="array" ref="Z32">MEDIAN(IF($C$3:$C$29=$C32,Z$3:Z$29,""))</f>
        <v>17.25</v>
      </c>
      <c r="AA32">
        <f t="array" ref="AA32">MEDIAN(IF($C$3:$C$29=$C32,AA$3:AA$29,""))</f>
        <v>22.5</v>
      </c>
    </row>
    <row r="33" spans="3:27" x14ac:dyDescent="0.25">
      <c r="C33">
        <v>3</v>
      </c>
      <c r="D33">
        <f t="array" ref="D33">MEDIAN(IF($C$3:$C$29=$C33,D$3:D$29,""))</f>
        <v>23.55</v>
      </c>
      <c r="E33">
        <f t="array" ref="E33">MEDIAN(IF($C$3:$C$29=$C33,E$3:E$29,""))</f>
        <v>0</v>
      </c>
      <c r="F33">
        <f t="array" ref="F33">MEDIAN(IF($C$3:$C$29=$C33,F$3:F$29,""))</f>
        <v>0</v>
      </c>
      <c r="G33">
        <v>26</v>
      </c>
      <c r="H33">
        <f t="array" ref="H33">MEDIAN(IF($C$3:$C$29=$C33,H$3:H$29,""))</f>
        <v>23.65</v>
      </c>
      <c r="I33">
        <f t="array" ref="I33">MEDIAN(IF($C$3:$C$29=$C33,I$3:I$29,""))</f>
        <v>19.350000000000001</v>
      </c>
      <c r="J33">
        <f t="array" ref="J33">MEDIAN(IF($C$3:$C$29=$C33,J$3:J$29,""))</f>
        <v>11.75</v>
      </c>
      <c r="K33">
        <f t="array" ref="K33">MEDIAN(IF($C$3:$C$29=$C33,K$3:K$29,""))</f>
        <v>10</v>
      </c>
      <c r="L33">
        <f t="array" ref="L33">MEDIAN(IF($C$3:$C$29=$C33,L$3:L$29,""))</f>
        <v>10.35</v>
      </c>
      <c r="M33">
        <f t="array" ref="M33">MEDIAN(IF($C$3:$C$29=$C33,M$3:M$29,""))</f>
        <v>12.75</v>
      </c>
      <c r="N33">
        <f t="array" ref="N33">MEDIAN(IF($C$3:$C$29=$C33,N$3:N$29,""))</f>
        <v>13.05</v>
      </c>
      <c r="O33">
        <f t="array" ref="O33">MEDIAN(IF($C$3:$C$29=$C33,O$3:O$29,""))</f>
        <v>14.45</v>
      </c>
      <c r="P33">
        <f t="array" ref="P33">MEDIAN(IF($C$3:$C$29=$C33,P$3:P$29,""))</f>
        <v>12.899999999999999</v>
      </c>
      <c r="Q33">
        <f t="array" ref="Q33">MEDIAN(IF($C$3:$C$29=$C33,Q$3:Q$29,""))</f>
        <v>13.15</v>
      </c>
      <c r="R33">
        <f t="array" ref="R33">MEDIAN(IF($C$3:$C$29=$C33,R$3:R$29,""))</f>
        <v>14.05</v>
      </c>
      <c r="S33">
        <f t="array" ref="S33">MEDIAN(IF($C$3:$C$29=$C33,S$3:S$29,""))</f>
        <v>14.3</v>
      </c>
      <c r="T33">
        <f t="array" ref="T33">MEDIAN(IF($C$3:$C$29=$C33,T$3:T$29,""))</f>
        <v>13.399999999999999</v>
      </c>
      <c r="U33">
        <f t="array" ref="U33">MEDIAN(IF($C$3:$C$29=$C33,U$3:U$29,""))</f>
        <v>12.149999999999999</v>
      </c>
      <c r="V33">
        <f t="array" ref="V33">MEDIAN(IF($C$3:$C$29=$C33,V$3:V$29,""))</f>
        <v>13.3</v>
      </c>
      <c r="W33">
        <f t="array" ref="W33">MEDIAN(IF($C$3:$C$29=$C33,W$3:W$29,""))</f>
        <v>14.649999999999999</v>
      </c>
      <c r="X33">
        <f t="array" ref="X33">MEDIAN(IF($C$3:$C$29=$C33,X$3:X$29,""))</f>
        <v>17.100000000000001</v>
      </c>
      <c r="Y33">
        <f t="array" ref="Y33">MEDIAN(IF($C$3:$C$29=$C33,Y$3:Y$29,""))</f>
        <v>18.649999999999999</v>
      </c>
      <c r="Z33">
        <f t="array" ref="Z33">MEDIAN(IF($C$3:$C$29=$C33,Z$3:Z$29,""))</f>
        <v>20.05</v>
      </c>
      <c r="AA33">
        <f t="array" ref="AA33">MEDIAN(IF($C$3:$C$29=$C33,AA$3:AA$29,""))</f>
        <v>23.6</v>
      </c>
    </row>
    <row r="34" spans="3:27" x14ac:dyDescent="0.25">
      <c r="C34">
        <v>4</v>
      </c>
      <c r="D34">
        <f t="array" ref="D34">MEDIAN(IF($C$3:$C$29=$C34,D$3:D$29,""))</f>
        <v>24.049999999999997</v>
      </c>
      <c r="E34">
        <f t="array" ref="E34">MEDIAN(IF($C$3:$C$29=$C34,E$3:E$29,""))</f>
        <v>0</v>
      </c>
      <c r="F34">
        <f t="array" ref="F34">MEDIAN(IF($C$3:$C$29=$C34,F$3:F$29,""))</f>
        <v>0</v>
      </c>
      <c r="G34">
        <v>26</v>
      </c>
      <c r="H34">
        <f t="array" ref="H34">MEDIAN(IF($C$3:$C$29=$C34,H$3:H$29,""))</f>
        <v>25.450000000000003</v>
      </c>
      <c r="I34">
        <f t="array" ref="I34">MEDIAN(IF($C$3:$C$29=$C34,I$3:I$29,""))</f>
        <v>20.299999999999997</v>
      </c>
      <c r="J34">
        <f t="array" ref="J34">MEDIAN(IF($C$3:$C$29=$C34,J$3:J$29,""))</f>
        <v>12.05</v>
      </c>
      <c r="K34">
        <f t="array" ref="K34">MEDIAN(IF($C$3:$C$29=$C34,K$3:K$29,""))</f>
        <v>9.8000000000000007</v>
      </c>
      <c r="L34">
        <f t="array" ref="L34">MEDIAN(IF($C$3:$C$29=$C34,L$3:L$29,""))</f>
        <v>9.85</v>
      </c>
      <c r="M34">
        <f t="array" ref="M34">MEDIAN(IF($C$3:$C$29=$C34,M$3:M$29,""))</f>
        <v>12.05</v>
      </c>
      <c r="N34">
        <f t="array" ref="N34">MEDIAN(IF($C$3:$C$29=$C34,N$3:N$29,""))</f>
        <v>12.899999999999999</v>
      </c>
      <c r="O34">
        <f t="array" ref="O34">MEDIAN(IF($C$3:$C$29=$C34,O$3:O$29,""))</f>
        <v>14.399999999999999</v>
      </c>
      <c r="P34">
        <f t="array" ref="P34">MEDIAN(IF($C$3:$C$29=$C34,P$3:P$29,""))</f>
        <v>12.2</v>
      </c>
      <c r="Q34">
        <f t="array" ref="Q34">MEDIAN(IF($C$3:$C$29=$C34,Q$3:Q$29,""))</f>
        <v>12.4</v>
      </c>
      <c r="R34">
        <f t="array" ref="R34">MEDIAN(IF($C$3:$C$29=$C34,R$3:R$29,""))</f>
        <v>13.55</v>
      </c>
      <c r="S34">
        <f t="array" ref="S34">MEDIAN(IF($C$3:$C$29=$C34,S$3:S$29,""))</f>
        <v>13.399999999999999</v>
      </c>
      <c r="T34">
        <f t="array" ref="T34">MEDIAN(IF($C$3:$C$29=$C34,T$3:T$29,""))</f>
        <v>13.7</v>
      </c>
      <c r="U34">
        <f t="array" ref="U34">MEDIAN(IF($C$3:$C$29=$C34,U$3:U$29,""))</f>
        <v>12.2</v>
      </c>
      <c r="V34">
        <f t="array" ref="V34">MEDIAN(IF($C$3:$C$29=$C34,V$3:V$29,""))</f>
        <v>12.3</v>
      </c>
      <c r="W34">
        <f t="array" ref="W34">MEDIAN(IF($C$3:$C$29=$C34,W$3:W$29,""))</f>
        <v>14.25</v>
      </c>
      <c r="X34">
        <f t="array" ref="X34">MEDIAN(IF($C$3:$C$29=$C34,X$3:X$29,""))</f>
        <v>16.399999999999999</v>
      </c>
      <c r="Y34">
        <f t="array" ref="Y34">MEDIAN(IF($C$3:$C$29=$C34,Y$3:Y$29,""))</f>
        <v>17.899999999999999</v>
      </c>
      <c r="Z34">
        <f t="array" ref="Z34">MEDIAN(IF($C$3:$C$29=$C34,Z$3:Z$29,""))</f>
        <v>18.799999999999997</v>
      </c>
      <c r="AA34">
        <f t="array" ref="AA34">MEDIAN(IF($C$3:$C$29=$C34,AA$3:AA$29,""))</f>
        <v>21.75</v>
      </c>
    </row>
    <row r="35" spans="3:27" x14ac:dyDescent="0.25">
      <c r="C35">
        <v>5</v>
      </c>
      <c r="D35">
        <f t="array" ref="D35">MEDIAN(IF($C$3:$C$29=$C35,D$3:D$29,""))</f>
        <v>25.1</v>
      </c>
      <c r="E35">
        <f t="array" ref="E35">MEDIAN(IF($C$3:$C$29=$C35,E$3:E$29,""))</f>
        <v>0</v>
      </c>
      <c r="F35">
        <f t="array" ref="F35">MEDIAN(IF($C$3:$C$29=$C35,F$3:F$29,""))</f>
        <v>0</v>
      </c>
      <c r="G35">
        <v>26</v>
      </c>
      <c r="H35">
        <f t="array" ref="H35">MEDIAN(IF($C$3:$C$29=$C35,H$3:H$29,""))</f>
        <v>24.75</v>
      </c>
      <c r="I35">
        <f t="array" ref="I35">MEDIAN(IF($C$3:$C$29=$C35,I$3:I$29,""))</f>
        <v>20.05</v>
      </c>
      <c r="J35">
        <f t="array" ref="J35">MEDIAN(IF($C$3:$C$29=$C35,J$3:J$29,""))</f>
        <v>12.4</v>
      </c>
      <c r="K35">
        <f t="array" ref="K35">MEDIAN(IF($C$3:$C$29=$C35,K$3:K$29,""))</f>
        <v>9.6000000000000014</v>
      </c>
      <c r="L35">
        <f t="array" ref="L35">MEDIAN(IF($C$3:$C$29=$C35,L$3:L$29,""))</f>
        <v>10.050000000000001</v>
      </c>
      <c r="M35">
        <f t="array" ref="M35">MEDIAN(IF($C$3:$C$29=$C35,M$3:M$29,""))</f>
        <v>12.45</v>
      </c>
      <c r="N35">
        <f t="array" ref="N35">MEDIAN(IF($C$3:$C$29=$C35,N$3:N$29,""))</f>
        <v>12.3</v>
      </c>
      <c r="O35">
        <f t="array" ref="O35">MEDIAN(IF($C$3:$C$29=$C35,O$3:O$29,""))</f>
        <v>13.85</v>
      </c>
      <c r="P35">
        <f t="array" ref="P35">MEDIAN(IF($C$3:$C$29=$C35,P$3:P$29,""))</f>
        <v>12.75</v>
      </c>
      <c r="Q35">
        <f t="array" ref="Q35">MEDIAN(IF($C$3:$C$29=$C35,Q$3:Q$29,""))</f>
        <v>12.1</v>
      </c>
      <c r="R35">
        <f t="array" ref="R35">MEDIAN(IF($C$3:$C$29=$C35,R$3:R$29,""))</f>
        <v>13.399999999999999</v>
      </c>
      <c r="S35">
        <f t="array" ref="S35">MEDIAN(IF($C$3:$C$29=$C35,S$3:S$29,""))</f>
        <v>13.5</v>
      </c>
      <c r="T35">
        <f t="array" ref="T35">MEDIAN(IF($C$3:$C$29=$C35,T$3:T$29,""))</f>
        <v>12.85</v>
      </c>
      <c r="U35">
        <f t="array" ref="U35">MEDIAN(IF($C$3:$C$29=$C35,U$3:U$29,""))</f>
        <v>13.05</v>
      </c>
      <c r="V35">
        <f t="array" ref="V35">MEDIAN(IF($C$3:$C$29=$C35,V$3:V$29,""))</f>
        <v>12</v>
      </c>
      <c r="W35">
        <f t="array" ref="W35">MEDIAN(IF($C$3:$C$29=$C35,W$3:W$29,""))</f>
        <v>13.8</v>
      </c>
      <c r="X35">
        <f t="array" ref="X35">MEDIAN(IF($C$3:$C$29=$C35,X$3:X$29,""))</f>
        <v>14.95</v>
      </c>
      <c r="Y35">
        <f t="array" ref="Y35">MEDIAN(IF($C$3:$C$29=$C35,Y$3:Y$29,""))</f>
        <v>18.05</v>
      </c>
      <c r="Z35">
        <f t="array" ref="Z35">MEDIAN(IF($C$3:$C$29=$C35,Z$3:Z$29,""))</f>
        <v>19.350000000000001</v>
      </c>
      <c r="AA35">
        <f t="array" ref="AA35">MEDIAN(IF($C$3:$C$29=$C35,AA$3:AA$29,""))</f>
        <v>22.3</v>
      </c>
    </row>
    <row r="36" spans="3:27" x14ac:dyDescent="0.25">
      <c r="C36">
        <v>6</v>
      </c>
      <c r="D36">
        <f t="array" ref="D36">MEDIAN(IF($C$3:$C$29=$C36,D$3:D$29,""))</f>
        <v>23.8</v>
      </c>
      <c r="E36">
        <f t="array" ref="E36">MEDIAN(IF($C$3:$C$29=$C36,E$3:E$29,""))</f>
        <v>0</v>
      </c>
      <c r="F36">
        <f t="array" ref="F36">MEDIAN(IF($C$3:$C$29=$C36,F$3:F$29,""))</f>
        <v>0</v>
      </c>
      <c r="G36">
        <v>26</v>
      </c>
      <c r="H36">
        <f t="array" ref="H36">MEDIAN(IF($C$3:$C$29=$C36,H$3:H$29,""))</f>
        <v>23.6</v>
      </c>
      <c r="I36">
        <f t="array" ref="I36">MEDIAN(IF($C$3:$C$29=$C36,I$3:I$29,""))</f>
        <v>19.600000000000001</v>
      </c>
      <c r="J36">
        <f t="array" ref="J36">MEDIAN(IF($C$3:$C$29=$C36,J$3:J$29,""))</f>
        <v>12.8</v>
      </c>
      <c r="K36">
        <f t="array" ref="K36">MEDIAN(IF($C$3:$C$29=$C36,K$3:K$29,""))</f>
        <v>10.199999999999999</v>
      </c>
      <c r="L36">
        <f t="array" ref="L36">MEDIAN(IF($C$3:$C$29=$C36,L$3:L$29,""))</f>
        <v>10.1</v>
      </c>
      <c r="M36">
        <f t="array" ref="M36">MEDIAN(IF($C$3:$C$29=$C36,M$3:M$29,""))</f>
        <v>12.7</v>
      </c>
      <c r="N36">
        <f t="array" ref="N36">MEDIAN(IF($C$3:$C$29=$C36,N$3:N$29,""))</f>
        <v>12.2</v>
      </c>
      <c r="O36">
        <f t="array" ref="O36">MEDIAN(IF($C$3:$C$29=$C36,O$3:O$29,""))</f>
        <v>13</v>
      </c>
      <c r="P36">
        <f t="array" ref="P36">MEDIAN(IF($C$3:$C$29=$C36,P$3:P$29,""))</f>
        <v>12.3</v>
      </c>
      <c r="Q36">
        <f t="array" ref="Q36">MEDIAN(IF($C$3:$C$29=$C36,Q$3:Q$29,""))</f>
        <v>12</v>
      </c>
      <c r="R36">
        <f t="array" ref="R36">MEDIAN(IF($C$3:$C$29=$C36,R$3:R$29,""))</f>
        <v>13.9</v>
      </c>
      <c r="S36">
        <f t="array" ref="S36">MEDIAN(IF($C$3:$C$29=$C36,S$3:S$29,""))</f>
        <v>14.2</v>
      </c>
      <c r="T36">
        <f t="array" ref="T36">MEDIAN(IF($C$3:$C$29=$C36,T$3:T$29,""))</f>
        <v>12.9</v>
      </c>
      <c r="U36">
        <f t="array" ref="U36">MEDIAN(IF($C$3:$C$29=$C36,U$3:U$29,""))</f>
        <v>13.5</v>
      </c>
      <c r="V36">
        <f t="array" ref="V36">MEDIAN(IF($C$3:$C$29=$C36,V$3:V$29,""))</f>
        <v>12.9</v>
      </c>
      <c r="W36">
        <f t="array" ref="W36">MEDIAN(IF($C$3:$C$29=$C36,W$3:W$29,""))</f>
        <v>14.2</v>
      </c>
      <c r="X36">
        <f t="array" ref="X36">MEDIAN(IF($C$3:$C$29=$C36,X$3:X$29,""))</f>
        <v>16.7</v>
      </c>
      <c r="Y36">
        <f t="array" ref="Y36">MEDIAN(IF($C$3:$C$29=$C36,Y$3:Y$29,""))</f>
        <v>17.100000000000001</v>
      </c>
      <c r="Z36">
        <f t="array" ref="Z36">MEDIAN(IF($C$3:$C$29=$C36,Z$3:Z$29,""))</f>
        <v>19.600000000000001</v>
      </c>
      <c r="AA36">
        <f t="array" ref="AA36">MEDIAN(IF($C$3:$C$29=$C36,AA$3:AA$29,""))</f>
        <v>22.2</v>
      </c>
    </row>
    <row r="37" spans="3:27" x14ac:dyDescent="0.25">
      <c r="C37">
        <v>7</v>
      </c>
      <c r="D37">
        <f t="array" ref="D37">MEDIAN(IF($C$3:$C$29=$C37,D$3:D$29,""))</f>
        <v>24.55</v>
      </c>
      <c r="E37">
        <f t="array" ref="E37">MEDIAN(IF($C$3:$C$29=$C37,E$3:E$29,""))</f>
        <v>0</v>
      </c>
      <c r="F37">
        <f t="array" ref="F37">MEDIAN(IF($C$3:$C$29=$C37,F$3:F$29,""))</f>
        <v>0</v>
      </c>
      <c r="G37">
        <v>26</v>
      </c>
      <c r="H37">
        <f t="array" ref="H37">MEDIAN(IF($C$3:$C$29=$C37,H$3:H$29,""))</f>
        <v>23.25</v>
      </c>
      <c r="I37">
        <f t="array" ref="I37">MEDIAN(IF($C$3:$C$29=$C37,I$3:I$29,""))</f>
        <v>20.75</v>
      </c>
      <c r="J37">
        <f t="array" ref="J37">MEDIAN(IF($C$3:$C$29=$C37,J$3:J$29,""))</f>
        <v>13.25</v>
      </c>
      <c r="K37">
        <f t="array" ref="K37">MEDIAN(IF($C$3:$C$29=$C37,K$3:K$29,""))</f>
        <v>10.050000000000001</v>
      </c>
      <c r="L37">
        <f t="array" ref="L37">MEDIAN(IF($C$3:$C$29=$C37,L$3:L$29,""))</f>
        <v>10.199999999999999</v>
      </c>
      <c r="M37">
        <f t="array" ref="M37">MEDIAN(IF($C$3:$C$29=$C37,M$3:M$29,""))</f>
        <v>11.95</v>
      </c>
      <c r="N37">
        <f t="array" ref="N37">MEDIAN(IF($C$3:$C$29=$C37,N$3:N$29,""))</f>
        <v>11.899999999999999</v>
      </c>
      <c r="O37">
        <f t="array" ref="O37">MEDIAN(IF($C$3:$C$29=$C37,O$3:O$29,""))</f>
        <v>12.9</v>
      </c>
      <c r="P37">
        <f t="array" ref="P37">MEDIAN(IF($C$3:$C$29=$C37,P$3:P$29,""))</f>
        <v>11.05</v>
      </c>
      <c r="Q37">
        <f t="array" ref="Q37">MEDIAN(IF($C$3:$C$29=$C37,Q$3:Q$29,""))</f>
        <v>11.4</v>
      </c>
      <c r="R37">
        <f t="array" ref="R37">MEDIAN(IF($C$3:$C$29=$C37,R$3:R$29,""))</f>
        <v>13.65</v>
      </c>
      <c r="S37">
        <f t="array" ref="S37">MEDIAN(IF($C$3:$C$29=$C37,S$3:S$29,""))</f>
        <v>14.3</v>
      </c>
      <c r="T37">
        <f t="array" ref="T37">MEDIAN(IF($C$3:$C$29=$C37,T$3:T$29,""))</f>
        <v>12.85</v>
      </c>
      <c r="U37">
        <f t="array" ref="U37">MEDIAN(IF($C$3:$C$29=$C37,U$3:U$29,""))</f>
        <v>12.15</v>
      </c>
      <c r="V37">
        <f t="array" ref="V37">MEDIAN(IF($C$3:$C$29=$C37,V$3:V$29,""))</f>
        <v>12</v>
      </c>
      <c r="W37">
        <f t="array" ref="W37">MEDIAN(IF($C$3:$C$29=$C37,W$3:W$29,""))</f>
        <v>12.95</v>
      </c>
      <c r="X37">
        <f t="array" ref="X37">MEDIAN(IF($C$3:$C$29=$C37,X$3:X$29,""))</f>
        <v>15.2</v>
      </c>
      <c r="Y37">
        <f t="array" ref="Y37">MEDIAN(IF($C$3:$C$29=$C37,Y$3:Y$29,""))</f>
        <v>15.9</v>
      </c>
      <c r="Z37">
        <f t="array" ref="Z37">MEDIAN(IF($C$3:$C$29=$C37,Z$3:Z$29,""))</f>
        <v>18.399999999999999</v>
      </c>
      <c r="AA37">
        <f t="array" ref="AA37">MEDIAN(IF($C$3:$C$29=$C37,AA$3:AA$29,""))</f>
        <v>21.15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AA37"/>
  <sheetViews>
    <sheetView workbookViewId="0">
      <selection activeCell="G31" sqref="G31:G37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25.8</v>
      </c>
      <c r="H3">
        <v>19.899999999999999</v>
      </c>
      <c r="I3">
        <v>19.100000000000001</v>
      </c>
      <c r="J3">
        <v>17.5</v>
      </c>
      <c r="K3">
        <v>15.2</v>
      </c>
      <c r="L3">
        <v>17.399999999999999</v>
      </c>
      <c r="M3">
        <v>18.3</v>
      </c>
      <c r="N3">
        <v>12.2</v>
      </c>
      <c r="O3">
        <v>17.2</v>
      </c>
      <c r="P3">
        <v>13.7</v>
      </c>
      <c r="Q3">
        <v>11.6</v>
      </c>
      <c r="R3">
        <v>15.6</v>
      </c>
      <c r="S3">
        <v>17.899999999999999</v>
      </c>
      <c r="T3">
        <v>10.3</v>
      </c>
      <c r="U3">
        <v>13</v>
      </c>
      <c r="V3">
        <v>16.3</v>
      </c>
      <c r="W3">
        <v>15.1</v>
      </c>
      <c r="X3">
        <v>21.1</v>
      </c>
      <c r="Y3">
        <v>19.7</v>
      </c>
      <c r="Z3">
        <v>17.600000000000001</v>
      </c>
      <c r="AA3">
        <v>11.5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6.7</v>
      </c>
      <c r="H4">
        <v>21.8</v>
      </c>
      <c r="I4">
        <v>16.899999999999999</v>
      </c>
      <c r="J4">
        <v>18</v>
      </c>
      <c r="K4">
        <v>18.2</v>
      </c>
      <c r="L4">
        <v>16.899999999999999</v>
      </c>
      <c r="M4">
        <v>12.2</v>
      </c>
      <c r="N4">
        <v>11.3</v>
      </c>
      <c r="O4">
        <v>12.6</v>
      </c>
      <c r="P4">
        <v>12</v>
      </c>
      <c r="Q4">
        <v>12.7</v>
      </c>
      <c r="R4">
        <v>22.8</v>
      </c>
      <c r="S4">
        <v>21.1</v>
      </c>
      <c r="T4">
        <v>16.399999999999999</v>
      </c>
      <c r="U4">
        <v>14.1</v>
      </c>
      <c r="V4">
        <v>20</v>
      </c>
      <c r="W4">
        <v>15.9</v>
      </c>
      <c r="X4">
        <v>20.100000000000001</v>
      </c>
      <c r="Y4">
        <v>27.2</v>
      </c>
      <c r="Z4">
        <v>5.6</v>
      </c>
      <c r="AA4">
        <v>25.7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37</v>
      </c>
      <c r="E5">
        <v>33.700000000000003</v>
      </c>
      <c r="H5">
        <v>27.7</v>
      </c>
      <c r="I5">
        <v>20.399999999999999</v>
      </c>
      <c r="J5">
        <v>24.7</v>
      </c>
      <c r="K5">
        <v>15.4</v>
      </c>
      <c r="L5">
        <v>23.8</v>
      </c>
      <c r="M5">
        <v>12.5</v>
      </c>
      <c r="N5">
        <v>22.3</v>
      </c>
      <c r="O5">
        <v>19.5</v>
      </c>
      <c r="P5">
        <v>14.3</v>
      </c>
      <c r="Q5">
        <v>15.3</v>
      </c>
      <c r="R5">
        <v>24.7</v>
      </c>
      <c r="S5">
        <v>23.8</v>
      </c>
      <c r="T5">
        <v>18</v>
      </c>
      <c r="U5">
        <v>15.7</v>
      </c>
      <c r="V5">
        <v>18.7</v>
      </c>
      <c r="W5">
        <v>19.8</v>
      </c>
      <c r="X5">
        <v>20.6</v>
      </c>
      <c r="Y5">
        <v>20.9</v>
      </c>
      <c r="Z5">
        <v>23.1</v>
      </c>
      <c r="AA5">
        <v>30.2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23.6</v>
      </c>
      <c r="H6">
        <v>18.7</v>
      </c>
      <c r="I6">
        <v>17.5</v>
      </c>
      <c r="J6">
        <v>12.8</v>
      </c>
      <c r="K6">
        <v>13.6</v>
      </c>
      <c r="L6">
        <v>14.6</v>
      </c>
      <c r="M6">
        <v>16.8</v>
      </c>
      <c r="N6">
        <v>14.5</v>
      </c>
      <c r="O6">
        <v>16.2</v>
      </c>
      <c r="P6">
        <v>13</v>
      </c>
      <c r="Q6">
        <v>5.3</v>
      </c>
      <c r="R6">
        <v>19.8</v>
      </c>
      <c r="S6">
        <v>13.3</v>
      </c>
      <c r="T6">
        <v>18.5</v>
      </c>
      <c r="U6">
        <v>11.9</v>
      </c>
      <c r="V6">
        <v>11.5</v>
      </c>
      <c r="W6">
        <v>26.6</v>
      </c>
      <c r="X6">
        <v>14.5</v>
      </c>
      <c r="Y6">
        <v>16.3</v>
      </c>
      <c r="Z6">
        <v>15.5</v>
      </c>
      <c r="AA6">
        <v>26.4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20.6</v>
      </c>
      <c r="H7">
        <v>22.1</v>
      </c>
      <c r="I7">
        <v>21</v>
      </c>
      <c r="J7">
        <v>13.3</v>
      </c>
      <c r="K7">
        <v>14.1</v>
      </c>
      <c r="L7">
        <v>21.3</v>
      </c>
      <c r="M7">
        <v>15</v>
      </c>
      <c r="N7">
        <v>14.5</v>
      </c>
      <c r="O7">
        <v>8.8000000000000007</v>
      </c>
      <c r="P7">
        <v>12.6</v>
      </c>
      <c r="Q7">
        <v>13.4</v>
      </c>
      <c r="R7">
        <v>8</v>
      </c>
      <c r="S7">
        <v>9</v>
      </c>
      <c r="T7">
        <v>15.2</v>
      </c>
      <c r="U7">
        <v>11.7</v>
      </c>
      <c r="V7">
        <v>13.2</v>
      </c>
      <c r="W7">
        <v>17.100000000000001</v>
      </c>
      <c r="X7">
        <v>17.7</v>
      </c>
      <c r="Y7">
        <v>26</v>
      </c>
      <c r="Z7">
        <v>13</v>
      </c>
      <c r="AA7">
        <v>29.7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30.6</v>
      </c>
      <c r="H8">
        <v>19.600000000000001</v>
      </c>
      <c r="I8">
        <v>19.899999999999999</v>
      </c>
      <c r="J8">
        <v>14.5</v>
      </c>
      <c r="K8">
        <v>14.3</v>
      </c>
      <c r="L8">
        <v>19.7</v>
      </c>
      <c r="M8">
        <v>17</v>
      </c>
      <c r="N8">
        <v>19.399999999999999</v>
      </c>
      <c r="O8">
        <v>12.8</v>
      </c>
      <c r="P8">
        <v>11</v>
      </c>
      <c r="Q8">
        <v>21.3</v>
      </c>
      <c r="R8">
        <v>15.5</v>
      </c>
      <c r="S8">
        <v>12.9</v>
      </c>
      <c r="T8">
        <v>17.899999999999999</v>
      </c>
      <c r="U8">
        <v>17.3</v>
      </c>
      <c r="V8">
        <v>9.6999999999999993</v>
      </c>
      <c r="W8">
        <v>18.8</v>
      </c>
      <c r="X8">
        <v>11</v>
      </c>
      <c r="Y8">
        <v>19.899999999999999</v>
      </c>
      <c r="Z8">
        <v>20.5</v>
      </c>
      <c r="AA8">
        <v>35.9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24.9</v>
      </c>
      <c r="H9">
        <v>20.2</v>
      </c>
      <c r="I9">
        <v>21.4</v>
      </c>
      <c r="J9">
        <v>16.399999999999999</v>
      </c>
      <c r="K9">
        <v>14</v>
      </c>
      <c r="L9">
        <v>15.4</v>
      </c>
      <c r="M9">
        <v>15.5</v>
      </c>
      <c r="N9">
        <v>13.4</v>
      </c>
      <c r="O9">
        <v>19.5</v>
      </c>
      <c r="P9">
        <v>11.2</v>
      </c>
      <c r="Q9">
        <v>17</v>
      </c>
      <c r="R9">
        <v>15.2</v>
      </c>
      <c r="S9">
        <v>16.899999999999999</v>
      </c>
      <c r="T9">
        <v>16.100000000000001</v>
      </c>
      <c r="U9">
        <v>19.600000000000001</v>
      </c>
      <c r="V9">
        <v>16.399999999999999</v>
      </c>
      <c r="W9">
        <v>13</v>
      </c>
      <c r="X9">
        <v>34</v>
      </c>
      <c r="Y9">
        <v>12</v>
      </c>
      <c r="Z9">
        <v>23.4</v>
      </c>
      <c r="AA9">
        <v>23.5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26.4</v>
      </c>
      <c r="H10">
        <v>16.3</v>
      </c>
      <c r="I10">
        <v>21.2</v>
      </c>
      <c r="J10">
        <v>9.8000000000000007</v>
      </c>
      <c r="K10">
        <v>16.8</v>
      </c>
      <c r="L10">
        <v>15.2</v>
      </c>
      <c r="M10">
        <v>12.4</v>
      </c>
      <c r="N10">
        <v>16.600000000000001</v>
      </c>
      <c r="O10">
        <v>16.600000000000001</v>
      </c>
      <c r="P10">
        <v>10.4</v>
      </c>
      <c r="Q10">
        <v>14.5</v>
      </c>
      <c r="R10">
        <v>15</v>
      </c>
      <c r="S10">
        <v>22.9</v>
      </c>
      <c r="T10">
        <v>11.9</v>
      </c>
      <c r="U10">
        <v>16.100000000000001</v>
      </c>
      <c r="V10">
        <v>18</v>
      </c>
      <c r="W10">
        <v>18.100000000000001</v>
      </c>
      <c r="X10">
        <v>18.399999999999999</v>
      </c>
      <c r="Y10">
        <v>7.6</v>
      </c>
      <c r="Z10">
        <v>19.2</v>
      </c>
      <c r="AA10">
        <v>29.2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21</v>
      </c>
      <c r="H11">
        <v>22.8</v>
      </c>
      <c r="I11">
        <v>23.1</v>
      </c>
      <c r="J11">
        <v>17.3</v>
      </c>
      <c r="K11">
        <v>21.4</v>
      </c>
      <c r="L11">
        <v>21.8</v>
      </c>
      <c r="M11">
        <v>17.100000000000001</v>
      </c>
      <c r="N11">
        <v>13.6</v>
      </c>
      <c r="O11">
        <v>14.8</v>
      </c>
      <c r="P11">
        <v>9.6999999999999993</v>
      </c>
      <c r="Q11">
        <v>11.9</v>
      </c>
      <c r="R11">
        <v>14.5</v>
      </c>
      <c r="S11">
        <v>12.3</v>
      </c>
      <c r="T11">
        <v>10.4</v>
      </c>
      <c r="U11">
        <v>11.7</v>
      </c>
      <c r="V11">
        <v>7.2</v>
      </c>
      <c r="W11">
        <v>18.100000000000001</v>
      </c>
      <c r="X11">
        <v>19.100000000000001</v>
      </c>
      <c r="Y11">
        <v>13.9</v>
      </c>
      <c r="Z11">
        <v>15.3</v>
      </c>
      <c r="AA11">
        <v>31.9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25.8</v>
      </c>
      <c r="E12">
        <v>40.700000000000003</v>
      </c>
      <c r="H12">
        <v>25.8</v>
      </c>
      <c r="I12">
        <v>18.600000000000001</v>
      </c>
      <c r="J12">
        <v>18.899999999999999</v>
      </c>
      <c r="K12">
        <v>13.8</v>
      </c>
      <c r="L12">
        <v>19.399999999999999</v>
      </c>
      <c r="M12">
        <v>16.8</v>
      </c>
      <c r="N12">
        <v>9.5</v>
      </c>
      <c r="O12">
        <v>17.7</v>
      </c>
      <c r="P12">
        <v>12.8</v>
      </c>
      <c r="Q12">
        <v>21.5</v>
      </c>
      <c r="R12">
        <v>18.600000000000001</v>
      </c>
      <c r="S12">
        <v>13.9</v>
      </c>
      <c r="T12">
        <v>19.8</v>
      </c>
      <c r="U12">
        <v>20.9</v>
      </c>
      <c r="V12">
        <v>16</v>
      </c>
      <c r="W12">
        <v>19.899999999999999</v>
      </c>
      <c r="X12">
        <v>21</v>
      </c>
      <c r="Y12">
        <v>20.100000000000001</v>
      </c>
      <c r="Z12">
        <v>24.1</v>
      </c>
      <c r="AA12">
        <v>27.6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23.1</v>
      </c>
      <c r="H13">
        <v>19.7</v>
      </c>
      <c r="I13">
        <v>18.899999999999999</v>
      </c>
      <c r="J13">
        <v>8.1999999999999993</v>
      </c>
      <c r="K13">
        <v>18.600000000000001</v>
      </c>
      <c r="L13">
        <v>15.6</v>
      </c>
      <c r="M13">
        <v>16.100000000000001</v>
      </c>
      <c r="N13">
        <v>17.2</v>
      </c>
      <c r="O13">
        <v>15.5</v>
      </c>
      <c r="P13">
        <v>15.6</v>
      </c>
      <c r="Q13">
        <v>14.3</v>
      </c>
      <c r="R13">
        <v>18.100000000000001</v>
      </c>
      <c r="S13">
        <v>17.8</v>
      </c>
      <c r="T13">
        <v>17.3</v>
      </c>
      <c r="U13">
        <v>16.899999999999999</v>
      </c>
      <c r="V13">
        <v>16.600000000000001</v>
      </c>
      <c r="W13">
        <v>19.399999999999999</v>
      </c>
      <c r="X13">
        <v>21.6</v>
      </c>
      <c r="Y13">
        <v>12</v>
      </c>
      <c r="Z13">
        <v>12.4</v>
      </c>
      <c r="AA13">
        <v>37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28</v>
      </c>
      <c r="H14">
        <v>18.2</v>
      </c>
      <c r="I14">
        <v>18.899999999999999</v>
      </c>
      <c r="J14">
        <v>13.1</v>
      </c>
      <c r="K14">
        <v>18</v>
      </c>
      <c r="L14">
        <v>17.2</v>
      </c>
      <c r="M14">
        <v>15.6</v>
      </c>
      <c r="N14">
        <v>9.1</v>
      </c>
      <c r="O14">
        <v>17.2</v>
      </c>
      <c r="P14">
        <v>5</v>
      </c>
      <c r="Q14">
        <v>7.5</v>
      </c>
      <c r="R14">
        <v>11.8</v>
      </c>
      <c r="S14">
        <v>15.3</v>
      </c>
      <c r="T14">
        <v>18</v>
      </c>
      <c r="U14">
        <v>17.7</v>
      </c>
      <c r="V14">
        <v>16.7</v>
      </c>
      <c r="W14">
        <v>12.8</v>
      </c>
      <c r="X14">
        <v>13.2</v>
      </c>
      <c r="Y14">
        <v>24.3</v>
      </c>
      <c r="Z14">
        <v>18.3</v>
      </c>
      <c r="AA14">
        <v>14.7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22.9</v>
      </c>
      <c r="H15">
        <v>19.899999999999999</v>
      </c>
      <c r="I15">
        <v>19.600000000000001</v>
      </c>
      <c r="J15">
        <v>14.7</v>
      </c>
      <c r="K15">
        <v>8.3000000000000007</v>
      </c>
      <c r="L15">
        <v>21.6</v>
      </c>
      <c r="M15">
        <v>16.8</v>
      </c>
      <c r="N15">
        <v>18.7</v>
      </c>
      <c r="O15">
        <v>13.9</v>
      </c>
      <c r="P15">
        <v>17</v>
      </c>
      <c r="Q15">
        <v>13</v>
      </c>
      <c r="R15">
        <v>19.3</v>
      </c>
      <c r="S15">
        <v>15.2</v>
      </c>
      <c r="T15">
        <v>16.7</v>
      </c>
      <c r="U15">
        <v>18.399999999999999</v>
      </c>
      <c r="V15">
        <v>13.1</v>
      </c>
      <c r="W15">
        <v>15.1</v>
      </c>
      <c r="X15">
        <v>15.6</v>
      </c>
      <c r="Y15">
        <v>26.9</v>
      </c>
      <c r="Z15">
        <v>20</v>
      </c>
      <c r="AA15">
        <v>14.4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20.9</v>
      </c>
      <c r="H16">
        <v>17.600000000000001</v>
      </c>
      <c r="I16">
        <v>19.899999999999999</v>
      </c>
      <c r="J16">
        <v>10</v>
      </c>
      <c r="K16">
        <v>17.5</v>
      </c>
      <c r="L16">
        <v>13.3</v>
      </c>
      <c r="M16">
        <v>19.5</v>
      </c>
      <c r="N16">
        <v>17.7</v>
      </c>
      <c r="O16">
        <v>15.8</v>
      </c>
      <c r="P16">
        <v>14.5</v>
      </c>
      <c r="Q16">
        <v>16.600000000000001</v>
      </c>
      <c r="R16">
        <v>22.5</v>
      </c>
      <c r="S16">
        <v>16.600000000000001</v>
      </c>
      <c r="T16">
        <v>18.399999999999999</v>
      </c>
      <c r="U16">
        <v>17.5</v>
      </c>
      <c r="V16">
        <v>13.6</v>
      </c>
      <c r="W16">
        <v>8.5</v>
      </c>
      <c r="X16">
        <v>13.7</v>
      </c>
      <c r="Y16">
        <v>21.4</v>
      </c>
      <c r="Z16">
        <v>26.9</v>
      </c>
      <c r="AA16">
        <v>25.8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23.6</v>
      </c>
      <c r="H17">
        <v>21</v>
      </c>
      <c r="I17">
        <v>19</v>
      </c>
      <c r="J17">
        <v>15.3</v>
      </c>
      <c r="K17">
        <v>13.1</v>
      </c>
      <c r="L17">
        <v>18.2</v>
      </c>
      <c r="M17">
        <v>8.3000000000000007</v>
      </c>
      <c r="N17">
        <v>13.2</v>
      </c>
      <c r="O17">
        <v>16.899999999999999</v>
      </c>
      <c r="P17">
        <v>18</v>
      </c>
      <c r="Q17">
        <v>15.8</v>
      </c>
      <c r="R17">
        <v>12.3</v>
      </c>
      <c r="S17">
        <v>17.5</v>
      </c>
      <c r="T17">
        <v>13.8</v>
      </c>
      <c r="U17">
        <v>15.9</v>
      </c>
      <c r="V17">
        <v>17.7</v>
      </c>
      <c r="W17">
        <v>14.7</v>
      </c>
      <c r="X17">
        <v>19.399999999999999</v>
      </c>
      <c r="Y17">
        <v>18.2</v>
      </c>
      <c r="Z17">
        <v>10.6</v>
      </c>
      <c r="AA17">
        <v>20.9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23.5</v>
      </c>
      <c r="H18">
        <v>19.8</v>
      </c>
      <c r="I18">
        <v>26.9</v>
      </c>
      <c r="J18">
        <v>24.2</v>
      </c>
      <c r="K18">
        <v>19.5</v>
      </c>
      <c r="L18">
        <v>20.5</v>
      </c>
      <c r="M18">
        <v>16.600000000000001</v>
      </c>
      <c r="N18">
        <v>16.8</v>
      </c>
      <c r="O18">
        <v>15.5</v>
      </c>
      <c r="P18">
        <v>11.3</v>
      </c>
      <c r="Q18">
        <v>11.4</v>
      </c>
      <c r="R18">
        <v>11.9</v>
      </c>
      <c r="S18">
        <v>17</v>
      </c>
      <c r="T18">
        <v>14.1</v>
      </c>
      <c r="U18">
        <v>6.4</v>
      </c>
      <c r="V18">
        <v>20.7</v>
      </c>
      <c r="W18">
        <v>16.8</v>
      </c>
      <c r="X18">
        <v>16.3</v>
      </c>
      <c r="Y18">
        <v>29.4</v>
      </c>
      <c r="Z18">
        <v>26.1</v>
      </c>
      <c r="AA18">
        <v>20.100000000000001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H19">
        <v>27.9</v>
      </c>
      <c r="I19">
        <v>22.1</v>
      </c>
      <c r="J19">
        <v>24</v>
      </c>
      <c r="K19">
        <v>25.6</v>
      </c>
      <c r="L19">
        <v>17.600000000000001</v>
      </c>
      <c r="M19">
        <v>24.7</v>
      </c>
      <c r="N19">
        <v>33.9</v>
      </c>
      <c r="O19">
        <v>12.2</v>
      </c>
      <c r="P19">
        <v>12.9</v>
      </c>
      <c r="Q19">
        <v>18.899999999999999</v>
      </c>
      <c r="R19">
        <v>16.899999999999999</v>
      </c>
      <c r="S19">
        <v>16.5</v>
      </c>
      <c r="T19">
        <v>19.5</v>
      </c>
      <c r="U19">
        <v>17.3</v>
      </c>
      <c r="V19">
        <v>23.6</v>
      </c>
      <c r="W19">
        <v>19.399999999999999</v>
      </c>
      <c r="X19">
        <v>19.2</v>
      </c>
      <c r="Y19">
        <v>20.399999999999999</v>
      </c>
      <c r="Z19">
        <v>27.8</v>
      </c>
      <c r="AA19">
        <v>28.8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17.7</v>
      </c>
      <c r="H20">
        <v>21</v>
      </c>
      <c r="I20">
        <v>19.899999999999999</v>
      </c>
      <c r="J20">
        <v>11.6</v>
      </c>
      <c r="K20">
        <v>14.1</v>
      </c>
      <c r="L20">
        <v>21</v>
      </c>
      <c r="M20">
        <v>13.9</v>
      </c>
      <c r="N20">
        <v>12.4</v>
      </c>
      <c r="O20">
        <v>20.399999999999999</v>
      </c>
      <c r="P20">
        <v>15.8</v>
      </c>
      <c r="Q20">
        <v>15.1</v>
      </c>
      <c r="R20">
        <v>13.3</v>
      </c>
      <c r="S20">
        <v>11</v>
      </c>
      <c r="T20">
        <v>16.3</v>
      </c>
      <c r="U20">
        <v>15.1</v>
      </c>
      <c r="V20">
        <v>14.5</v>
      </c>
      <c r="W20">
        <v>28.5</v>
      </c>
      <c r="X20">
        <v>8.3000000000000007</v>
      </c>
      <c r="Y20">
        <v>22.5</v>
      </c>
      <c r="Z20">
        <v>29.6</v>
      </c>
      <c r="AA20">
        <v>25.4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27.4</v>
      </c>
      <c r="H21">
        <v>22.1</v>
      </c>
      <c r="I21">
        <v>17.600000000000001</v>
      </c>
      <c r="J21">
        <v>11.6</v>
      </c>
      <c r="K21">
        <v>13.5</v>
      </c>
      <c r="L21">
        <v>17.2</v>
      </c>
      <c r="M21">
        <v>16.100000000000001</v>
      </c>
      <c r="N21">
        <v>19.100000000000001</v>
      </c>
      <c r="O21">
        <v>13</v>
      </c>
      <c r="P21">
        <v>16.3</v>
      </c>
      <c r="Q21">
        <v>14.4</v>
      </c>
      <c r="R21">
        <v>15.6</v>
      </c>
      <c r="S21">
        <v>16</v>
      </c>
      <c r="T21">
        <v>19.7</v>
      </c>
      <c r="U21">
        <v>17.7</v>
      </c>
      <c r="V21">
        <v>14.3</v>
      </c>
      <c r="W21">
        <v>16.2</v>
      </c>
      <c r="X21">
        <v>17.600000000000001</v>
      </c>
      <c r="Y21">
        <v>25</v>
      </c>
      <c r="Z21">
        <v>27.6</v>
      </c>
      <c r="AA21">
        <v>25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26.2</v>
      </c>
      <c r="H22">
        <v>17.100000000000001</v>
      </c>
      <c r="I22">
        <v>22.6</v>
      </c>
      <c r="J22">
        <v>9</v>
      </c>
      <c r="K22">
        <v>15.9</v>
      </c>
      <c r="L22">
        <v>15.5</v>
      </c>
      <c r="M22">
        <v>16.100000000000001</v>
      </c>
      <c r="N22">
        <v>19.600000000000001</v>
      </c>
      <c r="O22">
        <v>20.9</v>
      </c>
      <c r="P22">
        <v>12.3</v>
      </c>
      <c r="Q22">
        <v>13</v>
      </c>
      <c r="R22">
        <v>13.7</v>
      </c>
      <c r="S22">
        <v>15.6</v>
      </c>
      <c r="T22">
        <v>13.9</v>
      </c>
      <c r="U22">
        <v>18.600000000000001</v>
      </c>
      <c r="V22">
        <v>16.3</v>
      </c>
      <c r="W22">
        <v>18.2</v>
      </c>
      <c r="X22">
        <v>16.3</v>
      </c>
      <c r="Y22">
        <v>21.9</v>
      </c>
      <c r="Z22">
        <v>26</v>
      </c>
      <c r="AA22">
        <v>16.7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5.6</v>
      </c>
      <c r="H23">
        <v>18.5</v>
      </c>
      <c r="I23">
        <v>23</v>
      </c>
      <c r="J23">
        <v>15</v>
      </c>
      <c r="K23">
        <v>15.7</v>
      </c>
      <c r="L23">
        <v>13.5</v>
      </c>
      <c r="M23">
        <v>13.8</v>
      </c>
      <c r="N23">
        <v>10.199999999999999</v>
      </c>
      <c r="O23">
        <v>19.2</v>
      </c>
      <c r="P23">
        <v>15.1</v>
      </c>
      <c r="Q23">
        <v>13.1</v>
      </c>
      <c r="R23">
        <v>19.899999999999999</v>
      </c>
      <c r="S23">
        <v>18.100000000000001</v>
      </c>
      <c r="T23">
        <v>13.6</v>
      </c>
      <c r="U23">
        <v>14.8</v>
      </c>
      <c r="V23">
        <v>14.8</v>
      </c>
      <c r="W23">
        <v>16.3</v>
      </c>
      <c r="X23">
        <v>21.5</v>
      </c>
      <c r="Y23">
        <v>9.4</v>
      </c>
      <c r="Z23">
        <v>22.7</v>
      </c>
      <c r="AA23">
        <v>26.6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25.9</v>
      </c>
      <c r="H24">
        <v>17.3</v>
      </c>
      <c r="I24">
        <v>23.4</v>
      </c>
      <c r="J24">
        <v>16.100000000000001</v>
      </c>
      <c r="K24">
        <v>13.8</v>
      </c>
      <c r="L24">
        <v>17.2</v>
      </c>
      <c r="M24">
        <v>14.2</v>
      </c>
      <c r="N24">
        <v>12.5</v>
      </c>
      <c r="O24">
        <v>15.3</v>
      </c>
      <c r="P24">
        <v>11.3</v>
      </c>
      <c r="Q24">
        <v>17.600000000000001</v>
      </c>
      <c r="R24">
        <v>18.399999999999999</v>
      </c>
      <c r="S24">
        <v>17.399999999999999</v>
      </c>
      <c r="T24">
        <v>12.4</v>
      </c>
      <c r="U24">
        <v>15.6</v>
      </c>
      <c r="V24">
        <v>14.8</v>
      </c>
      <c r="W24">
        <v>19.7</v>
      </c>
      <c r="X24">
        <v>17.899999999999999</v>
      </c>
      <c r="Y24">
        <v>28.4</v>
      </c>
      <c r="Z24">
        <v>28.6</v>
      </c>
      <c r="AA24">
        <v>27.1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27.6</v>
      </c>
      <c r="H25">
        <v>24.6</v>
      </c>
      <c r="I25">
        <v>25.4</v>
      </c>
      <c r="J25">
        <v>21.4</v>
      </c>
      <c r="K25">
        <v>20.6</v>
      </c>
      <c r="L25">
        <v>17.8</v>
      </c>
      <c r="M25">
        <v>17.5</v>
      </c>
      <c r="N25">
        <v>10.1</v>
      </c>
      <c r="O25">
        <v>9.8000000000000007</v>
      </c>
      <c r="P25">
        <v>12.7</v>
      </c>
      <c r="Q25">
        <v>16.5</v>
      </c>
      <c r="R25">
        <v>19.899999999999999</v>
      </c>
      <c r="T25">
        <v>12.5</v>
      </c>
      <c r="U25">
        <v>4.5</v>
      </c>
      <c r="X25">
        <v>20</v>
      </c>
      <c r="Z25">
        <v>22.4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19.899999999999999</v>
      </c>
      <c r="H26">
        <v>21.8</v>
      </c>
      <c r="I26">
        <v>25.1</v>
      </c>
      <c r="J26">
        <v>21</v>
      </c>
      <c r="K26">
        <v>17.5</v>
      </c>
      <c r="L26">
        <v>19.399999999999999</v>
      </c>
      <c r="M26">
        <v>17.100000000000001</v>
      </c>
      <c r="N26">
        <v>19.5</v>
      </c>
      <c r="O26">
        <v>13.5</v>
      </c>
      <c r="P26">
        <v>14.8</v>
      </c>
      <c r="Q26">
        <v>5.9</v>
      </c>
      <c r="R26">
        <v>18.2</v>
      </c>
      <c r="S26">
        <v>19.600000000000001</v>
      </c>
      <c r="T26">
        <v>19.600000000000001</v>
      </c>
      <c r="U26">
        <v>19.100000000000001</v>
      </c>
      <c r="V26">
        <v>18.399999999999999</v>
      </c>
      <c r="W26">
        <v>21.3</v>
      </c>
      <c r="X26">
        <v>15.5</v>
      </c>
      <c r="Y26">
        <v>17.3</v>
      </c>
      <c r="Z26">
        <v>21.7</v>
      </c>
      <c r="AA26">
        <v>28.7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34.200000000000003</v>
      </c>
      <c r="H27">
        <v>17.5</v>
      </c>
      <c r="I27">
        <v>8.6</v>
      </c>
      <c r="J27">
        <v>15.7</v>
      </c>
      <c r="K27">
        <v>17.2</v>
      </c>
      <c r="L27">
        <v>17.7</v>
      </c>
      <c r="M27">
        <v>11.3</v>
      </c>
      <c r="N27">
        <v>19.399999999999999</v>
      </c>
      <c r="O27">
        <v>18.8</v>
      </c>
      <c r="P27">
        <v>13.9</v>
      </c>
      <c r="Q27">
        <v>17.399999999999999</v>
      </c>
      <c r="R27">
        <v>15.4</v>
      </c>
      <c r="S27">
        <v>21.7</v>
      </c>
      <c r="T27">
        <v>15.6</v>
      </c>
      <c r="U27">
        <v>15.6</v>
      </c>
      <c r="V27">
        <v>13.9</v>
      </c>
      <c r="W27">
        <v>21.2</v>
      </c>
      <c r="X27">
        <v>18</v>
      </c>
      <c r="Y27">
        <v>21.9</v>
      </c>
      <c r="Z27">
        <v>16.899999999999999</v>
      </c>
      <c r="AA27">
        <v>30.4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22.3</v>
      </c>
      <c r="H28">
        <v>18</v>
      </c>
      <c r="I28">
        <v>18.899999999999999</v>
      </c>
      <c r="J28">
        <v>6.2</v>
      </c>
      <c r="K28">
        <v>9.4</v>
      </c>
      <c r="L28">
        <v>17.899999999999999</v>
      </c>
      <c r="M28">
        <v>15.2</v>
      </c>
      <c r="N28">
        <v>17.7</v>
      </c>
      <c r="O28">
        <v>12.3</v>
      </c>
      <c r="P28">
        <v>7.6</v>
      </c>
      <c r="Q28">
        <v>11.3</v>
      </c>
      <c r="R28">
        <v>15.5</v>
      </c>
      <c r="S28">
        <v>21.2</v>
      </c>
      <c r="T28">
        <v>12.2</v>
      </c>
      <c r="U28">
        <v>17.7</v>
      </c>
      <c r="V28">
        <v>16.3</v>
      </c>
      <c r="W28">
        <v>20.399999999999999</v>
      </c>
      <c r="X28">
        <v>14.2</v>
      </c>
      <c r="Y28">
        <v>20.3</v>
      </c>
      <c r="AA28">
        <v>13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28.7</v>
      </c>
      <c r="H29">
        <v>17.7</v>
      </c>
      <c r="I29">
        <v>20.6</v>
      </c>
      <c r="J29">
        <v>17</v>
      </c>
      <c r="K29">
        <v>14.5</v>
      </c>
      <c r="L29">
        <v>18.600000000000001</v>
      </c>
      <c r="M29">
        <v>17.100000000000001</v>
      </c>
      <c r="N29">
        <v>17</v>
      </c>
      <c r="O29">
        <v>17.399999999999999</v>
      </c>
      <c r="P29">
        <v>16.7</v>
      </c>
      <c r="Q29">
        <v>16.600000000000001</v>
      </c>
      <c r="R29">
        <v>19</v>
      </c>
      <c r="S29">
        <v>10.9</v>
      </c>
      <c r="T29">
        <v>13.9</v>
      </c>
      <c r="U29">
        <v>16.5</v>
      </c>
      <c r="V29">
        <v>16</v>
      </c>
      <c r="W29">
        <v>5.4</v>
      </c>
      <c r="X29">
        <v>19.8</v>
      </c>
      <c r="Y29">
        <v>22.8</v>
      </c>
      <c r="Z29">
        <v>23.6</v>
      </c>
      <c r="AA29">
        <v>31.1</v>
      </c>
    </row>
    <row r="31" spans="1:27" x14ac:dyDescent="0.25">
      <c r="C31">
        <v>1</v>
      </c>
      <c r="D31">
        <f t="array" ref="D31">MEDIAN(IF($C$3:$C$29=$C31,D$3:D$29,""))</f>
        <v>22.85</v>
      </c>
      <c r="E31">
        <f t="array" ref="E31">MEDIAN(IF($C$3:$C$29=$C31,E$3:E$29,""))</f>
        <v>16.850000000000001</v>
      </c>
      <c r="F31">
        <f t="array" ref="F31">MEDIAN(IF($C$3:$C$29=$C31,F$3:F$29,""))</f>
        <v>0</v>
      </c>
      <c r="G31">
        <v>26</v>
      </c>
      <c r="H31">
        <f t="array" ref="H31">MEDIAN(IF($C$3:$C$29=$C31,H$3:H$29,""))</f>
        <v>26.75</v>
      </c>
      <c r="I31">
        <f t="array" ref="I31">MEDIAN(IF($C$3:$C$29=$C31,I$3:I$29,""))</f>
        <v>21.25</v>
      </c>
      <c r="J31">
        <f t="array" ref="J31">MEDIAN(IF($C$3:$C$29=$C31,J$3:J$29,""))</f>
        <v>22.5</v>
      </c>
      <c r="K31">
        <f t="array" ref="K31">MEDIAN(IF($C$3:$C$29=$C31,K$3:K$29,""))</f>
        <v>16.45</v>
      </c>
      <c r="L31">
        <f t="array" ref="L31">MEDIAN(IF($C$3:$C$29=$C31,L$3:L$29,""))</f>
        <v>19.399999999999999</v>
      </c>
      <c r="M31">
        <f t="array" ref="M31">MEDIAN(IF($C$3:$C$29=$C31,M$3:M$29,""))</f>
        <v>16.950000000000003</v>
      </c>
      <c r="N31">
        <f t="array" ref="N31">MEDIAN(IF($C$3:$C$29=$C31,N$3:N$29,""))</f>
        <v>20.9</v>
      </c>
      <c r="O31">
        <f t="array" ref="O31">MEDIAN(IF($C$3:$C$29=$C31,O$3:O$29,""))</f>
        <v>15.6</v>
      </c>
      <c r="P31">
        <f t="array" ref="P31">MEDIAN(IF($C$3:$C$29=$C31,P$3:P$29,""))</f>
        <v>13.600000000000001</v>
      </c>
      <c r="Q31">
        <f t="array" ref="Q31">MEDIAN(IF($C$3:$C$29=$C31,Q$3:Q$29,""))</f>
        <v>17.100000000000001</v>
      </c>
      <c r="R31">
        <f t="array" ref="R31">MEDIAN(IF($C$3:$C$29=$C31,R$3:R$29,""))</f>
        <v>18.399999999999999</v>
      </c>
      <c r="S31">
        <f t="array" ref="S31">MEDIAN(IF($C$3:$C$29=$C31,S$3:S$29,""))</f>
        <v>18.05</v>
      </c>
      <c r="T31">
        <f t="array" ref="T31">MEDIAN(IF($C$3:$C$29=$C31,T$3:T$29,""))</f>
        <v>19.55</v>
      </c>
      <c r="U31">
        <f t="array" ref="U31">MEDIAN(IF($C$3:$C$29=$C31,U$3:U$29,""))</f>
        <v>18.200000000000003</v>
      </c>
      <c r="V31">
        <f t="array" ref="V31">MEDIAN(IF($C$3:$C$29=$C31,V$3:V$29,""))</f>
        <v>18.549999999999997</v>
      </c>
      <c r="W31">
        <f t="array" ref="W31">MEDIAN(IF($C$3:$C$29=$C31,W$3:W$29,""))</f>
        <v>19.850000000000001</v>
      </c>
      <c r="X31">
        <f t="array" ref="X31">MEDIAN(IF($C$3:$C$29=$C31,X$3:X$29,""))</f>
        <v>19.899999999999999</v>
      </c>
      <c r="Y31">
        <f t="array" ref="Y31">MEDIAN(IF($C$3:$C$29=$C31,Y$3:Y$29,""))</f>
        <v>20.25</v>
      </c>
      <c r="Z31">
        <f t="array" ref="Z31">MEDIAN(IF($C$3:$C$29=$C31,Z$3:Z$29,""))</f>
        <v>23.6</v>
      </c>
      <c r="AA31">
        <f t="array" ref="AA31">MEDIAN(IF($C$3:$C$29=$C31,AA$3:AA$29,""))</f>
        <v>28.75</v>
      </c>
    </row>
    <row r="32" spans="1:27" x14ac:dyDescent="0.25">
      <c r="C32">
        <v>2</v>
      </c>
      <c r="D32">
        <f t="array" ref="D32">MEDIAN(IF($C$3:$C$29=$C32,D$3:D$29,""))</f>
        <v>22.25</v>
      </c>
      <c r="E32">
        <f t="array" ref="E32">MEDIAN(IF($C$3:$C$29=$C32,E$3:E$29,""))</f>
        <v>0</v>
      </c>
      <c r="F32">
        <f t="array" ref="F32">MEDIAN(IF($C$3:$C$29=$C32,F$3:F$29,""))</f>
        <v>0</v>
      </c>
      <c r="G32">
        <v>26</v>
      </c>
      <c r="H32">
        <f t="array" ref="H32">MEDIAN(IF($C$3:$C$29=$C32,H$3:H$29,""))</f>
        <v>22.3</v>
      </c>
      <c r="I32">
        <f t="array" ref="I32">MEDIAN(IF($C$3:$C$29=$C32,I$3:I$29,""))</f>
        <v>24.25</v>
      </c>
      <c r="J32">
        <f t="array" ref="J32">MEDIAN(IF($C$3:$C$29=$C32,J$3:J$29,""))</f>
        <v>19.7</v>
      </c>
      <c r="K32">
        <f t="array" ref="K32">MEDIAN(IF($C$3:$C$29=$C32,K$3:K$29,""))</f>
        <v>20.05</v>
      </c>
      <c r="L32">
        <f t="array" ref="L32">MEDIAN(IF($C$3:$C$29=$C32,L$3:L$29,""))</f>
        <v>19.149999999999999</v>
      </c>
      <c r="M32">
        <f t="array" ref="M32">MEDIAN(IF($C$3:$C$29=$C32,M$3:M$29,""))</f>
        <v>16.850000000000001</v>
      </c>
      <c r="N32">
        <f t="array" ref="N32">MEDIAN(IF($C$3:$C$29=$C32,N$3:N$29,""))</f>
        <v>12.45</v>
      </c>
      <c r="O32">
        <f t="array" ref="O32">MEDIAN(IF($C$3:$C$29=$C32,O$3:O$29,""))</f>
        <v>13.7</v>
      </c>
      <c r="P32">
        <f t="array" ref="P32">MEDIAN(IF($C$3:$C$29=$C32,P$3:P$29,""))</f>
        <v>11.65</v>
      </c>
      <c r="Q32">
        <f t="array" ref="Q32">MEDIAN(IF($C$3:$C$29=$C32,Q$3:Q$29,""))</f>
        <v>12.3</v>
      </c>
      <c r="R32">
        <f t="array" ref="R32">MEDIAN(IF($C$3:$C$29=$C32,R$3:R$29,""))</f>
        <v>17.2</v>
      </c>
      <c r="S32">
        <f t="array" ref="S32">MEDIAN(IF($C$3:$C$29=$C32,S$3:S$29,""))</f>
        <v>14.65</v>
      </c>
      <c r="T32">
        <f t="array" ref="T32">MEDIAN(IF($C$3:$C$29=$C32,T$3:T$29,""))</f>
        <v>13.3</v>
      </c>
      <c r="U32">
        <f t="array" ref="U32">MEDIAN(IF($C$3:$C$29=$C32,U$3:U$29,""))</f>
        <v>9.0500000000000007</v>
      </c>
      <c r="V32">
        <f t="array" ref="V32">MEDIAN(IF($C$3:$C$29=$C32,V$3:V$29,""))</f>
        <v>13.600000000000001</v>
      </c>
      <c r="W32">
        <f t="array" ref="W32">MEDIAN(IF($C$3:$C$29=$C32,W$3:W$29,""))</f>
        <v>16.350000000000001</v>
      </c>
      <c r="X32">
        <f t="array" ref="X32">MEDIAN(IF($C$3:$C$29=$C32,X$3:X$29,""))</f>
        <v>19.55</v>
      </c>
      <c r="Y32">
        <f t="array" ref="Y32">MEDIAN(IF($C$3:$C$29=$C32,Y$3:Y$29,""))</f>
        <v>20.55</v>
      </c>
      <c r="Z32">
        <f t="array" ref="Z32">MEDIAN(IF($C$3:$C$29=$C32,Z$3:Z$29,""))</f>
        <v>18.850000000000001</v>
      </c>
      <c r="AA32">
        <f t="array" ref="AA32">MEDIAN(IF($C$3:$C$29=$C32,AA$3:AA$29,""))</f>
        <v>22.9</v>
      </c>
    </row>
    <row r="33" spans="3:27" x14ac:dyDescent="0.25">
      <c r="C33">
        <v>3</v>
      </c>
      <c r="D33">
        <f t="array" ref="D33">MEDIAN(IF($C$3:$C$29=$C33,D$3:D$29,""))</f>
        <v>23.35</v>
      </c>
      <c r="E33">
        <f t="array" ref="E33">MEDIAN(IF($C$3:$C$29=$C33,E$3:E$29,""))</f>
        <v>0</v>
      </c>
      <c r="F33">
        <f t="array" ref="F33">MEDIAN(IF($C$3:$C$29=$C33,F$3:F$29,""))</f>
        <v>0</v>
      </c>
      <c r="G33">
        <v>26</v>
      </c>
      <c r="H33">
        <f t="array" ref="H33">MEDIAN(IF($C$3:$C$29=$C33,H$3:H$29,""))</f>
        <v>19.2</v>
      </c>
      <c r="I33">
        <f t="array" ref="I33">MEDIAN(IF($C$3:$C$29=$C33,I$3:I$29,""))</f>
        <v>18.2</v>
      </c>
      <c r="J33">
        <f t="array" ref="J33">MEDIAN(IF($C$3:$C$29=$C33,J$3:J$29,""))</f>
        <v>12.2</v>
      </c>
      <c r="K33">
        <f t="array" ref="K33">MEDIAN(IF($C$3:$C$29=$C33,K$3:K$29,""))</f>
        <v>15.649999999999999</v>
      </c>
      <c r="L33">
        <f t="array" ref="L33">MEDIAN(IF($C$3:$C$29=$C33,L$3:L$29,""))</f>
        <v>16.649999999999999</v>
      </c>
      <c r="M33">
        <f t="array" ref="M33">MEDIAN(IF($C$3:$C$29=$C33,M$3:M$29,""))</f>
        <v>15</v>
      </c>
      <c r="N33">
        <f t="array" ref="N33">MEDIAN(IF($C$3:$C$29=$C33,N$3:N$29,""))</f>
        <v>15.85</v>
      </c>
      <c r="O33">
        <f t="array" ref="O33">MEDIAN(IF($C$3:$C$29=$C33,O$3:O$29,""))</f>
        <v>17.5</v>
      </c>
      <c r="P33">
        <f t="array" ref="P33">MEDIAN(IF($C$3:$C$29=$C33,P$3:P$29,""))</f>
        <v>14.75</v>
      </c>
      <c r="Q33">
        <f t="array" ref="Q33">MEDIAN(IF($C$3:$C$29=$C33,Q$3:Q$29,""))</f>
        <v>14.7</v>
      </c>
      <c r="R33">
        <f t="array" ref="R33">MEDIAN(IF($C$3:$C$29=$C33,R$3:R$29,""))</f>
        <v>16.75</v>
      </c>
      <c r="S33">
        <f t="array" ref="S33">MEDIAN(IF($C$3:$C$29=$C33,S$3:S$29,""))</f>
        <v>15.55</v>
      </c>
      <c r="T33">
        <f t="array" ref="T33">MEDIAN(IF($C$3:$C$29=$C33,T$3:T$29,""))</f>
        <v>16.8</v>
      </c>
      <c r="U33">
        <f t="array" ref="U33">MEDIAN(IF($C$3:$C$29=$C33,U$3:U$29,""))</f>
        <v>15.35</v>
      </c>
      <c r="V33">
        <f t="array" ref="V33">MEDIAN(IF($C$3:$C$29=$C33,V$3:V$29,""))</f>
        <v>14.2</v>
      </c>
      <c r="W33">
        <f t="array" ref="W33">MEDIAN(IF($C$3:$C$29=$C33,W$3:W$29,""))</f>
        <v>23.9</v>
      </c>
      <c r="X33">
        <f t="array" ref="X33">MEDIAN(IF($C$3:$C$29=$C33,X$3:X$29,""))</f>
        <v>16.25</v>
      </c>
      <c r="Y33">
        <f t="array" ref="Y33">MEDIAN(IF($C$3:$C$29=$C33,Y$3:Y$29,""))</f>
        <v>19.100000000000001</v>
      </c>
      <c r="Z33">
        <f t="array" ref="Z33">MEDIAN(IF($C$3:$C$29=$C33,Z$3:Z$29,""))</f>
        <v>16.2</v>
      </c>
      <c r="AA33">
        <f t="array" ref="AA33">MEDIAN(IF($C$3:$C$29=$C33,AA$3:AA$29,""))</f>
        <v>28.4</v>
      </c>
    </row>
    <row r="34" spans="3:27" x14ac:dyDescent="0.25">
      <c r="C34">
        <v>4</v>
      </c>
      <c r="D34">
        <f t="array" ref="D34">MEDIAN(IF($C$3:$C$29=$C34,D$3:D$29,""))</f>
        <v>24.85</v>
      </c>
      <c r="E34">
        <f t="array" ref="E34">MEDIAN(IF($C$3:$C$29=$C34,E$3:E$29,""))</f>
        <v>0</v>
      </c>
      <c r="F34">
        <f t="array" ref="F34">MEDIAN(IF($C$3:$C$29=$C34,F$3:F$29,""))</f>
        <v>0</v>
      </c>
      <c r="G34">
        <v>26</v>
      </c>
      <c r="H34">
        <f t="array" ref="H34">MEDIAN(IF($C$3:$C$29=$C34,H$3:H$29,""))</f>
        <v>20.149999999999999</v>
      </c>
      <c r="I34">
        <f t="array" ref="I34">MEDIAN(IF($C$3:$C$29=$C34,I$3:I$29,""))</f>
        <v>18.899999999999999</v>
      </c>
      <c r="J34">
        <f t="array" ref="J34">MEDIAN(IF($C$3:$C$29=$C34,J$3:J$29,""))</f>
        <v>12.35</v>
      </c>
      <c r="K34">
        <f t="array" ref="K34">MEDIAN(IF($C$3:$C$29=$C34,K$3:K$29,""))</f>
        <v>13.8</v>
      </c>
      <c r="L34">
        <f t="array" ref="L34">MEDIAN(IF($C$3:$C$29=$C34,L$3:L$29,""))</f>
        <v>17.549999999999997</v>
      </c>
      <c r="M34">
        <f t="array" ref="M34">MEDIAN(IF($C$3:$C$29=$C34,M$3:M$29,""))</f>
        <v>15.399999999999999</v>
      </c>
      <c r="N34">
        <f t="array" ref="N34">MEDIAN(IF($C$3:$C$29=$C34,N$3:N$29,""))</f>
        <v>16.100000000000001</v>
      </c>
      <c r="O34">
        <f t="array" ref="O34">MEDIAN(IF($C$3:$C$29=$C34,O$3:O$29,""))</f>
        <v>12.65</v>
      </c>
      <c r="P34">
        <f t="array" ref="P34">MEDIAN(IF($C$3:$C$29=$C34,P$3:P$29,""))</f>
        <v>10.1</v>
      </c>
      <c r="Q34">
        <f t="array" ref="Q34">MEDIAN(IF($C$3:$C$29=$C34,Q$3:Q$29,""))</f>
        <v>12.350000000000001</v>
      </c>
      <c r="R34">
        <f t="array" ref="R34">MEDIAN(IF($C$3:$C$29=$C34,R$3:R$29,""))</f>
        <v>13.65</v>
      </c>
      <c r="S34">
        <f t="array" ref="S34">MEDIAN(IF($C$3:$C$29=$C34,S$3:S$29,""))</f>
        <v>15.65</v>
      </c>
      <c r="T34">
        <f t="array" ref="T34">MEDIAN(IF($C$3:$C$29=$C34,T$3:T$29,""))</f>
        <v>16.600000000000001</v>
      </c>
      <c r="U34">
        <f t="array" ref="U34">MEDIAN(IF($C$3:$C$29=$C34,U$3:U$29,""))</f>
        <v>17.7</v>
      </c>
      <c r="V34">
        <f t="array" ref="V34">MEDIAN(IF($C$3:$C$29=$C34,V$3:V$29,""))</f>
        <v>15.3</v>
      </c>
      <c r="W34">
        <f t="array" ref="W34">MEDIAN(IF($C$3:$C$29=$C34,W$3:W$29,""))</f>
        <v>16.649999999999999</v>
      </c>
      <c r="X34">
        <f t="array" ref="X34">MEDIAN(IF($C$3:$C$29=$C34,X$3:X$29,""))</f>
        <v>15.9</v>
      </c>
      <c r="Y34">
        <f t="array" ref="Y34">MEDIAN(IF($C$3:$C$29=$C34,Y$3:Y$29,""))</f>
        <v>24.65</v>
      </c>
      <c r="Z34">
        <f t="array" ref="Z34">MEDIAN(IF($C$3:$C$29=$C34,Z$3:Z$29,""))</f>
        <v>15.65</v>
      </c>
      <c r="AA34">
        <f t="array" ref="AA34">MEDIAN(IF($C$3:$C$29=$C34,AA$3:AA$29,""))</f>
        <v>19.850000000000001</v>
      </c>
    </row>
    <row r="35" spans="3:27" x14ac:dyDescent="0.25">
      <c r="C35">
        <v>5</v>
      </c>
      <c r="D35">
        <f t="array" ref="D35">MEDIAN(IF($C$3:$C$29=$C35,D$3:D$29,""))</f>
        <v>27.45</v>
      </c>
      <c r="E35">
        <f t="array" ref="E35">MEDIAN(IF($C$3:$C$29=$C35,E$3:E$29,""))</f>
        <v>0</v>
      </c>
      <c r="F35">
        <f t="array" ref="F35">MEDIAN(IF($C$3:$C$29=$C35,F$3:F$29,""))</f>
        <v>0</v>
      </c>
      <c r="G35">
        <v>26</v>
      </c>
      <c r="H35">
        <f t="array" ref="H35">MEDIAN(IF($C$3:$C$29=$C35,H$3:H$29,""))</f>
        <v>18.649999999999999</v>
      </c>
      <c r="I35">
        <f t="array" ref="I35">MEDIAN(IF($C$3:$C$29=$C35,I$3:I$29,""))</f>
        <v>20.25</v>
      </c>
      <c r="J35">
        <f t="array" ref="J35">MEDIAN(IF($C$3:$C$29=$C35,J$3:J$29,""))</f>
        <v>14.6</v>
      </c>
      <c r="K35">
        <f t="array" ref="K35">MEDIAN(IF($C$3:$C$29=$C35,K$3:K$29,""))</f>
        <v>14.4</v>
      </c>
      <c r="L35">
        <f t="array" ref="L35">MEDIAN(IF($C$3:$C$29=$C35,L$3:L$29,""))</f>
        <v>19.149999999999999</v>
      </c>
      <c r="M35">
        <f t="array" ref="M35">MEDIAN(IF($C$3:$C$29=$C35,M$3:M$29,""))</f>
        <v>16.899999999999999</v>
      </c>
      <c r="N35">
        <f t="array" ref="N35">MEDIAN(IF($C$3:$C$29=$C35,N$3:N$29,""))</f>
        <v>19.049999999999997</v>
      </c>
      <c r="O35">
        <f t="array" ref="O35">MEDIAN(IF($C$3:$C$29=$C35,O$3:O$29,""))</f>
        <v>15.649999999999999</v>
      </c>
      <c r="P35">
        <f t="array" ref="P35">MEDIAN(IF($C$3:$C$29=$C35,P$3:P$29,""))</f>
        <v>14.5</v>
      </c>
      <c r="Q35">
        <f t="array" ref="Q35">MEDIAN(IF($C$3:$C$29=$C35,Q$3:Q$29,""))</f>
        <v>14.8</v>
      </c>
      <c r="R35">
        <f t="array" ref="R35">MEDIAN(IF($C$3:$C$29=$C35,R$3:R$29,""))</f>
        <v>17.25</v>
      </c>
      <c r="S35">
        <f t="array" ref="S35">MEDIAN(IF($C$3:$C$29=$C35,S$3:S$29,""))</f>
        <v>14.05</v>
      </c>
      <c r="T35">
        <f t="array" ref="T35">MEDIAN(IF($C$3:$C$29=$C35,T$3:T$29,""))</f>
        <v>15.3</v>
      </c>
      <c r="U35">
        <f t="array" ref="U35">MEDIAN(IF($C$3:$C$29=$C35,U$3:U$29,""))</f>
        <v>17.850000000000001</v>
      </c>
      <c r="V35">
        <f t="array" ref="V35">MEDIAN(IF($C$3:$C$29=$C35,V$3:V$29,""))</f>
        <v>14.55</v>
      </c>
      <c r="W35">
        <f t="array" ref="W35">MEDIAN(IF($C$3:$C$29=$C35,W$3:W$29,""))</f>
        <v>16.649999999999999</v>
      </c>
      <c r="X35">
        <f t="array" ref="X35">MEDIAN(IF($C$3:$C$29=$C35,X$3:X$29,""))</f>
        <v>15.95</v>
      </c>
      <c r="Y35">
        <f t="array" ref="Y35">MEDIAN(IF($C$3:$C$29=$C35,Y$3:Y$29,""))</f>
        <v>22.35</v>
      </c>
      <c r="Z35">
        <f t="array" ref="Z35">MEDIAN(IF($C$3:$C$29=$C35,Z$3:Z$29,""))</f>
        <v>22.05</v>
      </c>
      <c r="AA35">
        <f t="array" ref="AA35">MEDIAN(IF($C$3:$C$29=$C35,AA$3:AA$29,""))</f>
        <v>23.9</v>
      </c>
    </row>
    <row r="36" spans="3:27" x14ac:dyDescent="0.25">
      <c r="C36">
        <v>6</v>
      </c>
      <c r="D36">
        <f t="array" ref="D36">MEDIAN(IF($C$3:$C$29=$C36,D$3:D$29,""))</f>
        <v>20.9</v>
      </c>
      <c r="E36">
        <f t="array" ref="E36">MEDIAN(IF($C$3:$C$29=$C36,E$3:E$29,""))</f>
        <v>0</v>
      </c>
      <c r="F36">
        <f t="array" ref="F36">MEDIAN(IF($C$3:$C$29=$C36,F$3:F$29,""))</f>
        <v>0</v>
      </c>
      <c r="G36">
        <v>26</v>
      </c>
      <c r="H36">
        <f t="array" ref="H36">MEDIAN(IF($C$3:$C$29=$C36,H$3:H$29,""))</f>
        <v>18.5</v>
      </c>
      <c r="I36">
        <f t="array" ref="I36">MEDIAN(IF($C$3:$C$29=$C36,I$3:I$29,""))</f>
        <v>21.4</v>
      </c>
      <c r="J36">
        <f t="array" ref="J36">MEDIAN(IF($C$3:$C$29=$C36,J$3:J$29,""))</f>
        <v>15</v>
      </c>
      <c r="K36">
        <f t="array" ref="K36">MEDIAN(IF($C$3:$C$29=$C36,K$3:K$29,""))</f>
        <v>15.7</v>
      </c>
      <c r="L36">
        <f t="array" ref="L36">MEDIAN(IF($C$3:$C$29=$C36,L$3:L$29,""))</f>
        <v>13.5</v>
      </c>
      <c r="M36">
        <f t="array" ref="M36">MEDIAN(IF($C$3:$C$29=$C36,M$3:M$29,""))</f>
        <v>15.5</v>
      </c>
      <c r="N36">
        <f t="array" ref="N36">MEDIAN(IF($C$3:$C$29=$C36,N$3:N$29,""))</f>
        <v>13.4</v>
      </c>
      <c r="O36">
        <f t="array" ref="O36">MEDIAN(IF($C$3:$C$29=$C36,O$3:O$29,""))</f>
        <v>19.2</v>
      </c>
      <c r="P36">
        <f t="array" ref="P36">MEDIAN(IF($C$3:$C$29=$C36,P$3:P$29,""))</f>
        <v>14.5</v>
      </c>
      <c r="Q36">
        <f t="array" ref="Q36">MEDIAN(IF($C$3:$C$29=$C36,Q$3:Q$29,""))</f>
        <v>16.600000000000001</v>
      </c>
      <c r="R36">
        <f t="array" ref="R36">MEDIAN(IF($C$3:$C$29=$C36,R$3:R$29,""))</f>
        <v>19.899999999999999</v>
      </c>
      <c r="S36">
        <f t="array" ref="S36">MEDIAN(IF($C$3:$C$29=$C36,S$3:S$29,""))</f>
        <v>16.899999999999999</v>
      </c>
      <c r="T36">
        <f t="array" ref="T36">MEDIAN(IF($C$3:$C$29=$C36,T$3:T$29,""))</f>
        <v>16.100000000000001</v>
      </c>
      <c r="U36">
        <f t="array" ref="U36">MEDIAN(IF($C$3:$C$29=$C36,U$3:U$29,""))</f>
        <v>17.5</v>
      </c>
      <c r="V36">
        <f t="array" ref="V36">MEDIAN(IF($C$3:$C$29=$C36,V$3:V$29,""))</f>
        <v>14.8</v>
      </c>
      <c r="W36">
        <f t="array" ref="W36">MEDIAN(IF($C$3:$C$29=$C36,W$3:W$29,""))</f>
        <v>13</v>
      </c>
      <c r="X36">
        <f t="array" ref="X36">MEDIAN(IF($C$3:$C$29=$C36,X$3:X$29,""))</f>
        <v>21.5</v>
      </c>
      <c r="Y36">
        <f t="array" ref="Y36">MEDIAN(IF($C$3:$C$29=$C36,Y$3:Y$29,""))</f>
        <v>12</v>
      </c>
      <c r="Z36">
        <f t="array" ref="Z36">MEDIAN(IF($C$3:$C$29=$C36,Z$3:Z$29,""))</f>
        <v>23.4</v>
      </c>
      <c r="AA36">
        <f t="array" ref="AA36">MEDIAN(IF($C$3:$C$29=$C36,AA$3:AA$29,""))</f>
        <v>25.8</v>
      </c>
    </row>
    <row r="37" spans="3:27" x14ac:dyDescent="0.25">
      <c r="C37">
        <v>7</v>
      </c>
      <c r="D37">
        <f t="array" ref="D37">MEDIAN(IF($C$3:$C$29=$C37,D$3:D$29,""))</f>
        <v>25.85</v>
      </c>
      <c r="E37">
        <f t="array" ref="E37">MEDIAN(IF($C$3:$C$29=$C37,E$3:E$29,""))</f>
        <v>0</v>
      </c>
      <c r="F37">
        <f t="array" ref="F37">MEDIAN(IF($C$3:$C$29=$C37,F$3:F$29,""))</f>
        <v>0</v>
      </c>
      <c r="G37">
        <v>26</v>
      </c>
      <c r="H37">
        <f t="array" ref="H37">MEDIAN(IF($C$3:$C$29=$C37,H$3:H$29,""))</f>
        <v>18.600000000000001</v>
      </c>
      <c r="I37">
        <f t="array" ref="I37">MEDIAN(IF($C$3:$C$29=$C37,I$3:I$29,""))</f>
        <v>20.149999999999999</v>
      </c>
      <c r="J37">
        <f t="array" ref="J37">MEDIAN(IF($C$3:$C$29=$C37,J$3:J$29,""))</f>
        <v>15.700000000000001</v>
      </c>
      <c r="K37">
        <f t="array" ref="K37">MEDIAN(IF($C$3:$C$29=$C37,K$3:K$29,""))</f>
        <v>14.5</v>
      </c>
      <c r="L37">
        <f t="array" ref="L37">MEDIAN(IF($C$3:$C$29=$C37,L$3:L$29,""))</f>
        <v>17.299999999999997</v>
      </c>
      <c r="M37">
        <f t="array" ref="M37">MEDIAN(IF($C$3:$C$29=$C37,M$3:M$29,""))</f>
        <v>13.3</v>
      </c>
      <c r="N37">
        <f t="array" ref="N37">MEDIAN(IF($C$3:$C$29=$C37,N$3:N$29,""))</f>
        <v>12.85</v>
      </c>
      <c r="O37">
        <f t="array" ref="O37">MEDIAN(IF($C$3:$C$29=$C37,O$3:O$29,""))</f>
        <v>16.75</v>
      </c>
      <c r="P37">
        <f t="array" ref="P37">MEDIAN(IF($C$3:$C$29=$C37,P$3:P$29,""))</f>
        <v>12.5</v>
      </c>
      <c r="Q37">
        <f t="array" ref="Q37">MEDIAN(IF($C$3:$C$29=$C37,Q$3:Q$29,""))</f>
        <v>15.15</v>
      </c>
      <c r="R37">
        <f t="array" ref="R37">MEDIAN(IF($C$3:$C$29=$C37,R$3:R$29,""))</f>
        <v>15.3</v>
      </c>
      <c r="S37">
        <f t="array" ref="S37">MEDIAN(IF($C$3:$C$29=$C37,S$3:S$29,""))</f>
        <v>17.7</v>
      </c>
      <c r="T37">
        <f t="array" ref="T37">MEDIAN(IF($C$3:$C$29=$C37,T$3:T$29,""))</f>
        <v>12.15</v>
      </c>
      <c r="U37">
        <f t="array" ref="U37">MEDIAN(IF($C$3:$C$29=$C37,U$3:U$29,""))</f>
        <v>15.75</v>
      </c>
      <c r="V37">
        <f t="array" ref="V37">MEDIAN(IF($C$3:$C$29=$C37,V$3:V$29,""))</f>
        <v>17</v>
      </c>
      <c r="W37">
        <f t="array" ref="W37">MEDIAN(IF($C$3:$C$29=$C37,W$3:W$29,""))</f>
        <v>16.600000000000001</v>
      </c>
      <c r="X37">
        <f t="array" ref="X37">MEDIAN(IF($C$3:$C$29=$C37,X$3:X$29,""))</f>
        <v>18.899999999999999</v>
      </c>
      <c r="Y37">
        <f t="array" ref="Y37">MEDIAN(IF($C$3:$C$29=$C37,Y$3:Y$29,""))</f>
        <v>18.95</v>
      </c>
      <c r="Z37">
        <f t="array" ref="Z37">MEDIAN(IF($C$3:$C$29=$C37,Z$3:Z$29,""))</f>
        <v>18.399999999999999</v>
      </c>
      <c r="AA37">
        <f t="array" ref="AA37">MEDIAN(IF($C$3:$C$29=$C37,AA$3:AA$29,""))</f>
        <v>24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A37"/>
  <sheetViews>
    <sheetView workbookViewId="0">
      <selection activeCell="G31" sqref="G31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28.6</v>
      </c>
      <c r="E3">
        <v>34</v>
      </c>
      <c r="F3">
        <v>31</v>
      </c>
      <c r="G3">
        <v>36.5</v>
      </c>
      <c r="H3">
        <v>25.7</v>
      </c>
      <c r="I3">
        <v>18.2</v>
      </c>
      <c r="J3">
        <v>13.8</v>
      </c>
      <c r="K3">
        <v>14.2</v>
      </c>
      <c r="L3">
        <v>14.6</v>
      </c>
      <c r="M3">
        <v>14.6</v>
      </c>
      <c r="N3">
        <v>10.199999999999999</v>
      </c>
      <c r="O3">
        <v>12.7</v>
      </c>
      <c r="P3">
        <v>10.4</v>
      </c>
      <c r="Q3">
        <v>14</v>
      </c>
      <c r="R3">
        <v>15</v>
      </c>
      <c r="S3">
        <v>12.7</v>
      </c>
      <c r="T3">
        <v>10</v>
      </c>
      <c r="U3">
        <v>11.4</v>
      </c>
      <c r="V3">
        <v>13.1</v>
      </c>
      <c r="W3">
        <v>14.4</v>
      </c>
      <c r="X3">
        <v>15.6</v>
      </c>
      <c r="Y3">
        <v>16</v>
      </c>
      <c r="Z3">
        <v>17.7</v>
      </c>
      <c r="AA3">
        <v>19.3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18.600000000000001</v>
      </c>
      <c r="E4">
        <v>27.4</v>
      </c>
      <c r="F4">
        <v>30.3</v>
      </c>
      <c r="G4">
        <v>31.4</v>
      </c>
      <c r="H4">
        <v>22.2</v>
      </c>
      <c r="I4">
        <v>20.399999999999999</v>
      </c>
      <c r="J4">
        <v>18.899999999999999</v>
      </c>
      <c r="K4">
        <v>16.600000000000001</v>
      </c>
      <c r="L4">
        <v>17</v>
      </c>
      <c r="M4">
        <v>13.2</v>
      </c>
      <c r="N4">
        <v>9.8000000000000007</v>
      </c>
      <c r="O4">
        <v>8.5</v>
      </c>
      <c r="P4">
        <v>8.8000000000000007</v>
      </c>
      <c r="Q4">
        <v>7</v>
      </c>
      <c r="R4">
        <v>9.1</v>
      </c>
      <c r="S4">
        <v>9.1999999999999993</v>
      </c>
      <c r="T4">
        <v>11.7</v>
      </c>
      <c r="U4">
        <v>11.1</v>
      </c>
      <c r="V4">
        <v>11</v>
      </c>
      <c r="W4">
        <v>15.6</v>
      </c>
      <c r="X4">
        <v>13.8</v>
      </c>
      <c r="Y4">
        <v>17.8</v>
      </c>
      <c r="Z4">
        <v>16</v>
      </c>
      <c r="AA4">
        <v>20.6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21.4</v>
      </c>
      <c r="E5">
        <v>22.2</v>
      </c>
      <c r="F5">
        <v>35.799999999999997</v>
      </c>
      <c r="G5">
        <v>28</v>
      </c>
      <c r="H5">
        <v>27.3</v>
      </c>
      <c r="I5">
        <v>23.7</v>
      </c>
      <c r="J5">
        <v>22.1</v>
      </c>
      <c r="K5">
        <v>19.2</v>
      </c>
      <c r="L5">
        <v>17.899999999999999</v>
      </c>
      <c r="M5">
        <v>15.4</v>
      </c>
      <c r="N5">
        <v>15.3</v>
      </c>
      <c r="O5">
        <v>14.4</v>
      </c>
      <c r="P5">
        <v>12.3</v>
      </c>
      <c r="Q5">
        <v>15.8</v>
      </c>
      <c r="R5">
        <v>16.399999999999999</v>
      </c>
      <c r="S5">
        <v>18.2</v>
      </c>
      <c r="T5">
        <v>17.8</v>
      </c>
      <c r="U5">
        <v>17.100000000000001</v>
      </c>
      <c r="V5">
        <v>18.7</v>
      </c>
      <c r="W5">
        <v>18.600000000000001</v>
      </c>
      <c r="X5">
        <v>17</v>
      </c>
      <c r="Y5">
        <v>16.2</v>
      </c>
      <c r="Z5">
        <v>18.7</v>
      </c>
      <c r="AA5">
        <v>22.2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26.2</v>
      </c>
      <c r="E6">
        <v>28.4</v>
      </c>
      <c r="F6">
        <v>25.8</v>
      </c>
      <c r="G6">
        <v>31.3</v>
      </c>
      <c r="H6">
        <v>23.2</v>
      </c>
      <c r="I6">
        <v>18.5</v>
      </c>
      <c r="J6">
        <v>10.9</v>
      </c>
      <c r="K6">
        <v>10.8</v>
      </c>
      <c r="L6">
        <v>15.6</v>
      </c>
      <c r="M6">
        <v>12.2</v>
      </c>
      <c r="N6">
        <v>11.3</v>
      </c>
      <c r="O6">
        <v>11.1</v>
      </c>
      <c r="P6">
        <v>9.1</v>
      </c>
      <c r="Q6">
        <v>4.7</v>
      </c>
      <c r="R6">
        <v>10.4</v>
      </c>
      <c r="S6">
        <v>9</v>
      </c>
      <c r="T6">
        <v>9.6999999999999993</v>
      </c>
      <c r="U6">
        <v>11.9</v>
      </c>
      <c r="V6">
        <v>13.9</v>
      </c>
      <c r="W6">
        <v>18</v>
      </c>
      <c r="X6">
        <v>17.2</v>
      </c>
      <c r="Y6">
        <v>18.8</v>
      </c>
      <c r="Z6">
        <v>21.4</v>
      </c>
      <c r="AA6">
        <v>24.6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30.1</v>
      </c>
      <c r="E7">
        <v>23.7</v>
      </c>
      <c r="F7">
        <v>33</v>
      </c>
      <c r="G7">
        <v>24.8</v>
      </c>
      <c r="H7">
        <v>21.8</v>
      </c>
      <c r="I7">
        <v>18.8</v>
      </c>
      <c r="J7">
        <v>13.6</v>
      </c>
      <c r="K7">
        <v>13.6</v>
      </c>
      <c r="L7">
        <v>16.5</v>
      </c>
      <c r="M7">
        <v>14.3</v>
      </c>
      <c r="N7">
        <v>11.5</v>
      </c>
      <c r="O7">
        <v>8.6999999999999993</v>
      </c>
      <c r="P7">
        <v>10</v>
      </c>
      <c r="Q7">
        <v>12</v>
      </c>
      <c r="R7">
        <v>6.2</v>
      </c>
      <c r="S7">
        <v>7.8</v>
      </c>
      <c r="T7">
        <v>12.7</v>
      </c>
      <c r="U7">
        <v>13.1</v>
      </c>
      <c r="V7">
        <v>13.2</v>
      </c>
      <c r="W7">
        <v>16</v>
      </c>
      <c r="X7">
        <v>14</v>
      </c>
      <c r="Y7">
        <v>16.399999999999999</v>
      </c>
      <c r="Z7">
        <v>18.3</v>
      </c>
      <c r="AA7">
        <v>24.1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30.1</v>
      </c>
      <c r="E8">
        <v>32.9</v>
      </c>
      <c r="F8">
        <v>41.2</v>
      </c>
      <c r="G8">
        <v>25.8</v>
      </c>
      <c r="H8">
        <v>24.6</v>
      </c>
      <c r="I8">
        <v>20</v>
      </c>
      <c r="J8">
        <v>14.2</v>
      </c>
      <c r="K8">
        <v>11.8</v>
      </c>
      <c r="L8">
        <v>14.5</v>
      </c>
      <c r="M8">
        <v>14.4</v>
      </c>
      <c r="N8">
        <v>11.1</v>
      </c>
      <c r="O8">
        <v>11.2</v>
      </c>
      <c r="P8">
        <v>7.6</v>
      </c>
      <c r="Q8">
        <v>6.9</v>
      </c>
      <c r="R8">
        <v>9.6</v>
      </c>
      <c r="S8">
        <v>14</v>
      </c>
      <c r="T8">
        <v>11.9</v>
      </c>
      <c r="U8">
        <v>14.1</v>
      </c>
      <c r="V8">
        <v>14.6</v>
      </c>
      <c r="W8">
        <v>16.399999999999999</v>
      </c>
      <c r="X8">
        <v>14.3</v>
      </c>
      <c r="Y8">
        <v>16.899999999999999</v>
      </c>
      <c r="Z8">
        <v>19.5</v>
      </c>
      <c r="AA8">
        <v>24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27.6</v>
      </c>
      <c r="E9">
        <v>33.299999999999997</v>
      </c>
      <c r="F9">
        <v>29.6</v>
      </c>
      <c r="G9">
        <v>51.6</v>
      </c>
      <c r="H9">
        <v>22.1</v>
      </c>
      <c r="I9">
        <v>19.2</v>
      </c>
      <c r="J9">
        <v>15.5</v>
      </c>
      <c r="K9">
        <v>11.4</v>
      </c>
      <c r="L9">
        <v>14.9</v>
      </c>
      <c r="M9">
        <v>12.9</v>
      </c>
      <c r="N9">
        <v>13.9</v>
      </c>
      <c r="O9">
        <v>14</v>
      </c>
      <c r="P9">
        <v>11.4</v>
      </c>
      <c r="Q9">
        <v>11.5</v>
      </c>
      <c r="R9">
        <v>10</v>
      </c>
      <c r="S9">
        <v>12.8</v>
      </c>
      <c r="T9">
        <v>13.2</v>
      </c>
      <c r="U9">
        <v>13.7</v>
      </c>
      <c r="V9">
        <v>13.2</v>
      </c>
      <c r="W9">
        <v>14.1</v>
      </c>
      <c r="X9">
        <v>15.1</v>
      </c>
      <c r="Y9">
        <v>16.5</v>
      </c>
      <c r="Z9">
        <v>20.2</v>
      </c>
      <c r="AA9">
        <v>22.5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23.8</v>
      </c>
      <c r="E10">
        <v>27.6</v>
      </c>
      <c r="F10">
        <v>37.200000000000003</v>
      </c>
      <c r="G10">
        <v>33.299999999999997</v>
      </c>
      <c r="H10">
        <v>23.1</v>
      </c>
      <c r="I10">
        <v>20.6</v>
      </c>
      <c r="J10">
        <v>15</v>
      </c>
      <c r="K10">
        <v>14.2</v>
      </c>
      <c r="L10">
        <v>14.6</v>
      </c>
      <c r="M10">
        <v>13.2</v>
      </c>
      <c r="N10">
        <v>12</v>
      </c>
      <c r="O10">
        <v>9.8000000000000007</v>
      </c>
      <c r="P10">
        <v>8.1</v>
      </c>
      <c r="Q10">
        <v>10</v>
      </c>
      <c r="R10">
        <v>11.8</v>
      </c>
      <c r="S10">
        <v>13.9</v>
      </c>
      <c r="T10">
        <v>9.8000000000000007</v>
      </c>
      <c r="U10">
        <v>12.4</v>
      </c>
      <c r="V10">
        <v>15.1</v>
      </c>
      <c r="W10">
        <v>15.2</v>
      </c>
      <c r="X10">
        <v>12.2</v>
      </c>
      <c r="Y10">
        <v>12.7</v>
      </c>
      <c r="Z10">
        <v>16.5</v>
      </c>
      <c r="AA10">
        <v>21.5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21.5</v>
      </c>
      <c r="E11">
        <v>26.2</v>
      </c>
      <c r="F11">
        <v>19.8</v>
      </c>
      <c r="G11">
        <v>34.9</v>
      </c>
      <c r="H11">
        <v>22.5</v>
      </c>
      <c r="I11">
        <v>20.399999999999999</v>
      </c>
      <c r="J11">
        <v>19.3</v>
      </c>
      <c r="K11">
        <v>16.399999999999999</v>
      </c>
      <c r="L11">
        <v>17.100000000000001</v>
      </c>
      <c r="M11">
        <v>13.8</v>
      </c>
      <c r="N11">
        <v>9.4</v>
      </c>
      <c r="O11">
        <v>8.6</v>
      </c>
      <c r="P11">
        <v>7.1</v>
      </c>
      <c r="Q11">
        <v>8.4</v>
      </c>
      <c r="R11">
        <v>10.3</v>
      </c>
      <c r="S11">
        <v>8.1999999999999993</v>
      </c>
      <c r="T11">
        <v>7.6</v>
      </c>
      <c r="U11">
        <v>8.6</v>
      </c>
      <c r="V11">
        <v>8.8000000000000007</v>
      </c>
      <c r="W11">
        <v>14.1</v>
      </c>
      <c r="X11">
        <v>14.8</v>
      </c>
      <c r="Y11">
        <v>17.3</v>
      </c>
      <c r="Z11">
        <v>21</v>
      </c>
      <c r="AA11">
        <v>20.6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21.9</v>
      </c>
      <c r="E12">
        <v>27.6</v>
      </c>
      <c r="F12">
        <v>16.8</v>
      </c>
      <c r="G12">
        <v>35.4</v>
      </c>
      <c r="H12">
        <v>23.9</v>
      </c>
      <c r="I12">
        <v>22.1</v>
      </c>
      <c r="J12">
        <v>21.6</v>
      </c>
      <c r="K12">
        <v>19.2</v>
      </c>
      <c r="L12">
        <v>19.7</v>
      </c>
      <c r="M12">
        <v>15.3</v>
      </c>
      <c r="N12">
        <v>11.3</v>
      </c>
      <c r="O12">
        <v>13.7</v>
      </c>
      <c r="P12">
        <v>10.4</v>
      </c>
      <c r="Q12">
        <v>14.4</v>
      </c>
      <c r="R12">
        <v>16.7</v>
      </c>
      <c r="S12">
        <v>18</v>
      </c>
      <c r="T12">
        <v>15.4</v>
      </c>
      <c r="U12">
        <v>13.9</v>
      </c>
      <c r="V12">
        <v>18.100000000000001</v>
      </c>
      <c r="W12">
        <v>17.5</v>
      </c>
      <c r="X12">
        <v>16</v>
      </c>
      <c r="Y12">
        <v>17.399999999999999</v>
      </c>
      <c r="Z12">
        <v>19</v>
      </c>
      <c r="AA12">
        <v>23.2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22.7</v>
      </c>
      <c r="E13">
        <v>39.700000000000003</v>
      </c>
      <c r="F13">
        <v>38.9</v>
      </c>
      <c r="G13">
        <v>39.5</v>
      </c>
      <c r="H13">
        <v>22.7</v>
      </c>
      <c r="I13">
        <v>19.3</v>
      </c>
      <c r="J13">
        <v>11.5</v>
      </c>
      <c r="K13">
        <v>13.4</v>
      </c>
      <c r="L13">
        <v>13.8</v>
      </c>
      <c r="M13">
        <v>13.7</v>
      </c>
      <c r="N13">
        <v>13.8</v>
      </c>
      <c r="O13">
        <v>15.2</v>
      </c>
      <c r="P13">
        <v>13.2</v>
      </c>
      <c r="Q13">
        <v>13.3</v>
      </c>
      <c r="R13">
        <v>13.8</v>
      </c>
      <c r="S13">
        <v>12.3</v>
      </c>
      <c r="T13">
        <v>14.1</v>
      </c>
      <c r="U13">
        <v>13.3</v>
      </c>
      <c r="V13">
        <v>15.7</v>
      </c>
      <c r="W13">
        <v>17.7</v>
      </c>
      <c r="X13">
        <v>17.7</v>
      </c>
      <c r="Y13">
        <v>18.5</v>
      </c>
      <c r="Z13">
        <v>22.2</v>
      </c>
      <c r="AA13">
        <v>23.1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26.4</v>
      </c>
      <c r="E14">
        <v>23.7</v>
      </c>
      <c r="F14">
        <v>43.8</v>
      </c>
      <c r="G14">
        <v>32.4</v>
      </c>
      <c r="H14">
        <v>22.4</v>
      </c>
      <c r="I14">
        <v>20.100000000000001</v>
      </c>
      <c r="J14">
        <v>13.8</v>
      </c>
      <c r="K14">
        <v>12.6</v>
      </c>
      <c r="L14">
        <v>14</v>
      </c>
      <c r="M14">
        <v>13.6</v>
      </c>
      <c r="N14">
        <v>13.7</v>
      </c>
      <c r="O14">
        <v>14</v>
      </c>
      <c r="P14">
        <v>5.4</v>
      </c>
      <c r="Q14">
        <v>8.6999999999999993</v>
      </c>
      <c r="R14">
        <v>12.9</v>
      </c>
      <c r="S14">
        <v>10.4</v>
      </c>
      <c r="T14">
        <v>10.199999999999999</v>
      </c>
      <c r="U14">
        <v>13.4</v>
      </c>
      <c r="V14">
        <v>14.8</v>
      </c>
      <c r="W14">
        <v>16.600000000000001</v>
      </c>
      <c r="X14">
        <v>15.2</v>
      </c>
      <c r="Y14">
        <v>18.2</v>
      </c>
      <c r="Z14">
        <v>21.4</v>
      </c>
      <c r="AA14">
        <v>22.6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23.9</v>
      </c>
      <c r="E15">
        <v>31.9</v>
      </c>
      <c r="F15">
        <v>44.4</v>
      </c>
      <c r="G15">
        <v>32.1</v>
      </c>
      <c r="H15">
        <v>24.4</v>
      </c>
      <c r="I15">
        <v>20.399999999999999</v>
      </c>
      <c r="J15">
        <v>10.9</v>
      </c>
      <c r="K15">
        <v>6.7</v>
      </c>
      <c r="L15">
        <v>14.6</v>
      </c>
      <c r="M15">
        <v>14.6</v>
      </c>
      <c r="N15">
        <v>13.8</v>
      </c>
      <c r="O15">
        <v>11.9</v>
      </c>
      <c r="P15">
        <v>11.4</v>
      </c>
      <c r="Q15">
        <v>11.5</v>
      </c>
      <c r="R15">
        <v>12.9</v>
      </c>
      <c r="S15">
        <v>13.1</v>
      </c>
      <c r="T15">
        <v>13.1</v>
      </c>
      <c r="U15">
        <v>14.1</v>
      </c>
      <c r="V15">
        <v>14.5</v>
      </c>
      <c r="W15">
        <v>17</v>
      </c>
      <c r="X15">
        <v>18.600000000000001</v>
      </c>
      <c r="Y15">
        <v>19.600000000000001</v>
      </c>
      <c r="Z15">
        <v>20</v>
      </c>
      <c r="AA15">
        <v>21.8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25.1</v>
      </c>
      <c r="E16">
        <v>33.700000000000003</v>
      </c>
      <c r="F16">
        <v>40.700000000000003</v>
      </c>
      <c r="G16">
        <v>32.9</v>
      </c>
      <c r="H16">
        <v>23.2</v>
      </c>
      <c r="I16">
        <v>19.7</v>
      </c>
      <c r="J16">
        <v>13.1</v>
      </c>
      <c r="K16">
        <v>15</v>
      </c>
      <c r="L16">
        <v>16.2</v>
      </c>
      <c r="M16">
        <v>15.2</v>
      </c>
      <c r="N16">
        <v>12.1</v>
      </c>
      <c r="O16">
        <v>12.8</v>
      </c>
      <c r="P16">
        <v>10.8</v>
      </c>
      <c r="Q16">
        <v>12.5</v>
      </c>
      <c r="R16">
        <v>13.7</v>
      </c>
      <c r="S16">
        <v>13.5</v>
      </c>
      <c r="T16">
        <v>12.8</v>
      </c>
      <c r="U16">
        <v>13.8</v>
      </c>
      <c r="V16">
        <v>15.3</v>
      </c>
      <c r="W16">
        <v>15.1</v>
      </c>
      <c r="X16">
        <v>17.8</v>
      </c>
      <c r="Y16">
        <v>17.899999999999999</v>
      </c>
      <c r="Z16">
        <v>20.3</v>
      </c>
      <c r="AA16">
        <v>23.5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19.8</v>
      </c>
      <c r="E17">
        <v>22.1</v>
      </c>
      <c r="F17">
        <v>34.799999999999997</v>
      </c>
      <c r="G17">
        <v>34.4</v>
      </c>
      <c r="H17">
        <v>22.6</v>
      </c>
      <c r="I17">
        <v>19.8</v>
      </c>
      <c r="J17">
        <v>13.5</v>
      </c>
      <c r="K17">
        <v>12.3</v>
      </c>
      <c r="L17">
        <v>14.3</v>
      </c>
      <c r="M17">
        <v>14.2</v>
      </c>
      <c r="N17">
        <v>11.6</v>
      </c>
      <c r="O17">
        <v>12.6</v>
      </c>
      <c r="P17">
        <v>11.8</v>
      </c>
      <c r="Q17">
        <v>12.1</v>
      </c>
      <c r="R17">
        <v>9.9</v>
      </c>
      <c r="S17">
        <v>11.9</v>
      </c>
      <c r="T17">
        <v>10.5</v>
      </c>
      <c r="U17">
        <v>13.3</v>
      </c>
      <c r="V17">
        <v>13.4</v>
      </c>
      <c r="W17">
        <v>15.1</v>
      </c>
      <c r="X17">
        <v>12.4</v>
      </c>
      <c r="Y17">
        <v>17.3</v>
      </c>
      <c r="Z17">
        <v>16.100000000000001</v>
      </c>
      <c r="AA17">
        <v>22.5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21.6</v>
      </c>
      <c r="E18">
        <v>28.7</v>
      </c>
      <c r="F18">
        <v>40.6</v>
      </c>
      <c r="G18">
        <v>27.7</v>
      </c>
      <c r="H18">
        <v>23.7</v>
      </c>
      <c r="I18">
        <v>18.8</v>
      </c>
      <c r="J18">
        <v>20.5</v>
      </c>
      <c r="K18">
        <v>16.8</v>
      </c>
      <c r="L18">
        <v>16.3</v>
      </c>
      <c r="M18">
        <v>14</v>
      </c>
      <c r="N18">
        <v>11.5</v>
      </c>
      <c r="O18">
        <v>11.3</v>
      </c>
      <c r="P18">
        <v>7.7</v>
      </c>
      <c r="Q18">
        <v>7.5</v>
      </c>
      <c r="R18">
        <v>8.3000000000000007</v>
      </c>
      <c r="S18">
        <v>10.3</v>
      </c>
      <c r="T18">
        <v>9.9</v>
      </c>
      <c r="U18">
        <v>7.4</v>
      </c>
      <c r="V18">
        <v>8.4</v>
      </c>
      <c r="W18">
        <v>13.9</v>
      </c>
      <c r="X18">
        <v>15.6</v>
      </c>
      <c r="Y18">
        <v>20.3</v>
      </c>
      <c r="Z18">
        <v>17.600000000000001</v>
      </c>
      <c r="AA18">
        <v>21.4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23.4</v>
      </c>
      <c r="E19">
        <v>26</v>
      </c>
      <c r="F19">
        <v>27.1</v>
      </c>
      <c r="G19">
        <v>33.1</v>
      </c>
      <c r="H19">
        <v>23.3</v>
      </c>
      <c r="I19">
        <v>23.5</v>
      </c>
      <c r="J19">
        <v>21.5</v>
      </c>
      <c r="K19">
        <v>19.600000000000001</v>
      </c>
      <c r="L19">
        <v>17.7</v>
      </c>
      <c r="M19">
        <v>15.1</v>
      </c>
      <c r="N19">
        <v>13.3</v>
      </c>
      <c r="O19">
        <v>10.4</v>
      </c>
      <c r="P19">
        <v>9.1999999999999993</v>
      </c>
      <c r="Q19">
        <v>18.100000000000001</v>
      </c>
      <c r="R19">
        <v>16.7</v>
      </c>
      <c r="S19">
        <v>16.7</v>
      </c>
      <c r="T19">
        <v>17.100000000000001</v>
      </c>
      <c r="U19">
        <v>15.7</v>
      </c>
      <c r="V19">
        <v>16.600000000000001</v>
      </c>
      <c r="W19">
        <v>16.7</v>
      </c>
      <c r="X19">
        <v>15.3</v>
      </c>
      <c r="Y19">
        <v>15.2</v>
      </c>
      <c r="Z19">
        <v>21.2</v>
      </c>
      <c r="AA19">
        <v>27.2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25.6</v>
      </c>
      <c r="E20">
        <v>28.2</v>
      </c>
      <c r="F20">
        <v>19.5</v>
      </c>
      <c r="G20">
        <v>33.6</v>
      </c>
      <c r="H20">
        <v>23.6</v>
      </c>
      <c r="I20">
        <v>19.5</v>
      </c>
      <c r="J20">
        <v>12.9</v>
      </c>
      <c r="K20">
        <v>13.1</v>
      </c>
      <c r="L20">
        <v>15.3</v>
      </c>
      <c r="M20">
        <v>14.3</v>
      </c>
      <c r="N20">
        <v>14.2</v>
      </c>
      <c r="O20">
        <v>10.3</v>
      </c>
      <c r="P20">
        <v>12.6</v>
      </c>
      <c r="Q20">
        <v>13.1</v>
      </c>
      <c r="R20">
        <v>12.7</v>
      </c>
      <c r="S20">
        <v>11.7</v>
      </c>
      <c r="T20">
        <v>12.7</v>
      </c>
      <c r="U20">
        <v>13.5</v>
      </c>
      <c r="V20">
        <v>15.4</v>
      </c>
      <c r="W20">
        <v>17.2</v>
      </c>
      <c r="X20">
        <v>15</v>
      </c>
      <c r="Y20">
        <v>18.8</v>
      </c>
      <c r="Z20">
        <v>22.4</v>
      </c>
      <c r="AA20">
        <v>22.8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25.5</v>
      </c>
      <c r="E21">
        <v>35.1</v>
      </c>
      <c r="F21">
        <v>35.9</v>
      </c>
      <c r="G21">
        <v>38.700000000000003</v>
      </c>
      <c r="H21">
        <v>25</v>
      </c>
      <c r="I21">
        <v>18.100000000000001</v>
      </c>
      <c r="J21">
        <v>11.9</v>
      </c>
      <c r="K21">
        <v>12.5</v>
      </c>
      <c r="L21">
        <v>13.2</v>
      </c>
      <c r="M21">
        <v>12.2</v>
      </c>
      <c r="N21">
        <v>13.4</v>
      </c>
      <c r="O21">
        <v>12.6</v>
      </c>
      <c r="P21">
        <v>12.2</v>
      </c>
      <c r="Q21">
        <v>10.3</v>
      </c>
      <c r="R21">
        <v>14</v>
      </c>
      <c r="S21">
        <v>12.4</v>
      </c>
      <c r="T21">
        <v>12.2</v>
      </c>
      <c r="U21">
        <v>14.5</v>
      </c>
      <c r="V21">
        <v>14.9</v>
      </c>
      <c r="W21">
        <v>15.3</v>
      </c>
      <c r="X21">
        <v>18.100000000000001</v>
      </c>
      <c r="Y21">
        <v>18.600000000000001</v>
      </c>
      <c r="Z21">
        <v>20.3</v>
      </c>
      <c r="AA21">
        <v>22.7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24.6</v>
      </c>
      <c r="E22">
        <v>30.9</v>
      </c>
      <c r="F22">
        <v>48</v>
      </c>
      <c r="G22">
        <v>34.200000000000003</v>
      </c>
      <c r="H22">
        <v>24.1</v>
      </c>
      <c r="I22">
        <v>20</v>
      </c>
      <c r="J22">
        <v>13.2</v>
      </c>
      <c r="K22">
        <v>13.4</v>
      </c>
      <c r="L22">
        <v>14.5</v>
      </c>
      <c r="M22">
        <v>12.3</v>
      </c>
      <c r="N22">
        <v>10</v>
      </c>
      <c r="O22">
        <v>12.8</v>
      </c>
      <c r="P22">
        <v>9.3000000000000007</v>
      </c>
      <c r="Q22">
        <v>11.3</v>
      </c>
      <c r="R22">
        <v>13.5</v>
      </c>
      <c r="S22">
        <v>14.1</v>
      </c>
      <c r="T22">
        <v>11.5</v>
      </c>
      <c r="U22">
        <v>13.1</v>
      </c>
      <c r="V22">
        <v>13.4</v>
      </c>
      <c r="W22">
        <v>16</v>
      </c>
      <c r="X22">
        <v>18.2</v>
      </c>
      <c r="Y22">
        <v>18.2</v>
      </c>
      <c r="Z22">
        <v>21.1</v>
      </c>
      <c r="AA22">
        <v>22.2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19.7</v>
      </c>
      <c r="E23">
        <v>21.2</v>
      </c>
      <c r="F23">
        <v>34.6</v>
      </c>
      <c r="G23">
        <v>29.7</v>
      </c>
      <c r="H23">
        <v>23.2</v>
      </c>
      <c r="I23">
        <v>19.100000000000001</v>
      </c>
      <c r="J23">
        <v>15.3</v>
      </c>
      <c r="K23">
        <v>12.8</v>
      </c>
      <c r="L23">
        <v>14.7</v>
      </c>
      <c r="M23">
        <v>13</v>
      </c>
      <c r="N23">
        <v>11.2</v>
      </c>
      <c r="O23">
        <v>13</v>
      </c>
      <c r="P23">
        <v>11.4</v>
      </c>
      <c r="Q23">
        <v>11.7</v>
      </c>
      <c r="R23">
        <v>14.4</v>
      </c>
      <c r="S23">
        <v>12.3</v>
      </c>
      <c r="T23">
        <v>10.5</v>
      </c>
      <c r="U23">
        <v>12</v>
      </c>
      <c r="V23">
        <v>12.7</v>
      </c>
      <c r="W23">
        <v>14.7</v>
      </c>
      <c r="X23">
        <v>16.5</v>
      </c>
      <c r="Y23">
        <v>16.3</v>
      </c>
      <c r="Z23">
        <v>20.399999999999999</v>
      </c>
      <c r="AA23">
        <v>22.1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27.2</v>
      </c>
      <c r="E24">
        <v>31.4</v>
      </c>
      <c r="F24">
        <v>41</v>
      </c>
      <c r="G24">
        <v>36.1</v>
      </c>
      <c r="H24">
        <v>23.2</v>
      </c>
      <c r="I24">
        <v>18.100000000000001</v>
      </c>
      <c r="J24">
        <v>14.6</v>
      </c>
      <c r="K24">
        <v>13.6</v>
      </c>
      <c r="L24">
        <v>14.8</v>
      </c>
      <c r="M24">
        <v>13.2</v>
      </c>
      <c r="N24">
        <v>9.9</v>
      </c>
      <c r="O24">
        <v>13.4</v>
      </c>
      <c r="P24">
        <v>12.7</v>
      </c>
      <c r="Q24">
        <v>12.2</v>
      </c>
      <c r="R24">
        <v>11.8</v>
      </c>
      <c r="S24">
        <v>11.5</v>
      </c>
      <c r="T24">
        <v>10.1</v>
      </c>
      <c r="U24">
        <v>11.8</v>
      </c>
      <c r="V24">
        <v>14.6</v>
      </c>
      <c r="W24">
        <v>15.9</v>
      </c>
      <c r="X24">
        <v>13.6</v>
      </c>
      <c r="Y24">
        <v>17.899999999999999</v>
      </c>
      <c r="Z24">
        <v>20.5</v>
      </c>
      <c r="AA24">
        <v>23.5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20.6</v>
      </c>
      <c r="E25">
        <v>27.9</v>
      </c>
      <c r="F25">
        <v>36.6</v>
      </c>
      <c r="G25">
        <v>35.299999999999997</v>
      </c>
      <c r="H25">
        <v>24.4</v>
      </c>
      <c r="I25">
        <v>20.3</v>
      </c>
      <c r="J25">
        <v>17.2</v>
      </c>
      <c r="K25">
        <v>15.1</v>
      </c>
      <c r="L25">
        <v>14.9</v>
      </c>
      <c r="M25">
        <v>12.2</v>
      </c>
      <c r="N25">
        <v>11.6</v>
      </c>
      <c r="O25">
        <v>8</v>
      </c>
      <c r="P25">
        <v>8.1</v>
      </c>
      <c r="Q25">
        <v>8.8000000000000007</v>
      </c>
      <c r="R25">
        <v>9.9</v>
      </c>
      <c r="S25">
        <v>6.9</v>
      </c>
      <c r="T25">
        <v>6.9</v>
      </c>
      <c r="U25">
        <v>6</v>
      </c>
      <c r="V25">
        <v>9.9</v>
      </c>
      <c r="W25">
        <v>16.100000000000001</v>
      </c>
      <c r="X25">
        <v>17.8</v>
      </c>
      <c r="Y25">
        <v>16.399999999999999</v>
      </c>
      <c r="Z25">
        <v>16.899999999999999</v>
      </c>
      <c r="AA25">
        <v>22.3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21.7</v>
      </c>
      <c r="E26">
        <v>25.7</v>
      </c>
      <c r="F26">
        <v>26.5</v>
      </c>
      <c r="G26">
        <v>31.4</v>
      </c>
      <c r="H26">
        <v>26.3</v>
      </c>
      <c r="I26">
        <v>22.8</v>
      </c>
      <c r="J26">
        <v>20.399999999999999</v>
      </c>
      <c r="K26">
        <v>20.5</v>
      </c>
      <c r="L26">
        <v>17</v>
      </c>
      <c r="M26">
        <v>15.1</v>
      </c>
      <c r="N26">
        <v>14.2</v>
      </c>
      <c r="O26">
        <v>13</v>
      </c>
      <c r="P26">
        <v>13.8</v>
      </c>
      <c r="Q26">
        <v>11.7</v>
      </c>
      <c r="R26">
        <v>15.3</v>
      </c>
      <c r="S26">
        <v>17.399999999999999</v>
      </c>
      <c r="T26">
        <v>18.5</v>
      </c>
      <c r="U26">
        <v>16.7</v>
      </c>
      <c r="V26">
        <v>17.2</v>
      </c>
      <c r="W26">
        <v>14.7</v>
      </c>
      <c r="X26">
        <v>15.6</v>
      </c>
      <c r="Y26">
        <v>17.899999999999999</v>
      </c>
      <c r="Z26">
        <v>20.5</v>
      </c>
      <c r="AA26">
        <v>21.9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25.1</v>
      </c>
      <c r="E27">
        <v>27.9</v>
      </c>
      <c r="F27">
        <v>37.4</v>
      </c>
      <c r="G27">
        <v>32.299999999999997</v>
      </c>
      <c r="H27">
        <v>24.7</v>
      </c>
      <c r="I27">
        <v>17.399999999999999</v>
      </c>
      <c r="J27">
        <v>13.6</v>
      </c>
      <c r="K27">
        <v>13.2</v>
      </c>
      <c r="L27">
        <v>15.4</v>
      </c>
      <c r="M27">
        <v>14.1</v>
      </c>
      <c r="N27">
        <v>14.6</v>
      </c>
      <c r="O27">
        <v>13.6</v>
      </c>
      <c r="P27">
        <v>10.199999999999999</v>
      </c>
      <c r="Q27">
        <v>15.3</v>
      </c>
      <c r="R27">
        <v>13.5</v>
      </c>
      <c r="S27">
        <v>13.5</v>
      </c>
      <c r="T27">
        <v>12</v>
      </c>
      <c r="U27">
        <v>12.2</v>
      </c>
      <c r="V27">
        <v>14</v>
      </c>
      <c r="W27">
        <v>16.5</v>
      </c>
      <c r="X27">
        <v>16.8</v>
      </c>
      <c r="Y27">
        <v>18.100000000000001</v>
      </c>
      <c r="Z27">
        <v>18.5</v>
      </c>
      <c r="AA27">
        <v>23.9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23.5</v>
      </c>
      <c r="E28">
        <v>26</v>
      </c>
      <c r="F28">
        <v>37.9</v>
      </c>
      <c r="G28">
        <v>34.1</v>
      </c>
      <c r="H28">
        <v>22.3</v>
      </c>
      <c r="I28">
        <v>19</v>
      </c>
      <c r="J28">
        <v>9.3000000000000007</v>
      </c>
      <c r="K28">
        <v>9.6</v>
      </c>
      <c r="L28">
        <v>13.4</v>
      </c>
      <c r="M28">
        <v>15.1</v>
      </c>
      <c r="N28">
        <v>12.2</v>
      </c>
      <c r="O28">
        <v>11.3</v>
      </c>
      <c r="P28">
        <v>8</v>
      </c>
      <c r="Q28">
        <v>13</v>
      </c>
      <c r="R28">
        <v>14.4</v>
      </c>
      <c r="S28">
        <v>10.9</v>
      </c>
      <c r="T28">
        <v>9.1999999999999993</v>
      </c>
      <c r="U28">
        <v>13.9</v>
      </c>
      <c r="V28">
        <v>13.9</v>
      </c>
      <c r="W28">
        <v>14.9</v>
      </c>
      <c r="X28">
        <v>16.7</v>
      </c>
      <c r="Y28">
        <v>18.7</v>
      </c>
      <c r="Z28">
        <v>20.399999999999999</v>
      </c>
      <c r="AA28">
        <v>22.9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28</v>
      </c>
      <c r="E29">
        <v>32</v>
      </c>
      <c r="F29">
        <v>37.700000000000003</v>
      </c>
      <c r="G29">
        <v>34.5</v>
      </c>
      <c r="H29">
        <v>20</v>
      </c>
      <c r="I29">
        <v>19.8</v>
      </c>
      <c r="J29">
        <v>13.6</v>
      </c>
      <c r="K29">
        <v>13.5</v>
      </c>
      <c r="L29">
        <v>14.5</v>
      </c>
      <c r="M29">
        <v>14.5</v>
      </c>
      <c r="N29">
        <v>12.4</v>
      </c>
      <c r="O29">
        <v>13.4</v>
      </c>
      <c r="P29">
        <v>13.5</v>
      </c>
      <c r="Q29">
        <v>11.9</v>
      </c>
      <c r="R29">
        <v>12.9</v>
      </c>
      <c r="S29">
        <v>13.2</v>
      </c>
      <c r="T29">
        <v>13.4</v>
      </c>
      <c r="U29">
        <v>13.9</v>
      </c>
      <c r="V29">
        <v>6.3</v>
      </c>
      <c r="W29">
        <v>4.0999999999999996</v>
      </c>
      <c r="X29">
        <v>11.2</v>
      </c>
      <c r="Y29">
        <v>17.8</v>
      </c>
      <c r="Z29">
        <v>19.100000000000001</v>
      </c>
      <c r="AA29">
        <v>24.4</v>
      </c>
    </row>
    <row r="31" spans="1:27" x14ac:dyDescent="0.25">
      <c r="C31">
        <v>1</v>
      </c>
      <c r="D31">
        <f t="array" ref="D31">MEDIAN(IF($C$3:$C$29=$C31,D$3:D$29,""))</f>
        <v>21.799999999999997</v>
      </c>
      <c r="E31">
        <f t="array" ref="E31">MEDIAN(IF($C$3:$C$29=$C31,E$3:E$29,""))</f>
        <v>25.85</v>
      </c>
      <c r="F31">
        <f t="array" ref="F31">MEDIAN(IF($C$3:$C$29=$C31,F$3:F$29,""))</f>
        <v>26.8</v>
      </c>
      <c r="G31">
        <f t="array" ref="G31">MEDIAN(IF($C$3:$C$29=$C31,G$3:G$29,""))</f>
        <v>32.25</v>
      </c>
      <c r="H31">
        <f t="array" ref="H31">MEDIAN(IF($C$3:$C$29=$C31,H$3:H$29,""))</f>
        <v>25.1</v>
      </c>
      <c r="I31">
        <f t="array" ref="I31">MEDIAN(IF($C$3:$C$29=$C31,I$3:I$29,""))</f>
        <v>23.15</v>
      </c>
      <c r="J31">
        <f t="array" ref="J31">MEDIAN(IF($C$3:$C$29=$C31,J$3:J$29,""))</f>
        <v>21.55</v>
      </c>
      <c r="K31">
        <f t="array" ref="K31">MEDIAN(IF($C$3:$C$29=$C31,K$3:K$29,""))</f>
        <v>19.399999999999999</v>
      </c>
      <c r="L31">
        <f t="array" ref="L31">MEDIAN(IF($C$3:$C$29=$C31,L$3:L$29,""))</f>
        <v>17.799999999999997</v>
      </c>
      <c r="M31">
        <f t="array" ref="M31">MEDIAN(IF($C$3:$C$29=$C31,M$3:M$29,""))</f>
        <v>15.2</v>
      </c>
      <c r="N31">
        <f t="array" ref="N31">MEDIAN(IF($C$3:$C$29=$C31,N$3:N$29,""))</f>
        <v>13.75</v>
      </c>
      <c r="O31">
        <f t="array" ref="O31">MEDIAN(IF($C$3:$C$29=$C31,O$3:O$29,""))</f>
        <v>13.35</v>
      </c>
      <c r="P31">
        <f t="array" ref="P31">MEDIAN(IF($C$3:$C$29=$C31,P$3:P$29,""))</f>
        <v>11.350000000000001</v>
      </c>
      <c r="Q31">
        <f t="array" ref="Q31">MEDIAN(IF($C$3:$C$29=$C31,Q$3:Q$29,""))</f>
        <v>15.100000000000001</v>
      </c>
      <c r="R31">
        <f t="array" ref="R31">MEDIAN(IF($C$3:$C$29=$C31,R$3:R$29,""))</f>
        <v>16.549999999999997</v>
      </c>
      <c r="S31">
        <f t="array" ref="S31">MEDIAN(IF($C$3:$C$29=$C31,S$3:S$29,""))</f>
        <v>17.7</v>
      </c>
      <c r="T31">
        <f t="array" ref="T31">MEDIAN(IF($C$3:$C$29=$C31,T$3:T$29,""))</f>
        <v>17.450000000000003</v>
      </c>
      <c r="U31">
        <f t="array" ref="U31">MEDIAN(IF($C$3:$C$29=$C31,U$3:U$29,""))</f>
        <v>16.2</v>
      </c>
      <c r="V31">
        <f t="array" ref="V31">MEDIAN(IF($C$3:$C$29=$C31,V$3:V$29,""))</f>
        <v>17.649999999999999</v>
      </c>
      <c r="W31">
        <f t="array" ref="W31">MEDIAN(IF($C$3:$C$29=$C31,W$3:W$29,""))</f>
        <v>17.100000000000001</v>
      </c>
      <c r="X31">
        <f t="array" ref="X31">MEDIAN(IF($C$3:$C$29=$C31,X$3:X$29,""))</f>
        <v>15.8</v>
      </c>
      <c r="Y31">
        <f t="array" ref="Y31">MEDIAN(IF($C$3:$C$29=$C31,Y$3:Y$29,""))</f>
        <v>16.799999999999997</v>
      </c>
      <c r="Z31">
        <f t="array" ref="Z31">MEDIAN(IF($C$3:$C$29=$C31,Z$3:Z$29,""))</f>
        <v>19.75</v>
      </c>
      <c r="AA31">
        <f t="array" ref="AA31">MEDIAN(IF($C$3:$C$29=$C31,AA$3:AA$29,""))</f>
        <v>22.7</v>
      </c>
    </row>
    <row r="32" spans="1:27" x14ac:dyDescent="0.25">
      <c r="C32">
        <v>2</v>
      </c>
      <c r="D32">
        <f t="array" ref="D32">MEDIAN(IF($C$3:$C$29=$C32,D$3:D$29,""))</f>
        <v>21.05</v>
      </c>
      <c r="E32">
        <f t="array" ref="E32">MEDIAN(IF($C$3:$C$29=$C32,E$3:E$29,""))</f>
        <v>27.65</v>
      </c>
      <c r="F32">
        <f t="array" ref="F32">MEDIAN(IF($C$3:$C$29=$C32,F$3:F$29,""))</f>
        <v>33.450000000000003</v>
      </c>
      <c r="G32">
        <f t="array" ref="G32">MEDIAN(IF($C$3:$C$29=$C32,G$3:G$29,""))</f>
        <v>33.15</v>
      </c>
      <c r="H32">
        <f t="array" ref="H32">MEDIAN(IF($C$3:$C$29=$C32,H$3:H$29,""))</f>
        <v>23.1</v>
      </c>
      <c r="I32">
        <f t="array" ref="I32">MEDIAN(IF($C$3:$C$29=$C32,I$3:I$29,""))</f>
        <v>20.350000000000001</v>
      </c>
      <c r="J32">
        <f t="array" ref="J32">MEDIAN(IF($C$3:$C$29=$C32,J$3:J$29,""))</f>
        <v>19.100000000000001</v>
      </c>
      <c r="K32">
        <f t="array" ref="K32">MEDIAN(IF($C$3:$C$29=$C32,K$3:K$29,""))</f>
        <v>16.5</v>
      </c>
      <c r="L32">
        <f t="array" ref="L32">MEDIAN(IF($C$3:$C$29=$C32,L$3:L$29,""))</f>
        <v>16.649999999999999</v>
      </c>
      <c r="M32">
        <f t="array" ref="M32">MEDIAN(IF($C$3:$C$29=$C32,M$3:M$29,""))</f>
        <v>13.5</v>
      </c>
      <c r="N32">
        <f t="array" ref="N32">MEDIAN(IF($C$3:$C$29=$C32,N$3:N$29,""))</f>
        <v>10.65</v>
      </c>
      <c r="O32">
        <f t="array" ref="O32">MEDIAN(IF($C$3:$C$29=$C32,O$3:O$29,""))</f>
        <v>8.5500000000000007</v>
      </c>
      <c r="P32">
        <f t="array" ref="P32">MEDIAN(IF($C$3:$C$29=$C32,P$3:P$29,""))</f>
        <v>7.9</v>
      </c>
      <c r="Q32">
        <f t="array" ref="Q32">MEDIAN(IF($C$3:$C$29=$C32,Q$3:Q$29,""))</f>
        <v>7.95</v>
      </c>
      <c r="R32">
        <f t="array" ref="R32">MEDIAN(IF($C$3:$C$29=$C32,R$3:R$29,""))</f>
        <v>9.5</v>
      </c>
      <c r="S32">
        <f t="array" ref="S32">MEDIAN(IF($C$3:$C$29=$C32,S$3:S$29,""))</f>
        <v>8.6999999999999993</v>
      </c>
      <c r="T32">
        <f t="array" ref="T32">MEDIAN(IF($C$3:$C$29=$C32,T$3:T$29,""))</f>
        <v>8.75</v>
      </c>
      <c r="U32">
        <f t="array" ref="U32">MEDIAN(IF($C$3:$C$29=$C32,U$3:U$29,""))</f>
        <v>8</v>
      </c>
      <c r="V32">
        <f t="array" ref="V32">MEDIAN(IF($C$3:$C$29=$C32,V$3:V$29,""))</f>
        <v>9.3500000000000014</v>
      </c>
      <c r="W32">
        <f t="array" ref="W32">MEDIAN(IF($C$3:$C$29=$C32,W$3:W$29,""))</f>
        <v>14.85</v>
      </c>
      <c r="X32">
        <f t="array" ref="X32">MEDIAN(IF($C$3:$C$29=$C32,X$3:X$29,""))</f>
        <v>15.2</v>
      </c>
      <c r="Y32">
        <f t="array" ref="Y32">MEDIAN(IF($C$3:$C$29=$C32,Y$3:Y$29,""))</f>
        <v>17.55</v>
      </c>
      <c r="Z32">
        <f t="array" ref="Z32">MEDIAN(IF($C$3:$C$29=$C32,Z$3:Z$29,""))</f>
        <v>17.25</v>
      </c>
      <c r="AA32">
        <f t="array" ref="AA32">MEDIAN(IF($C$3:$C$29=$C32,AA$3:AA$29,""))</f>
        <v>21</v>
      </c>
    </row>
    <row r="33" spans="3:27" x14ac:dyDescent="0.25">
      <c r="C33">
        <v>3</v>
      </c>
      <c r="D33">
        <f t="array" ref="D33">MEDIAN(IF($C$3:$C$29=$C33,D$3:D$29,""))</f>
        <v>25.35</v>
      </c>
      <c r="E33">
        <f t="array" ref="E33">MEDIAN(IF($C$3:$C$29=$C33,E$3:E$29,""))</f>
        <v>28.299999999999997</v>
      </c>
      <c r="F33">
        <f t="array" ref="F33">MEDIAN(IF($C$3:$C$29=$C33,F$3:F$29,""))</f>
        <v>31.6</v>
      </c>
      <c r="G33">
        <f t="array" ref="G33">MEDIAN(IF($C$3:$C$29=$C33,G$3:G$29,""))</f>
        <v>32.950000000000003</v>
      </c>
      <c r="H33">
        <f t="array" ref="H33">MEDIAN(IF($C$3:$C$29=$C33,H$3:H$29,""))</f>
        <v>23.4</v>
      </c>
      <c r="I33">
        <f t="array" ref="I33">MEDIAN(IF($C$3:$C$29=$C33,I$3:I$29,""))</f>
        <v>18.899999999999999</v>
      </c>
      <c r="J33">
        <f t="array" ref="J33">MEDIAN(IF($C$3:$C$29=$C33,J$3:J$29,""))</f>
        <v>12.2</v>
      </c>
      <c r="K33">
        <f t="array" ref="K33">MEDIAN(IF($C$3:$C$29=$C33,K$3:K$29,""))</f>
        <v>13.149999999999999</v>
      </c>
      <c r="L33">
        <f t="array" ref="L33">MEDIAN(IF($C$3:$C$29=$C33,L$3:L$29,""))</f>
        <v>15.350000000000001</v>
      </c>
      <c r="M33">
        <f t="array" ref="M33">MEDIAN(IF($C$3:$C$29=$C33,M$3:M$29,""))</f>
        <v>13.899999999999999</v>
      </c>
      <c r="N33">
        <f t="array" ref="N33">MEDIAN(IF($C$3:$C$29=$C33,N$3:N$29,""))</f>
        <v>14</v>
      </c>
      <c r="O33">
        <f t="array" ref="O33">MEDIAN(IF($C$3:$C$29=$C33,O$3:O$29,""))</f>
        <v>12.35</v>
      </c>
      <c r="P33">
        <f t="array" ref="P33">MEDIAN(IF($C$3:$C$29=$C33,P$3:P$29,""))</f>
        <v>11.399999999999999</v>
      </c>
      <c r="Q33">
        <f t="array" ref="Q33">MEDIAN(IF($C$3:$C$29=$C33,Q$3:Q$29,""))</f>
        <v>13.2</v>
      </c>
      <c r="R33">
        <f t="array" ref="R33">MEDIAN(IF($C$3:$C$29=$C33,R$3:R$29,""))</f>
        <v>13.1</v>
      </c>
      <c r="S33">
        <f t="array" ref="S33">MEDIAN(IF($C$3:$C$29=$C33,S$3:S$29,""))</f>
        <v>12</v>
      </c>
      <c r="T33">
        <f t="array" ref="T33">MEDIAN(IF($C$3:$C$29=$C33,T$3:T$29,""))</f>
        <v>12.35</v>
      </c>
      <c r="U33">
        <f t="array" ref="U33">MEDIAN(IF($C$3:$C$29=$C33,U$3:U$29,""))</f>
        <v>12.75</v>
      </c>
      <c r="V33">
        <f t="array" ref="V33">MEDIAN(IF($C$3:$C$29=$C33,V$3:V$29,""))</f>
        <v>14.7</v>
      </c>
      <c r="W33">
        <f t="array" ref="W33">MEDIAN(IF($C$3:$C$29=$C33,W$3:W$29,""))</f>
        <v>17.45</v>
      </c>
      <c r="X33">
        <f t="array" ref="X33">MEDIAN(IF($C$3:$C$29=$C33,X$3:X$29,""))</f>
        <v>17</v>
      </c>
      <c r="Y33">
        <f t="array" ref="Y33">MEDIAN(IF($C$3:$C$29=$C33,Y$3:Y$29,""))</f>
        <v>18.649999999999999</v>
      </c>
      <c r="Z33">
        <f t="array" ref="Z33">MEDIAN(IF($C$3:$C$29=$C33,Z$3:Z$29,""))</f>
        <v>21.799999999999997</v>
      </c>
      <c r="AA33">
        <f t="array" ref="AA33">MEDIAN(IF($C$3:$C$29=$C33,AA$3:AA$29,""))</f>
        <v>23.5</v>
      </c>
    </row>
    <row r="34" spans="3:27" x14ac:dyDescent="0.25">
      <c r="C34">
        <v>4</v>
      </c>
      <c r="D34">
        <f t="array" ref="D34">MEDIAN(IF($C$3:$C$29=$C34,D$3:D$29,""))</f>
        <v>25.95</v>
      </c>
      <c r="E34">
        <f t="array" ref="E34">MEDIAN(IF($C$3:$C$29=$C34,E$3:E$29,""))</f>
        <v>24.85</v>
      </c>
      <c r="F34">
        <f t="array" ref="F34">MEDIAN(IF($C$3:$C$29=$C34,F$3:F$29,""))</f>
        <v>36.9</v>
      </c>
      <c r="G34">
        <f t="array" ref="G34">MEDIAN(IF($C$3:$C$29=$C34,G$3:G$29,""))</f>
        <v>33.25</v>
      </c>
      <c r="H34">
        <f t="array" ref="H34">MEDIAN(IF($C$3:$C$29=$C34,H$3:H$29,""))</f>
        <v>22.35</v>
      </c>
      <c r="I34">
        <f t="array" ref="I34">MEDIAN(IF($C$3:$C$29=$C34,I$3:I$29,""))</f>
        <v>18.899999999999999</v>
      </c>
      <c r="J34">
        <f t="array" ref="J34">MEDIAN(IF($C$3:$C$29=$C34,J$3:J$29,""))</f>
        <v>12.75</v>
      </c>
      <c r="K34">
        <f t="array" ref="K34">MEDIAN(IF($C$3:$C$29=$C34,K$3:K$29,""))</f>
        <v>12.55</v>
      </c>
      <c r="L34">
        <f t="array" ref="L34">MEDIAN(IF($C$3:$C$29=$C34,L$3:L$29,""))</f>
        <v>13.7</v>
      </c>
      <c r="M34">
        <f t="array" ref="M34">MEDIAN(IF($C$3:$C$29=$C34,M$3:M$29,""))</f>
        <v>13.95</v>
      </c>
      <c r="N34">
        <f t="array" ref="N34">MEDIAN(IF($C$3:$C$29=$C34,N$3:N$29,""))</f>
        <v>12.8</v>
      </c>
      <c r="O34">
        <f t="array" ref="O34">MEDIAN(IF($C$3:$C$29=$C34,O$3:O$29,""))</f>
        <v>11.95</v>
      </c>
      <c r="P34">
        <f t="array" ref="P34">MEDIAN(IF($C$3:$C$29=$C34,P$3:P$29,""))</f>
        <v>9</v>
      </c>
      <c r="Q34">
        <f t="array" ref="Q34">MEDIAN(IF($C$3:$C$29=$C34,Q$3:Q$29,""))</f>
        <v>11.15</v>
      </c>
      <c r="R34">
        <f t="array" ref="R34">MEDIAN(IF($C$3:$C$29=$C34,R$3:R$29,""))</f>
        <v>13.45</v>
      </c>
      <c r="S34">
        <f t="array" ref="S34">MEDIAN(IF($C$3:$C$29=$C34,S$3:S$29,""))</f>
        <v>10.65</v>
      </c>
      <c r="T34">
        <f t="array" ref="T34">MEDIAN(IF($C$3:$C$29=$C34,T$3:T$29,""))</f>
        <v>11.2</v>
      </c>
      <c r="U34">
        <f t="array" ref="U34">MEDIAN(IF($C$3:$C$29=$C34,U$3:U$29,""))</f>
        <v>13.65</v>
      </c>
      <c r="V34">
        <f t="array" ref="V34">MEDIAN(IF($C$3:$C$29=$C34,V$3:V$29,""))</f>
        <v>14.350000000000001</v>
      </c>
      <c r="W34">
        <f t="array" ref="W34">MEDIAN(IF($C$3:$C$29=$C34,W$3:W$29,""))</f>
        <v>15.65</v>
      </c>
      <c r="X34">
        <f t="array" ref="X34">MEDIAN(IF($C$3:$C$29=$C34,X$3:X$29,""))</f>
        <v>15.95</v>
      </c>
      <c r="Y34">
        <f t="array" ref="Y34">MEDIAN(IF($C$3:$C$29=$C34,Y$3:Y$29,""))</f>
        <v>18.399999999999999</v>
      </c>
      <c r="Z34">
        <f t="array" ref="Z34">MEDIAN(IF($C$3:$C$29=$C34,Z$3:Z$29,""))</f>
        <v>20.350000000000001</v>
      </c>
      <c r="AA34">
        <f t="array" ref="AA34">MEDIAN(IF($C$3:$C$29=$C34,AA$3:AA$29,""))</f>
        <v>22.799999999999997</v>
      </c>
    </row>
    <row r="35" spans="3:27" x14ac:dyDescent="0.25">
      <c r="C35">
        <v>5</v>
      </c>
      <c r="D35">
        <f t="array" ref="D35">MEDIAN(IF($C$3:$C$29=$C35,D$3:D$29,""))</f>
        <v>26.3</v>
      </c>
      <c r="E35">
        <f t="array" ref="E35">MEDIAN(IF($C$3:$C$29=$C35,E$3:E$29,""))</f>
        <v>31.95</v>
      </c>
      <c r="F35">
        <f t="array" ref="F35">MEDIAN(IF($C$3:$C$29=$C35,F$3:F$29,""))</f>
        <v>42.8</v>
      </c>
      <c r="G35">
        <f t="array" ref="G35">MEDIAN(IF($C$3:$C$29=$C35,G$3:G$29,""))</f>
        <v>33.150000000000006</v>
      </c>
      <c r="H35">
        <f t="array" ref="H35">MEDIAN(IF($C$3:$C$29=$C35,H$3:H$29,""))</f>
        <v>24.25</v>
      </c>
      <c r="I35">
        <f t="array" ref="I35">MEDIAN(IF($C$3:$C$29=$C35,I$3:I$29,""))</f>
        <v>20</v>
      </c>
      <c r="J35">
        <f t="array" ref="J35">MEDIAN(IF($C$3:$C$29=$C35,J$3:J$29,""))</f>
        <v>13.399999999999999</v>
      </c>
      <c r="K35">
        <f t="array" ref="K35">MEDIAN(IF($C$3:$C$29=$C35,K$3:K$29,""))</f>
        <v>12.600000000000001</v>
      </c>
      <c r="L35">
        <f t="array" ref="L35">MEDIAN(IF($C$3:$C$29=$C35,L$3:L$29,""))</f>
        <v>14.5</v>
      </c>
      <c r="M35">
        <f t="array" ref="M35">MEDIAN(IF($C$3:$C$29=$C35,M$3:M$29,""))</f>
        <v>14.45</v>
      </c>
      <c r="N35">
        <f t="array" ref="N35">MEDIAN(IF($C$3:$C$29=$C35,N$3:N$29,""))</f>
        <v>11.75</v>
      </c>
      <c r="O35">
        <f t="array" ref="O35">MEDIAN(IF($C$3:$C$29=$C35,O$3:O$29,""))</f>
        <v>12.350000000000001</v>
      </c>
      <c r="P35">
        <f t="array" ref="P35">MEDIAN(IF($C$3:$C$29=$C35,P$3:P$29,""))</f>
        <v>10.350000000000001</v>
      </c>
      <c r="Q35">
        <f t="array" ref="Q35">MEDIAN(IF($C$3:$C$29=$C35,Q$3:Q$29,""))</f>
        <v>11.4</v>
      </c>
      <c r="R35">
        <f t="array" ref="R35">MEDIAN(IF($C$3:$C$29=$C35,R$3:R$29,""))</f>
        <v>12.9</v>
      </c>
      <c r="S35">
        <f t="array" ref="S35">MEDIAN(IF($C$3:$C$29=$C35,S$3:S$29,""))</f>
        <v>13.6</v>
      </c>
      <c r="T35">
        <f t="array" ref="T35">MEDIAN(IF($C$3:$C$29=$C35,T$3:T$29,""))</f>
        <v>12.5</v>
      </c>
      <c r="U35">
        <f t="array" ref="U35">MEDIAN(IF($C$3:$C$29=$C35,U$3:U$29,""))</f>
        <v>14</v>
      </c>
      <c r="V35">
        <f t="array" ref="V35">MEDIAN(IF($C$3:$C$29=$C35,V$3:V$29,""))</f>
        <v>13.95</v>
      </c>
      <c r="W35">
        <f t="array" ref="W35">MEDIAN(IF($C$3:$C$29=$C35,W$3:W$29,""))</f>
        <v>16.2</v>
      </c>
      <c r="X35">
        <f t="array" ref="X35">MEDIAN(IF($C$3:$C$29=$C35,X$3:X$29,""))</f>
        <v>16.25</v>
      </c>
      <c r="Y35">
        <f t="array" ref="Y35">MEDIAN(IF($C$3:$C$29=$C35,Y$3:Y$29,""))</f>
        <v>18</v>
      </c>
      <c r="Z35">
        <f t="array" ref="Z35">MEDIAN(IF($C$3:$C$29=$C35,Z$3:Z$29,""))</f>
        <v>19.75</v>
      </c>
      <c r="AA35">
        <f t="array" ref="AA35">MEDIAN(IF($C$3:$C$29=$C35,AA$3:AA$29,""))</f>
        <v>23.1</v>
      </c>
    </row>
    <row r="36" spans="3:27" x14ac:dyDescent="0.25">
      <c r="C36">
        <v>6</v>
      </c>
      <c r="D36">
        <f t="array" ref="D36">MEDIAN(IF($C$3:$C$29=$C36,D$3:D$29,""))</f>
        <v>25.1</v>
      </c>
      <c r="E36">
        <f t="array" ref="E36">MEDIAN(IF($C$3:$C$29=$C36,E$3:E$29,""))</f>
        <v>33.299999999999997</v>
      </c>
      <c r="F36">
        <f t="array" ref="F36">MEDIAN(IF($C$3:$C$29=$C36,F$3:F$29,""))</f>
        <v>34.6</v>
      </c>
      <c r="G36">
        <f t="array" ref="G36">MEDIAN(IF($C$3:$C$29=$C36,G$3:G$29,""))</f>
        <v>32.9</v>
      </c>
      <c r="H36">
        <f t="array" ref="H36">MEDIAN(IF($C$3:$C$29=$C36,H$3:H$29,""))</f>
        <v>23.2</v>
      </c>
      <c r="I36">
        <f t="array" ref="I36">MEDIAN(IF($C$3:$C$29=$C36,I$3:I$29,""))</f>
        <v>19.2</v>
      </c>
      <c r="J36">
        <f t="array" ref="J36">MEDIAN(IF($C$3:$C$29=$C36,J$3:J$29,""))</f>
        <v>15.3</v>
      </c>
      <c r="K36">
        <f t="array" ref="K36">MEDIAN(IF($C$3:$C$29=$C36,K$3:K$29,""))</f>
        <v>12.8</v>
      </c>
      <c r="L36">
        <f t="array" ref="L36">MEDIAN(IF($C$3:$C$29=$C36,L$3:L$29,""))</f>
        <v>14.9</v>
      </c>
      <c r="M36">
        <f t="array" ref="M36">MEDIAN(IF($C$3:$C$29=$C36,M$3:M$29,""))</f>
        <v>13</v>
      </c>
      <c r="N36">
        <f t="array" ref="N36">MEDIAN(IF($C$3:$C$29=$C36,N$3:N$29,""))</f>
        <v>12.1</v>
      </c>
      <c r="O36">
        <f t="array" ref="O36">MEDIAN(IF($C$3:$C$29=$C36,O$3:O$29,""))</f>
        <v>13</v>
      </c>
      <c r="P36">
        <f t="array" ref="P36">MEDIAN(IF($C$3:$C$29=$C36,P$3:P$29,""))</f>
        <v>11.4</v>
      </c>
      <c r="Q36">
        <f t="array" ref="Q36">MEDIAN(IF($C$3:$C$29=$C36,Q$3:Q$29,""))</f>
        <v>11.7</v>
      </c>
      <c r="R36">
        <f t="array" ref="R36">MEDIAN(IF($C$3:$C$29=$C36,R$3:R$29,""))</f>
        <v>13.7</v>
      </c>
      <c r="S36">
        <f t="array" ref="S36">MEDIAN(IF($C$3:$C$29=$C36,S$3:S$29,""))</f>
        <v>12.8</v>
      </c>
      <c r="T36">
        <f t="array" ref="T36">MEDIAN(IF($C$3:$C$29=$C36,T$3:T$29,""))</f>
        <v>12.8</v>
      </c>
      <c r="U36">
        <f t="array" ref="U36">MEDIAN(IF($C$3:$C$29=$C36,U$3:U$29,""))</f>
        <v>13.7</v>
      </c>
      <c r="V36">
        <f t="array" ref="V36">MEDIAN(IF($C$3:$C$29=$C36,V$3:V$29,""))</f>
        <v>13.2</v>
      </c>
      <c r="W36">
        <f t="array" ref="W36">MEDIAN(IF($C$3:$C$29=$C36,W$3:W$29,""))</f>
        <v>14.7</v>
      </c>
      <c r="X36">
        <f t="array" ref="X36">MEDIAN(IF($C$3:$C$29=$C36,X$3:X$29,""))</f>
        <v>16.5</v>
      </c>
      <c r="Y36">
        <f t="array" ref="Y36">MEDIAN(IF($C$3:$C$29=$C36,Y$3:Y$29,""))</f>
        <v>16.5</v>
      </c>
      <c r="Z36">
        <f t="array" ref="Z36">MEDIAN(IF($C$3:$C$29=$C36,Z$3:Z$29,""))</f>
        <v>20.3</v>
      </c>
      <c r="AA36">
        <f t="array" ref="AA36">MEDIAN(IF($C$3:$C$29=$C36,AA$3:AA$29,""))</f>
        <v>22.5</v>
      </c>
    </row>
    <row r="37" spans="3:27" x14ac:dyDescent="0.25">
      <c r="C37">
        <v>7</v>
      </c>
      <c r="D37">
        <f t="array" ref="D37">MEDIAN(IF($C$3:$C$29=$C37,D$3:D$29,""))</f>
        <v>25.5</v>
      </c>
      <c r="E37">
        <f t="array" ref="E37">MEDIAN(IF($C$3:$C$29=$C37,E$3:E$29,""))</f>
        <v>29.5</v>
      </c>
      <c r="F37">
        <f t="array" ref="F37">MEDIAN(IF($C$3:$C$29=$C37,F$3:F$29,""))</f>
        <v>36</v>
      </c>
      <c r="G37">
        <f t="array" ref="G37">MEDIAN(IF($C$3:$C$29=$C37,G$3:G$29,""))</f>
        <v>35.25</v>
      </c>
      <c r="H37">
        <f t="array" ref="H37">MEDIAN(IF($C$3:$C$29=$C37,H$3:H$29,""))</f>
        <v>23.15</v>
      </c>
      <c r="I37">
        <f t="array" ref="I37">MEDIAN(IF($C$3:$C$29=$C37,I$3:I$29,""))</f>
        <v>19</v>
      </c>
      <c r="J37">
        <f t="array" ref="J37">MEDIAN(IF($C$3:$C$29=$C37,J$3:J$29,""))</f>
        <v>14.2</v>
      </c>
      <c r="K37">
        <f t="array" ref="K37">MEDIAN(IF($C$3:$C$29=$C37,K$3:K$29,""))</f>
        <v>13.899999999999999</v>
      </c>
      <c r="L37">
        <f t="array" ref="L37">MEDIAN(IF($C$3:$C$29=$C37,L$3:L$29,""))</f>
        <v>14.6</v>
      </c>
      <c r="M37">
        <f t="array" ref="M37">MEDIAN(IF($C$3:$C$29=$C37,M$3:M$29,""))</f>
        <v>13.7</v>
      </c>
      <c r="N37">
        <f t="array" ref="N37">MEDIAN(IF($C$3:$C$29=$C37,N$3:N$29,""))</f>
        <v>10.899999999999999</v>
      </c>
      <c r="O37">
        <f t="array" ref="O37">MEDIAN(IF($C$3:$C$29=$C37,O$3:O$29,""))</f>
        <v>12.649999999999999</v>
      </c>
      <c r="P37">
        <f t="array" ref="P37">MEDIAN(IF($C$3:$C$29=$C37,P$3:P$29,""))</f>
        <v>11.100000000000001</v>
      </c>
      <c r="Q37">
        <f t="array" ref="Q37">MEDIAN(IF($C$3:$C$29=$C37,Q$3:Q$29,""))</f>
        <v>12.149999999999999</v>
      </c>
      <c r="R37">
        <f t="array" ref="R37">MEDIAN(IF($C$3:$C$29=$C37,R$3:R$29,""))</f>
        <v>11.8</v>
      </c>
      <c r="S37">
        <f t="array" ref="S37">MEDIAN(IF($C$3:$C$29=$C37,S$3:S$29,""))</f>
        <v>12.3</v>
      </c>
      <c r="T37">
        <f t="array" ref="T37">MEDIAN(IF($C$3:$C$29=$C37,T$3:T$29,""))</f>
        <v>10.050000000000001</v>
      </c>
      <c r="U37">
        <f t="array" ref="U37">MEDIAN(IF($C$3:$C$29=$C37,U$3:U$29,""))</f>
        <v>12.100000000000001</v>
      </c>
      <c r="V37">
        <f t="array" ref="V37">MEDIAN(IF($C$3:$C$29=$C37,V$3:V$29,""))</f>
        <v>14</v>
      </c>
      <c r="W37">
        <f t="array" ref="W37">MEDIAN(IF($C$3:$C$29=$C37,W$3:W$29,""))</f>
        <v>15.149999999999999</v>
      </c>
      <c r="X37">
        <f t="array" ref="X37">MEDIAN(IF($C$3:$C$29=$C37,X$3:X$29,""))</f>
        <v>13</v>
      </c>
      <c r="Y37">
        <f t="array" ref="Y37">MEDIAN(IF($C$3:$C$29=$C37,Y$3:Y$29,""))</f>
        <v>16.649999999999999</v>
      </c>
      <c r="Z37">
        <f t="array" ref="Z37">MEDIAN(IF($C$3:$C$29=$C37,Z$3:Z$29,""))</f>
        <v>17.100000000000001</v>
      </c>
      <c r="AA37">
        <f t="array" ref="AA37">MEDIAN(IF($C$3:$C$29=$C37,AA$3:AA$29,""))</f>
        <v>22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AA37"/>
  <sheetViews>
    <sheetView workbookViewId="0">
      <selection activeCell="G31" sqref="G31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22.2</v>
      </c>
      <c r="E3">
        <v>30.9</v>
      </c>
      <c r="F3">
        <v>33.200000000000003</v>
      </c>
      <c r="G3">
        <v>45.8</v>
      </c>
      <c r="H3">
        <v>25.2</v>
      </c>
      <c r="I3">
        <v>17.100000000000001</v>
      </c>
      <c r="J3">
        <v>10.8</v>
      </c>
      <c r="K3">
        <v>10.8</v>
      </c>
      <c r="L3">
        <v>12.8</v>
      </c>
      <c r="M3">
        <v>13</v>
      </c>
      <c r="N3">
        <v>6.4</v>
      </c>
      <c r="O3">
        <v>6.3</v>
      </c>
      <c r="P3">
        <v>4.8</v>
      </c>
      <c r="Q3">
        <v>7.7</v>
      </c>
      <c r="R3">
        <v>11.7</v>
      </c>
      <c r="S3">
        <v>10.7</v>
      </c>
      <c r="T3">
        <v>8.3000000000000007</v>
      </c>
      <c r="U3">
        <v>9.1999999999999993</v>
      </c>
      <c r="V3">
        <v>12.1</v>
      </c>
      <c r="W3">
        <v>13.4</v>
      </c>
      <c r="X3">
        <v>9.4</v>
      </c>
      <c r="Y3">
        <v>14.8</v>
      </c>
      <c r="Z3">
        <v>15.4</v>
      </c>
      <c r="AA3">
        <v>18.5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16.8</v>
      </c>
      <c r="E4">
        <v>24.6</v>
      </c>
      <c r="F4">
        <v>29.6</v>
      </c>
      <c r="G4">
        <v>29.5</v>
      </c>
      <c r="H4">
        <v>20.100000000000001</v>
      </c>
      <c r="I4">
        <v>20.3</v>
      </c>
      <c r="J4">
        <v>17.399999999999999</v>
      </c>
      <c r="K4">
        <v>14.4</v>
      </c>
      <c r="L4">
        <v>13.7</v>
      </c>
      <c r="M4">
        <v>10.7</v>
      </c>
      <c r="N4">
        <v>8.6</v>
      </c>
      <c r="O4">
        <v>4.4000000000000004</v>
      </c>
      <c r="P4">
        <v>6.4</v>
      </c>
      <c r="Q4">
        <v>3.9</v>
      </c>
      <c r="R4">
        <v>5.5</v>
      </c>
      <c r="S4">
        <v>4.7</v>
      </c>
      <c r="T4">
        <v>7</v>
      </c>
      <c r="U4">
        <v>8.8000000000000007</v>
      </c>
      <c r="V4">
        <v>8.8000000000000007</v>
      </c>
      <c r="W4">
        <v>10.1</v>
      </c>
      <c r="X4">
        <v>8.8000000000000007</v>
      </c>
      <c r="Y4">
        <v>14.6</v>
      </c>
      <c r="Z4">
        <v>17.399999999999999</v>
      </c>
      <c r="AA4">
        <v>18.600000000000001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18.600000000000001</v>
      </c>
      <c r="E5">
        <v>17.7</v>
      </c>
      <c r="F5">
        <v>27.1</v>
      </c>
      <c r="G5">
        <v>28.5</v>
      </c>
      <c r="H5">
        <v>26</v>
      </c>
      <c r="I5">
        <v>25.1</v>
      </c>
      <c r="J5">
        <v>20.7</v>
      </c>
      <c r="K5">
        <v>20.2</v>
      </c>
      <c r="L5">
        <v>15.2</v>
      </c>
      <c r="M5">
        <v>12.2</v>
      </c>
      <c r="N5">
        <v>11.5</v>
      </c>
      <c r="O5">
        <v>11.6</v>
      </c>
      <c r="P5">
        <v>10.4</v>
      </c>
      <c r="Q5">
        <v>12.9</v>
      </c>
      <c r="R5">
        <v>16.899999999999999</v>
      </c>
      <c r="S5">
        <v>17.399999999999999</v>
      </c>
      <c r="T5">
        <v>16.5</v>
      </c>
      <c r="U5">
        <v>14.2</v>
      </c>
      <c r="V5">
        <v>14.7</v>
      </c>
      <c r="W5">
        <v>14.9</v>
      </c>
      <c r="X5">
        <v>15.3</v>
      </c>
      <c r="Y5">
        <v>14.7</v>
      </c>
      <c r="Z5">
        <v>18.399999999999999</v>
      </c>
      <c r="AA5">
        <v>21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21.7</v>
      </c>
      <c r="E6">
        <v>30.5</v>
      </c>
      <c r="F6">
        <v>46.1</v>
      </c>
      <c r="G6">
        <v>35</v>
      </c>
      <c r="H6">
        <v>23.1</v>
      </c>
      <c r="I6">
        <v>16.899999999999999</v>
      </c>
      <c r="J6">
        <v>7.7</v>
      </c>
      <c r="K6">
        <v>6.7</v>
      </c>
      <c r="L6">
        <v>14.3</v>
      </c>
      <c r="M6">
        <v>11.5</v>
      </c>
      <c r="N6">
        <v>9</v>
      </c>
      <c r="O6">
        <v>9.1</v>
      </c>
      <c r="P6">
        <v>6.6</v>
      </c>
      <c r="Q6">
        <v>3.2</v>
      </c>
      <c r="R6">
        <v>7</v>
      </c>
      <c r="S6">
        <v>5.7</v>
      </c>
      <c r="T6">
        <v>6</v>
      </c>
      <c r="U6">
        <v>10.3</v>
      </c>
      <c r="V6">
        <v>12</v>
      </c>
      <c r="W6">
        <v>15.4</v>
      </c>
      <c r="X6">
        <v>16.100000000000001</v>
      </c>
      <c r="Y6">
        <v>18.100000000000001</v>
      </c>
      <c r="Z6">
        <v>17.600000000000001</v>
      </c>
      <c r="AA6">
        <v>22.7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23.1</v>
      </c>
      <c r="E7">
        <v>24.3</v>
      </c>
      <c r="F7">
        <v>38.1</v>
      </c>
      <c r="G7">
        <v>30.7</v>
      </c>
      <c r="H7">
        <v>22.6</v>
      </c>
      <c r="I7">
        <v>17.5</v>
      </c>
      <c r="J7">
        <v>9.1</v>
      </c>
      <c r="K7">
        <v>10.1</v>
      </c>
      <c r="L7">
        <v>13.7</v>
      </c>
      <c r="M7">
        <v>12</v>
      </c>
      <c r="N7">
        <v>8.4</v>
      </c>
      <c r="O7">
        <v>8.9</v>
      </c>
      <c r="P7">
        <v>5.3</v>
      </c>
      <c r="Q7">
        <v>5.5</v>
      </c>
      <c r="R7">
        <v>3.2</v>
      </c>
      <c r="S7">
        <v>4.9000000000000004</v>
      </c>
      <c r="T7">
        <v>10.7</v>
      </c>
      <c r="U7">
        <v>11.2</v>
      </c>
      <c r="V7">
        <v>12.1</v>
      </c>
      <c r="W7">
        <v>12.6</v>
      </c>
      <c r="X7">
        <v>12.6</v>
      </c>
      <c r="Y7">
        <v>15.5</v>
      </c>
      <c r="Z7">
        <v>16.2</v>
      </c>
      <c r="AA7">
        <v>20.8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25.4</v>
      </c>
      <c r="E8">
        <v>28.7</v>
      </c>
      <c r="F8">
        <v>39.5</v>
      </c>
      <c r="G8">
        <v>33.299999999999997</v>
      </c>
      <c r="H8">
        <v>24.4</v>
      </c>
      <c r="I8">
        <v>17.600000000000001</v>
      </c>
      <c r="J8">
        <v>9.1</v>
      </c>
      <c r="K8">
        <v>9.6</v>
      </c>
      <c r="L8">
        <v>12.1</v>
      </c>
      <c r="M8">
        <v>12.1</v>
      </c>
      <c r="N8">
        <v>6.6</v>
      </c>
      <c r="O8">
        <v>6.4</v>
      </c>
      <c r="P8">
        <v>3.9</v>
      </c>
      <c r="Q8">
        <v>3.2</v>
      </c>
      <c r="R8">
        <v>4.7</v>
      </c>
      <c r="S8">
        <v>8.6999999999999993</v>
      </c>
      <c r="T8">
        <v>4.0999999999999996</v>
      </c>
      <c r="U8">
        <v>12.2</v>
      </c>
      <c r="V8">
        <v>12.4</v>
      </c>
      <c r="W8">
        <v>14.4</v>
      </c>
      <c r="X8">
        <v>10.3</v>
      </c>
      <c r="Y8">
        <v>15.8</v>
      </c>
      <c r="Z8">
        <v>16.7</v>
      </c>
      <c r="AA8">
        <v>19.899999999999999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22.9</v>
      </c>
      <c r="E9">
        <v>35.700000000000003</v>
      </c>
      <c r="F9">
        <v>31.7</v>
      </c>
      <c r="G9">
        <v>41.9</v>
      </c>
      <c r="H9">
        <v>24.7</v>
      </c>
      <c r="I9">
        <v>17.7</v>
      </c>
      <c r="J9">
        <v>9.1</v>
      </c>
      <c r="K9">
        <v>10</v>
      </c>
      <c r="L9">
        <v>12.9</v>
      </c>
      <c r="M9">
        <v>11.9</v>
      </c>
      <c r="N9">
        <v>10.8</v>
      </c>
      <c r="O9">
        <v>11.1</v>
      </c>
      <c r="P9">
        <v>9.8000000000000007</v>
      </c>
      <c r="Q9">
        <v>9.1</v>
      </c>
      <c r="R9">
        <v>8.9</v>
      </c>
      <c r="S9">
        <v>10.9</v>
      </c>
      <c r="T9">
        <v>9.9</v>
      </c>
      <c r="U9">
        <v>11</v>
      </c>
      <c r="V9">
        <v>10.9</v>
      </c>
      <c r="W9">
        <v>13.6</v>
      </c>
      <c r="X9">
        <v>13.6</v>
      </c>
      <c r="Y9">
        <v>16.600000000000001</v>
      </c>
      <c r="Z9">
        <v>18.2</v>
      </c>
      <c r="AA9">
        <v>20.5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22.4</v>
      </c>
      <c r="E10">
        <v>30.1</v>
      </c>
      <c r="F10">
        <v>38.1</v>
      </c>
      <c r="G10">
        <v>37.6</v>
      </c>
      <c r="H10">
        <v>23.2</v>
      </c>
      <c r="I10">
        <v>19.600000000000001</v>
      </c>
      <c r="J10">
        <v>11.1</v>
      </c>
      <c r="K10">
        <v>11</v>
      </c>
      <c r="L10">
        <v>12.6</v>
      </c>
      <c r="M10">
        <v>11.6</v>
      </c>
      <c r="N10">
        <v>10.1</v>
      </c>
      <c r="O10">
        <v>9.1</v>
      </c>
      <c r="P10">
        <v>8.3000000000000007</v>
      </c>
      <c r="Q10">
        <v>9.8000000000000007</v>
      </c>
      <c r="R10">
        <v>10.1</v>
      </c>
      <c r="S10">
        <v>9.5</v>
      </c>
      <c r="T10">
        <v>9.6</v>
      </c>
      <c r="U10">
        <v>10.9</v>
      </c>
      <c r="V10">
        <v>12.6</v>
      </c>
      <c r="W10">
        <v>12.7</v>
      </c>
      <c r="X10">
        <v>11.1</v>
      </c>
      <c r="Y10">
        <v>13.2</v>
      </c>
      <c r="Z10">
        <v>13.7</v>
      </c>
      <c r="AA10">
        <v>20.100000000000001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19.8</v>
      </c>
      <c r="E11">
        <v>29.8</v>
      </c>
      <c r="F11">
        <v>15.8</v>
      </c>
      <c r="G11">
        <v>32.5</v>
      </c>
      <c r="H11">
        <v>21.4</v>
      </c>
      <c r="I11">
        <v>19.899999999999999</v>
      </c>
      <c r="J11">
        <v>17.600000000000001</v>
      </c>
      <c r="K11">
        <v>14.7</v>
      </c>
      <c r="L11">
        <v>13.9</v>
      </c>
      <c r="M11">
        <v>11</v>
      </c>
      <c r="N11">
        <v>7.5</v>
      </c>
      <c r="O11">
        <v>8</v>
      </c>
      <c r="P11">
        <v>7.2</v>
      </c>
      <c r="Q11">
        <v>6.8</v>
      </c>
      <c r="R11">
        <v>8.3000000000000007</v>
      </c>
      <c r="S11">
        <v>7.4</v>
      </c>
      <c r="T11">
        <v>8</v>
      </c>
      <c r="U11">
        <v>7.7</v>
      </c>
      <c r="V11">
        <v>7.5</v>
      </c>
      <c r="W11">
        <v>12</v>
      </c>
      <c r="X11">
        <v>12.8</v>
      </c>
      <c r="Y11">
        <v>15.4</v>
      </c>
      <c r="Z11">
        <v>15.2</v>
      </c>
      <c r="AA11">
        <v>19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18.8</v>
      </c>
      <c r="E12">
        <v>27.1</v>
      </c>
      <c r="F12">
        <v>19.2</v>
      </c>
      <c r="G12">
        <v>36.200000000000003</v>
      </c>
      <c r="H12">
        <v>22.2</v>
      </c>
      <c r="I12">
        <v>22.7</v>
      </c>
      <c r="J12">
        <v>20.9</v>
      </c>
      <c r="K12">
        <v>19.2</v>
      </c>
      <c r="L12">
        <v>16.8</v>
      </c>
      <c r="M12">
        <v>14.4</v>
      </c>
      <c r="N12">
        <v>9.6</v>
      </c>
      <c r="O12">
        <v>11</v>
      </c>
      <c r="P12">
        <v>10.1</v>
      </c>
      <c r="Q12">
        <v>12</v>
      </c>
      <c r="R12">
        <v>13.8</v>
      </c>
      <c r="S12">
        <v>16.2</v>
      </c>
      <c r="T12">
        <v>14</v>
      </c>
      <c r="U12">
        <v>14.7</v>
      </c>
      <c r="V12">
        <v>17.600000000000001</v>
      </c>
      <c r="W12">
        <v>14.6</v>
      </c>
      <c r="X12">
        <v>12.2</v>
      </c>
      <c r="Y12">
        <v>12.9</v>
      </c>
      <c r="Z12">
        <v>16.100000000000001</v>
      </c>
      <c r="AA12">
        <v>18.5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22.7</v>
      </c>
      <c r="E13">
        <v>37.200000000000003</v>
      </c>
      <c r="F13">
        <v>40.9</v>
      </c>
      <c r="G13">
        <v>40.799999999999997</v>
      </c>
      <c r="H13">
        <v>23.3</v>
      </c>
      <c r="I13">
        <v>18.7</v>
      </c>
      <c r="J13">
        <v>7.7</v>
      </c>
      <c r="K13">
        <v>9.5</v>
      </c>
      <c r="L13">
        <v>12.3</v>
      </c>
      <c r="M13">
        <v>11.1</v>
      </c>
      <c r="N13">
        <v>10.5</v>
      </c>
      <c r="O13">
        <v>13.2</v>
      </c>
      <c r="P13">
        <v>10.199999999999999</v>
      </c>
      <c r="Q13">
        <v>10.6</v>
      </c>
      <c r="R13">
        <v>12.8</v>
      </c>
      <c r="S13">
        <v>10.9</v>
      </c>
      <c r="T13">
        <v>11.5</v>
      </c>
      <c r="U13">
        <v>11.3</v>
      </c>
      <c r="V13">
        <v>11.5</v>
      </c>
      <c r="W13">
        <v>14.5</v>
      </c>
      <c r="X13">
        <v>15.8</v>
      </c>
      <c r="Y13">
        <v>18.7</v>
      </c>
      <c r="Z13">
        <v>19.899999999999999</v>
      </c>
      <c r="AA13">
        <v>16.7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23.8</v>
      </c>
      <c r="E14">
        <v>20</v>
      </c>
      <c r="F14">
        <v>43.2</v>
      </c>
      <c r="G14">
        <v>34.9</v>
      </c>
      <c r="H14">
        <v>23.4</v>
      </c>
      <c r="I14">
        <v>18.899999999999999</v>
      </c>
      <c r="J14">
        <v>8.8000000000000007</v>
      </c>
      <c r="K14">
        <v>9.8000000000000007</v>
      </c>
      <c r="L14">
        <v>13</v>
      </c>
      <c r="M14">
        <v>12.8</v>
      </c>
      <c r="N14">
        <v>12.8</v>
      </c>
      <c r="O14">
        <v>12.3</v>
      </c>
      <c r="P14">
        <v>7.3</v>
      </c>
      <c r="Q14">
        <v>9</v>
      </c>
      <c r="R14">
        <v>12.5</v>
      </c>
      <c r="S14">
        <v>7.8</v>
      </c>
      <c r="T14">
        <v>9.3000000000000007</v>
      </c>
      <c r="U14">
        <v>10.6</v>
      </c>
      <c r="V14">
        <v>11.3</v>
      </c>
      <c r="W14">
        <v>12.8</v>
      </c>
      <c r="X14">
        <v>14.8</v>
      </c>
      <c r="Y14">
        <v>15.1</v>
      </c>
      <c r="Z14">
        <v>19.3</v>
      </c>
      <c r="AA14">
        <v>19.100000000000001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19.7</v>
      </c>
      <c r="E15">
        <v>30.5</v>
      </c>
      <c r="F15">
        <v>39.4</v>
      </c>
      <c r="G15">
        <v>34.799999999999997</v>
      </c>
      <c r="H15">
        <v>25</v>
      </c>
      <c r="I15">
        <v>20.2</v>
      </c>
      <c r="J15">
        <v>6.6</v>
      </c>
      <c r="K15">
        <v>4.0999999999999996</v>
      </c>
      <c r="L15">
        <v>8</v>
      </c>
      <c r="M15">
        <v>12.7</v>
      </c>
      <c r="N15">
        <v>11.9</v>
      </c>
      <c r="O15">
        <v>10.7</v>
      </c>
      <c r="P15">
        <v>10.1</v>
      </c>
      <c r="Q15">
        <v>10.1</v>
      </c>
      <c r="R15">
        <v>11.1</v>
      </c>
      <c r="S15">
        <v>11.1</v>
      </c>
      <c r="T15">
        <v>10.9</v>
      </c>
      <c r="U15">
        <v>11.2</v>
      </c>
      <c r="V15">
        <v>13</v>
      </c>
      <c r="W15">
        <v>12.8</v>
      </c>
      <c r="X15">
        <v>16.600000000000001</v>
      </c>
      <c r="Y15">
        <v>17.2</v>
      </c>
      <c r="Z15">
        <v>17.100000000000001</v>
      </c>
      <c r="AA15">
        <v>19.399999999999999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20.5</v>
      </c>
      <c r="E16">
        <v>31.7</v>
      </c>
      <c r="F16">
        <v>41.7</v>
      </c>
      <c r="G16">
        <v>36.799999999999997</v>
      </c>
      <c r="H16">
        <v>23.3</v>
      </c>
      <c r="I16">
        <v>17.100000000000001</v>
      </c>
      <c r="J16">
        <v>9</v>
      </c>
      <c r="K16">
        <v>12.5</v>
      </c>
      <c r="L16">
        <v>14.3</v>
      </c>
      <c r="M16">
        <v>13.3</v>
      </c>
      <c r="N16">
        <v>12.5</v>
      </c>
      <c r="O16">
        <v>9.9</v>
      </c>
      <c r="P16">
        <v>9.5</v>
      </c>
      <c r="Q16">
        <v>10.7</v>
      </c>
      <c r="R16">
        <v>10.4</v>
      </c>
      <c r="S16">
        <v>10.7</v>
      </c>
      <c r="T16">
        <v>10.9</v>
      </c>
      <c r="U16">
        <v>12.3</v>
      </c>
      <c r="V16">
        <v>11.8</v>
      </c>
      <c r="W16">
        <v>13.7</v>
      </c>
      <c r="X16">
        <v>14.5</v>
      </c>
      <c r="Y16">
        <v>16.399999999999999</v>
      </c>
      <c r="Z16">
        <v>19.899999999999999</v>
      </c>
      <c r="AA16">
        <v>19.7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20.2</v>
      </c>
      <c r="E17">
        <v>19.399999999999999</v>
      </c>
      <c r="F17">
        <v>38.5</v>
      </c>
      <c r="G17">
        <v>43.2</v>
      </c>
      <c r="H17">
        <v>21</v>
      </c>
      <c r="I17">
        <v>19</v>
      </c>
      <c r="J17">
        <v>8.6</v>
      </c>
      <c r="K17">
        <v>8</v>
      </c>
      <c r="L17">
        <v>12.7</v>
      </c>
      <c r="M17">
        <v>12.8</v>
      </c>
      <c r="N17">
        <v>7.9</v>
      </c>
      <c r="O17">
        <v>11.1</v>
      </c>
      <c r="P17">
        <v>10.8</v>
      </c>
      <c r="Q17">
        <v>10.6</v>
      </c>
      <c r="R17">
        <v>9.1</v>
      </c>
      <c r="S17">
        <v>9.6</v>
      </c>
      <c r="T17">
        <v>9.6</v>
      </c>
      <c r="U17">
        <v>10.6</v>
      </c>
      <c r="V17">
        <v>11.5</v>
      </c>
      <c r="W17">
        <v>13.5</v>
      </c>
      <c r="X17">
        <v>10.9</v>
      </c>
      <c r="Y17">
        <v>16.399999999999999</v>
      </c>
      <c r="Z17">
        <v>14.4</v>
      </c>
      <c r="AA17">
        <v>19.5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19.899999999999999</v>
      </c>
      <c r="E18">
        <v>27.7</v>
      </c>
      <c r="F18">
        <v>40.6</v>
      </c>
      <c r="G18">
        <v>30</v>
      </c>
      <c r="H18">
        <v>25.3</v>
      </c>
      <c r="I18">
        <v>18.2</v>
      </c>
      <c r="J18">
        <v>17.8</v>
      </c>
      <c r="K18">
        <v>16.399999999999999</v>
      </c>
      <c r="L18">
        <v>12.7</v>
      </c>
      <c r="M18">
        <v>13.1</v>
      </c>
      <c r="N18">
        <v>9</v>
      </c>
      <c r="O18">
        <v>9</v>
      </c>
      <c r="P18">
        <v>6.9</v>
      </c>
      <c r="Q18">
        <v>6.5</v>
      </c>
      <c r="R18">
        <v>7.9</v>
      </c>
      <c r="S18">
        <v>8.1999999999999993</v>
      </c>
      <c r="T18">
        <v>8.4</v>
      </c>
      <c r="U18">
        <v>8.4</v>
      </c>
      <c r="V18">
        <v>8.3000000000000007</v>
      </c>
      <c r="W18">
        <v>12</v>
      </c>
      <c r="X18">
        <v>14</v>
      </c>
      <c r="Y18">
        <v>15.5</v>
      </c>
      <c r="Z18">
        <v>14.8</v>
      </c>
      <c r="AA18">
        <v>18.5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22.9</v>
      </c>
      <c r="E19">
        <v>25.7</v>
      </c>
      <c r="F19">
        <v>22.1</v>
      </c>
      <c r="G19">
        <v>28.2</v>
      </c>
      <c r="H19">
        <v>26.5</v>
      </c>
      <c r="I19">
        <v>22.5</v>
      </c>
      <c r="J19">
        <v>19.2</v>
      </c>
      <c r="K19">
        <v>17</v>
      </c>
      <c r="L19">
        <v>14.9</v>
      </c>
      <c r="M19">
        <v>11</v>
      </c>
      <c r="N19">
        <v>11.3</v>
      </c>
      <c r="O19">
        <v>9.5</v>
      </c>
      <c r="P19">
        <v>9.1999999999999993</v>
      </c>
      <c r="Q19">
        <v>15.7</v>
      </c>
      <c r="R19">
        <v>13.2</v>
      </c>
      <c r="S19">
        <v>13.9</v>
      </c>
      <c r="T19">
        <v>16.3</v>
      </c>
      <c r="U19">
        <v>13.9</v>
      </c>
      <c r="V19">
        <v>14.9</v>
      </c>
      <c r="W19">
        <v>14.4</v>
      </c>
      <c r="X19">
        <v>14</v>
      </c>
      <c r="Y19">
        <v>13.1</v>
      </c>
      <c r="Z19">
        <v>21.5</v>
      </c>
      <c r="AA19">
        <v>23.7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24.3</v>
      </c>
      <c r="E20">
        <v>28.6</v>
      </c>
      <c r="F20">
        <v>23.6</v>
      </c>
      <c r="G20">
        <v>36.1</v>
      </c>
      <c r="H20">
        <v>24.1</v>
      </c>
      <c r="I20">
        <v>18.8</v>
      </c>
      <c r="J20">
        <v>8.6999999999999993</v>
      </c>
      <c r="K20">
        <v>9.1</v>
      </c>
      <c r="L20">
        <v>13.3</v>
      </c>
      <c r="M20">
        <v>12.6</v>
      </c>
      <c r="N20">
        <v>12</v>
      </c>
      <c r="O20">
        <v>9.1</v>
      </c>
      <c r="P20">
        <v>10.199999999999999</v>
      </c>
      <c r="Q20">
        <v>10.7</v>
      </c>
      <c r="R20">
        <v>10.6</v>
      </c>
      <c r="S20">
        <v>10.7</v>
      </c>
      <c r="T20">
        <v>11.3</v>
      </c>
      <c r="U20">
        <v>11</v>
      </c>
      <c r="V20">
        <v>13.1</v>
      </c>
      <c r="W20">
        <v>16</v>
      </c>
      <c r="X20">
        <v>15</v>
      </c>
      <c r="Y20">
        <v>17.8</v>
      </c>
      <c r="Z20">
        <v>21.5</v>
      </c>
      <c r="AA20">
        <v>19.899999999999999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26.2</v>
      </c>
      <c r="E21">
        <v>31.5</v>
      </c>
      <c r="F21">
        <v>37.4</v>
      </c>
      <c r="G21">
        <v>37.1</v>
      </c>
      <c r="H21">
        <v>25.3</v>
      </c>
      <c r="I21">
        <v>17.3</v>
      </c>
      <c r="J21">
        <v>10.4</v>
      </c>
      <c r="K21">
        <v>10.7</v>
      </c>
      <c r="L21">
        <v>13.2</v>
      </c>
      <c r="M21">
        <v>11.6</v>
      </c>
      <c r="N21">
        <v>10.6</v>
      </c>
      <c r="O21">
        <v>10</v>
      </c>
      <c r="P21">
        <v>10.9</v>
      </c>
      <c r="Q21">
        <v>9.3000000000000007</v>
      </c>
      <c r="R21">
        <v>12</v>
      </c>
      <c r="S21">
        <v>9.4</v>
      </c>
      <c r="T21">
        <v>10.5</v>
      </c>
      <c r="U21">
        <v>10.7</v>
      </c>
      <c r="V21">
        <v>11.8</v>
      </c>
      <c r="W21">
        <v>12.5</v>
      </c>
      <c r="X21">
        <v>15.1</v>
      </c>
      <c r="Y21">
        <v>15.8</v>
      </c>
      <c r="Z21">
        <v>19</v>
      </c>
      <c r="AA21">
        <v>20.100000000000001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18.7</v>
      </c>
      <c r="E22">
        <v>32.299999999999997</v>
      </c>
      <c r="F22">
        <v>47.9</v>
      </c>
      <c r="G22">
        <v>38.799999999999997</v>
      </c>
      <c r="H22">
        <v>23.9</v>
      </c>
      <c r="I22">
        <v>17.600000000000001</v>
      </c>
      <c r="J22">
        <v>10</v>
      </c>
      <c r="K22">
        <v>11</v>
      </c>
      <c r="L22">
        <v>12.1</v>
      </c>
      <c r="M22">
        <v>11.1</v>
      </c>
      <c r="N22">
        <v>9.5</v>
      </c>
      <c r="O22">
        <v>11</v>
      </c>
      <c r="P22">
        <v>9</v>
      </c>
      <c r="Q22">
        <v>9.6999999999999993</v>
      </c>
      <c r="R22">
        <v>10.9</v>
      </c>
      <c r="S22">
        <v>11.9</v>
      </c>
      <c r="T22">
        <v>10</v>
      </c>
      <c r="U22">
        <v>10.7</v>
      </c>
      <c r="V22">
        <v>10.7</v>
      </c>
      <c r="W22">
        <v>11.9</v>
      </c>
      <c r="X22">
        <v>16</v>
      </c>
      <c r="Y22">
        <v>17.2</v>
      </c>
      <c r="Z22">
        <v>17.7</v>
      </c>
      <c r="AA22">
        <v>19.2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21.7</v>
      </c>
      <c r="E23">
        <v>23.7</v>
      </c>
      <c r="F23">
        <v>35.9</v>
      </c>
      <c r="G23">
        <v>35</v>
      </c>
      <c r="H23">
        <v>23.6</v>
      </c>
      <c r="I23">
        <v>18.2</v>
      </c>
      <c r="J23">
        <v>11.2</v>
      </c>
      <c r="K23">
        <v>11.4</v>
      </c>
      <c r="L23">
        <v>14</v>
      </c>
      <c r="M23">
        <v>11.8</v>
      </c>
      <c r="N23">
        <v>10.5</v>
      </c>
      <c r="O23">
        <v>11.1</v>
      </c>
      <c r="P23">
        <v>9.6999999999999993</v>
      </c>
      <c r="Q23">
        <v>9.9</v>
      </c>
      <c r="R23">
        <v>11.1</v>
      </c>
      <c r="S23">
        <v>10.9</v>
      </c>
      <c r="T23">
        <v>9.8000000000000007</v>
      </c>
      <c r="U23">
        <v>11.2</v>
      </c>
      <c r="V23">
        <v>11.6</v>
      </c>
      <c r="W23">
        <v>13.3</v>
      </c>
      <c r="X23">
        <v>13.1</v>
      </c>
      <c r="Y23">
        <v>14.5</v>
      </c>
      <c r="Z23">
        <v>18.7</v>
      </c>
      <c r="AA23">
        <v>20.9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28</v>
      </c>
      <c r="E24">
        <v>28.5</v>
      </c>
      <c r="F24">
        <v>39.299999999999997</v>
      </c>
      <c r="G24">
        <v>38.4</v>
      </c>
      <c r="H24">
        <v>22.8</v>
      </c>
      <c r="I24">
        <v>17</v>
      </c>
      <c r="J24">
        <v>12.2</v>
      </c>
      <c r="K24">
        <v>11.6</v>
      </c>
      <c r="L24">
        <v>13.2</v>
      </c>
      <c r="M24">
        <v>11.6</v>
      </c>
      <c r="N24">
        <v>8.4</v>
      </c>
      <c r="O24">
        <v>12</v>
      </c>
      <c r="P24">
        <v>9.9</v>
      </c>
      <c r="Q24">
        <v>11.1</v>
      </c>
      <c r="R24">
        <v>9.8000000000000007</v>
      </c>
      <c r="S24">
        <v>10.5</v>
      </c>
      <c r="T24">
        <v>9.5</v>
      </c>
      <c r="U24">
        <v>9.8000000000000007</v>
      </c>
      <c r="V24">
        <v>11</v>
      </c>
      <c r="W24">
        <v>13</v>
      </c>
      <c r="X24">
        <v>13</v>
      </c>
      <c r="Y24">
        <v>16.899999999999999</v>
      </c>
      <c r="Z24">
        <v>17.2</v>
      </c>
      <c r="AA24">
        <v>17.600000000000001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21.4</v>
      </c>
      <c r="E25">
        <v>26.6</v>
      </c>
      <c r="F25">
        <v>36.6</v>
      </c>
      <c r="G25">
        <v>42.9</v>
      </c>
      <c r="H25">
        <v>24.6</v>
      </c>
      <c r="I25">
        <v>16.8</v>
      </c>
      <c r="J25">
        <v>15.7</v>
      </c>
      <c r="K25">
        <v>14.2</v>
      </c>
      <c r="L25">
        <v>13.5</v>
      </c>
      <c r="M25">
        <v>10</v>
      </c>
      <c r="N25">
        <v>10.9</v>
      </c>
      <c r="O25">
        <v>7.1</v>
      </c>
      <c r="P25">
        <v>7.8</v>
      </c>
      <c r="Q25">
        <v>7.7</v>
      </c>
      <c r="R25">
        <v>7.5</v>
      </c>
      <c r="S25">
        <v>7.1</v>
      </c>
      <c r="T25">
        <v>7</v>
      </c>
      <c r="U25">
        <v>9.8000000000000007</v>
      </c>
      <c r="V25">
        <v>10.1</v>
      </c>
      <c r="W25">
        <v>12.8</v>
      </c>
      <c r="X25">
        <v>15.6</v>
      </c>
      <c r="Y25">
        <v>14.5</v>
      </c>
      <c r="Z25">
        <v>16.100000000000001</v>
      </c>
      <c r="AA25">
        <v>22.1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18.8</v>
      </c>
      <c r="E26">
        <v>23.8</v>
      </c>
      <c r="F26">
        <v>23.2</v>
      </c>
      <c r="G26">
        <v>29.1</v>
      </c>
      <c r="H26">
        <v>24.8</v>
      </c>
      <c r="I26">
        <v>23.5</v>
      </c>
      <c r="J26">
        <v>20.2</v>
      </c>
      <c r="K26">
        <v>19.399999999999999</v>
      </c>
      <c r="L26">
        <v>14.9</v>
      </c>
      <c r="M26">
        <v>12.4</v>
      </c>
      <c r="N26">
        <v>12.1</v>
      </c>
      <c r="O26">
        <v>9.3000000000000007</v>
      </c>
      <c r="P26">
        <v>11.3</v>
      </c>
      <c r="Q26">
        <v>11.4</v>
      </c>
      <c r="R26">
        <v>13.7</v>
      </c>
      <c r="S26">
        <v>16.5</v>
      </c>
      <c r="T26">
        <v>15.7</v>
      </c>
      <c r="U26">
        <v>14.9</v>
      </c>
      <c r="V26">
        <v>17.399999999999999</v>
      </c>
      <c r="W26">
        <v>10.6</v>
      </c>
      <c r="X26">
        <v>12.1</v>
      </c>
      <c r="Y26">
        <v>14.1</v>
      </c>
      <c r="Z26">
        <v>16.7</v>
      </c>
      <c r="AA26">
        <v>18.600000000000001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24.5</v>
      </c>
      <c r="E27">
        <v>28.2</v>
      </c>
      <c r="F27">
        <v>34.299999999999997</v>
      </c>
      <c r="G27">
        <v>43.3</v>
      </c>
      <c r="H27">
        <v>25.1</v>
      </c>
      <c r="I27">
        <v>17.3</v>
      </c>
      <c r="J27">
        <v>11.9</v>
      </c>
      <c r="K27">
        <v>11.1</v>
      </c>
      <c r="L27">
        <v>13.7</v>
      </c>
      <c r="M27">
        <v>11.8</v>
      </c>
      <c r="N27">
        <v>11.3</v>
      </c>
      <c r="O27">
        <v>11.3</v>
      </c>
      <c r="P27">
        <v>10.3</v>
      </c>
      <c r="Q27">
        <v>11.7</v>
      </c>
      <c r="R27">
        <v>11.7</v>
      </c>
      <c r="S27">
        <v>11.7</v>
      </c>
      <c r="T27">
        <v>9.6</v>
      </c>
      <c r="U27">
        <v>7.4</v>
      </c>
      <c r="V27">
        <v>11.5</v>
      </c>
      <c r="W27">
        <v>13.4</v>
      </c>
      <c r="X27">
        <v>14.7</v>
      </c>
      <c r="Y27">
        <v>16.3</v>
      </c>
      <c r="Z27">
        <v>16.2</v>
      </c>
      <c r="AA27">
        <v>20.399999999999999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23.2</v>
      </c>
      <c r="E28">
        <v>28.4</v>
      </c>
      <c r="F28">
        <v>39.299999999999997</v>
      </c>
      <c r="G28">
        <v>42.6</v>
      </c>
      <c r="H28">
        <v>22.3</v>
      </c>
      <c r="I28">
        <v>18.399999999999999</v>
      </c>
      <c r="J28">
        <v>9.5</v>
      </c>
      <c r="K28">
        <v>8.4</v>
      </c>
      <c r="L28">
        <v>11.5</v>
      </c>
      <c r="M28">
        <v>13.5</v>
      </c>
      <c r="N28">
        <v>11.2</v>
      </c>
      <c r="O28">
        <v>10.9</v>
      </c>
      <c r="P28">
        <v>9.1999999999999993</v>
      </c>
      <c r="Q28">
        <v>10.8</v>
      </c>
      <c r="R28">
        <v>11.9</v>
      </c>
      <c r="S28">
        <v>10.1</v>
      </c>
      <c r="T28">
        <v>9.6</v>
      </c>
      <c r="U28">
        <v>11</v>
      </c>
      <c r="V28">
        <v>12</v>
      </c>
      <c r="W28">
        <v>12.8</v>
      </c>
      <c r="X28">
        <v>15.2</v>
      </c>
      <c r="Y28">
        <v>16.2</v>
      </c>
      <c r="Z28">
        <v>18.600000000000001</v>
      </c>
      <c r="AA28">
        <v>20.2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26.9</v>
      </c>
      <c r="E29">
        <v>27.2</v>
      </c>
      <c r="F29">
        <v>38.4</v>
      </c>
      <c r="G29">
        <v>41.7</v>
      </c>
      <c r="H29">
        <v>20.100000000000001</v>
      </c>
      <c r="I29">
        <v>17.2</v>
      </c>
      <c r="J29">
        <v>9.8000000000000007</v>
      </c>
      <c r="K29">
        <v>11.9</v>
      </c>
      <c r="L29">
        <v>12.4</v>
      </c>
      <c r="M29">
        <v>11.1</v>
      </c>
      <c r="N29">
        <v>11</v>
      </c>
      <c r="O29">
        <v>11.2</v>
      </c>
      <c r="P29">
        <v>11.9</v>
      </c>
      <c r="Q29">
        <v>9.6</v>
      </c>
      <c r="R29">
        <v>10.1</v>
      </c>
      <c r="S29">
        <v>11.6</v>
      </c>
      <c r="T29">
        <v>11.2</v>
      </c>
      <c r="U29">
        <v>11.8</v>
      </c>
      <c r="V29">
        <v>3</v>
      </c>
      <c r="W29">
        <v>2.7</v>
      </c>
      <c r="X29">
        <v>5.0999999999999996</v>
      </c>
      <c r="Y29">
        <v>14.9</v>
      </c>
      <c r="Z29">
        <v>18</v>
      </c>
      <c r="AA29">
        <v>21.1</v>
      </c>
    </row>
    <row r="31" spans="1:27" x14ac:dyDescent="0.25">
      <c r="C31">
        <v>1</v>
      </c>
      <c r="D31">
        <f t="array" ref="D31">MEDIAN(IF($C$3:$C$29=$C31,D$3:D$29,""))</f>
        <v>18.8</v>
      </c>
      <c r="E31">
        <f t="array" ref="E31">MEDIAN(IF($C$3:$C$29=$C31,E$3:E$29,""))</f>
        <v>24.75</v>
      </c>
      <c r="F31">
        <f t="array" ref="F31">MEDIAN(IF($C$3:$C$29=$C31,F$3:F$29,""))</f>
        <v>22.65</v>
      </c>
      <c r="G31">
        <f t="array" ref="G31">MEDIAN(IF($C$3:$C$29=$C31,G$3:G$29,""))</f>
        <v>28.8</v>
      </c>
      <c r="H31">
        <f t="array" ref="H31">MEDIAN(IF($C$3:$C$29=$C31,H$3:H$29,""))</f>
        <v>25.4</v>
      </c>
      <c r="I31">
        <f t="array" ref="I31">MEDIAN(IF($C$3:$C$29=$C31,I$3:I$29,""))</f>
        <v>23.1</v>
      </c>
      <c r="J31">
        <f t="array" ref="J31">MEDIAN(IF($C$3:$C$29=$C31,J$3:J$29,""))</f>
        <v>20.45</v>
      </c>
      <c r="K31">
        <f t="array" ref="K31">MEDIAN(IF($C$3:$C$29=$C31,K$3:K$29,""))</f>
        <v>19.299999999999997</v>
      </c>
      <c r="L31">
        <f t="array" ref="L31">MEDIAN(IF($C$3:$C$29=$C31,L$3:L$29,""))</f>
        <v>15.05</v>
      </c>
      <c r="M31">
        <f t="array" ref="M31">MEDIAN(IF($C$3:$C$29=$C31,M$3:M$29,""))</f>
        <v>12.3</v>
      </c>
      <c r="N31">
        <f t="array" ref="N31">MEDIAN(IF($C$3:$C$29=$C31,N$3:N$29,""))</f>
        <v>11.4</v>
      </c>
      <c r="O31">
        <f t="array" ref="O31">MEDIAN(IF($C$3:$C$29=$C31,O$3:O$29,""))</f>
        <v>10.25</v>
      </c>
      <c r="P31">
        <f t="array" ref="P31">MEDIAN(IF($C$3:$C$29=$C31,P$3:P$29,""))</f>
        <v>10.25</v>
      </c>
      <c r="Q31">
        <f t="array" ref="Q31">MEDIAN(IF($C$3:$C$29=$C31,Q$3:Q$29,""))</f>
        <v>12.45</v>
      </c>
      <c r="R31">
        <f t="array" ref="R31">MEDIAN(IF($C$3:$C$29=$C31,R$3:R$29,""))</f>
        <v>13.75</v>
      </c>
      <c r="S31">
        <f t="array" ref="S31">MEDIAN(IF($C$3:$C$29=$C31,S$3:S$29,""))</f>
        <v>16.350000000000001</v>
      </c>
      <c r="T31">
        <f t="array" ref="T31">MEDIAN(IF($C$3:$C$29=$C31,T$3:T$29,""))</f>
        <v>16</v>
      </c>
      <c r="U31">
        <f t="array" ref="U31">MEDIAN(IF($C$3:$C$29=$C31,U$3:U$29,""))</f>
        <v>14.45</v>
      </c>
      <c r="V31">
        <f t="array" ref="V31">MEDIAN(IF($C$3:$C$29=$C31,V$3:V$29,""))</f>
        <v>16.149999999999999</v>
      </c>
      <c r="W31">
        <f t="array" ref="W31">MEDIAN(IF($C$3:$C$29=$C31,W$3:W$29,""))</f>
        <v>14.5</v>
      </c>
      <c r="X31">
        <f t="array" ref="X31">MEDIAN(IF($C$3:$C$29=$C31,X$3:X$29,""))</f>
        <v>13.1</v>
      </c>
      <c r="Y31">
        <f t="array" ref="Y31">MEDIAN(IF($C$3:$C$29=$C31,Y$3:Y$29,""))</f>
        <v>13.6</v>
      </c>
      <c r="Z31">
        <f t="array" ref="Z31">MEDIAN(IF($C$3:$C$29=$C31,Z$3:Z$29,""))</f>
        <v>17.549999999999997</v>
      </c>
      <c r="AA31">
        <f t="array" ref="AA31">MEDIAN(IF($C$3:$C$29=$C31,AA$3:AA$29,""))</f>
        <v>19.8</v>
      </c>
    </row>
    <row r="32" spans="1:27" x14ac:dyDescent="0.25">
      <c r="C32">
        <v>2</v>
      </c>
      <c r="D32">
        <f t="array" ref="D32">MEDIAN(IF($C$3:$C$29=$C32,D$3:D$29,""))</f>
        <v>19.850000000000001</v>
      </c>
      <c r="E32">
        <f t="array" ref="E32">MEDIAN(IF($C$3:$C$29=$C32,E$3:E$29,""))</f>
        <v>27.15</v>
      </c>
      <c r="F32">
        <f t="array" ref="F32">MEDIAN(IF($C$3:$C$29=$C32,F$3:F$29,""))</f>
        <v>33.1</v>
      </c>
      <c r="G32">
        <f t="array" ref="G32">MEDIAN(IF($C$3:$C$29=$C32,G$3:G$29,""))</f>
        <v>31.25</v>
      </c>
      <c r="H32">
        <f t="array" ref="H32">MEDIAN(IF($C$3:$C$29=$C32,H$3:H$29,""))</f>
        <v>23</v>
      </c>
      <c r="I32">
        <f t="array" ref="I32">MEDIAN(IF($C$3:$C$29=$C32,I$3:I$29,""))</f>
        <v>19.049999999999997</v>
      </c>
      <c r="J32">
        <f t="array" ref="J32">MEDIAN(IF($C$3:$C$29=$C32,J$3:J$29,""))</f>
        <v>17.5</v>
      </c>
      <c r="K32">
        <f t="array" ref="K32">MEDIAN(IF($C$3:$C$29=$C32,K$3:K$29,""))</f>
        <v>14.55</v>
      </c>
      <c r="L32">
        <f t="array" ref="L32">MEDIAN(IF($C$3:$C$29=$C32,L$3:L$29,""))</f>
        <v>13.6</v>
      </c>
      <c r="M32">
        <f t="array" ref="M32">MEDIAN(IF($C$3:$C$29=$C32,M$3:M$29,""))</f>
        <v>10.85</v>
      </c>
      <c r="N32">
        <f t="array" ref="N32">MEDIAN(IF($C$3:$C$29=$C32,N$3:N$29,""))</f>
        <v>8.8000000000000007</v>
      </c>
      <c r="O32">
        <f t="array" ref="O32">MEDIAN(IF($C$3:$C$29=$C32,O$3:O$29,""))</f>
        <v>7.55</v>
      </c>
      <c r="P32">
        <f t="array" ref="P32">MEDIAN(IF($C$3:$C$29=$C32,P$3:P$29,""))</f>
        <v>7.0500000000000007</v>
      </c>
      <c r="Q32">
        <f t="array" ref="Q32">MEDIAN(IF($C$3:$C$29=$C32,Q$3:Q$29,""))</f>
        <v>6.65</v>
      </c>
      <c r="R32">
        <f t="array" ref="R32">MEDIAN(IF($C$3:$C$29=$C32,R$3:R$29,""))</f>
        <v>7.7</v>
      </c>
      <c r="S32">
        <f t="array" ref="S32">MEDIAN(IF($C$3:$C$29=$C32,S$3:S$29,""))</f>
        <v>7.25</v>
      </c>
      <c r="T32">
        <f t="array" ref="T32">MEDIAN(IF($C$3:$C$29=$C32,T$3:T$29,""))</f>
        <v>7.5</v>
      </c>
      <c r="U32">
        <f t="array" ref="U32">MEDIAN(IF($C$3:$C$29=$C32,U$3:U$29,""))</f>
        <v>8.6000000000000014</v>
      </c>
      <c r="V32">
        <f t="array" ref="V32">MEDIAN(IF($C$3:$C$29=$C32,V$3:V$29,""))</f>
        <v>8.5500000000000007</v>
      </c>
      <c r="W32">
        <f t="array" ref="W32">MEDIAN(IF($C$3:$C$29=$C32,W$3:W$29,""))</f>
        <v>12</v>
      </c>
      <c r="X32">
        <f t="array" ref="X32">MEDIAN(IF($C$3:$C$29=$C32,X$3:X$29,""))</f>
        <v>13.4</v>
      </c>
      <c r="Y32">
        <f t="array" ref="Y32">MEDIAN(IF($C$3:$C$29=$C32,Y$3:Y$29,""))</f>
        <v>15</v>
      </c>
      <c r="Z32">
        <f t="array" ref="Z32">MEDIAN(IF($C$3:$C$29=$C32,Z$3:Z$29,""))</f>
        <v>15.65</v>
      </c>
      <c r="AA32">
        <f t="array" ref="AA32">MEDIAN(IF($C$3:$C$29=$C32,AA$3:AA$29,""))</f>
        <v>18.8</v>
      </c>
    </row>
    <row r="33" spans="3:27" x14ac:dyDescent="0.25">
      <c r="C33">
        <v>3</v>
      </c>
      <c r="D33">
        <f t="array" ref="D33">MEDIAN(IF($C$3:$C$29=$C33,D$3:D$29,""))</f>
        <v>23.5</v>
      </c>
      <c r="E33">
        <f t="array" ref="E33">MEDIAN(IF($C$3:$C$29=$C33,E$3:E$29,""))</f>
        <v>29.55</v>
      </c>
      <c r="F33">
        <f t="array" ref="F33">MEDIAN(IF($C$3:$C$29=$C33,F$3:F$29,""))</f>
        <v>37.599999999999994</v>
      </c>
      <c r="G33">
        <f t="array" ref="G33">MEDIAN(IF($C$3:$C$29=$C33,G$3:G$29,""))</f>
        <v>38.450000000000003</v>
      </c>
      <c r="H33">
        <f t="array" ref="H33">MEDIAN(IF($C$3:$C$29=$C33,H$3:H$29,""))</f>
        <v>23.700000000000003</v>
      </c>
      <c r="I33">
        <f t="array" ref="I33">MEDIAN(IF($C$3:$C$29=$C33,I$3:I$29,""))</f>
        <v>18</v>
      </c>
      <c r="J33">
        <f t="array" ref="J33">MEDIAN(IF($C$3:$C$29=$C33,J$3:J$29,""))</f>
        <v>8.1999999999999993</v>
      </c>
      <c r="K33">
        <f t="array" ref="K33">MEDIAN(IF($C$3:$C$29=$C33,K$3:K$29,""))</f>
        <v>9.3000000000000007</v>
      </c>
      <c r="L33">
        <f t="array" ref="L33">MEDIAN(IF($C$3:$C$29=$C33,L$3:L$29,""))</f>
        <v>13.5</v>
      </c>
      <c r="M33">
        <f t="array" ref="M33">MEDIAN(IF($C$3:$C$29=$C33,M$3:M$29,""))</f>
        <v>11.65</v>
      </c>
      <c r="N33">
        <f t="array" ref="N33">MEDIAN(IF($C$3:$C$29=$C33,N$3:N$29,""))</f>
        <v>10.9</v>
      </c>
      <c r="O33">
        <f t="array" ref="O33">MEDIAN(IF($C$3:$C$29=$C33,O$3:O$29,""))</f>
        <v>10.199999999999999</v>
      </c>
      <c r="P33">
        <f t="array" ref="P33">MEDIAN(IF($C$3:$C$29=$C33,P$3:P$29,""))</f>
        <v>10.199999999999999</v>
      </c>
      <c r="Q33">
        <f t="array" ref="Q33">MEDIAN(IF($C$3:$C$29=$C33,Q$3:Q$29,""))</f>
        <v>10.649999999999999</v>
      </c>
      <c r="R33">
        <f t="array" ref="R33">MEDIAN(IF($C$3:$C$29=$C33,R$3:R$29,""))</f>
        <v>11.149999999999999</v>
      </c>
      <c r="S33">
        <f t="array" ref="S33">MEDIAN(IF($C$3:$C$29=$C33,S$3:S$29,""))</f>
        <v>10.8</v>
      </c>
      <c r="T33">
        <f t="array" ref="T33">MEDIAN(IF($C$3:$C$29=$C33,T$3:T$29,""))</f>
        <v>10.45</v>
      </c>
      <c r="U33">
        <f t="array" ref="U33">MEDIAN(IF($C$3:$C$29=$C33,U$3:U$29,""))</f>
        <v>10.65</v>
      </c>
      <c r="V33">
        <f t="array" ref="V33">MEDIAN(IF($C$3:$C$29=$C33,V$3:V$29,""))</f>
        <v>11.75</v>
      </c>
      <c r="W33">
        <f t="array" ref="W33">MEDIAN(IF($C$3:$C$29=$C33,W$3:W$29,""))</f>
        <v>14.95</v>
      </c>
      <c r="X33">
        <f t="array" ref="X33">MEDIAN(IF($C$3:$C$29=$C33,X$3:X$29,""))</f>
        <v>15.4</v>
      </c>
      <c r="Y33">
        <f t="array" ref="Y33">MEDIAN(IF($C$3:$C$29=$C33,Y$3:Y$29,""))</f>
        <v>17.950000000000003</v>
      </c>
      <c r="Z33">
        <f t="array" ref="Z33">MEDIAN(IF($C$3:$C$29=$C33,Z$3:Z$29,""))</f>
        <v>18.75</v>
      </c>
      <c r="AA33">
        <f t="array" ref="AA33">MEDIAN(IF($C$3:$C$29=$C33,AA$3:AA$29,""))</f>
        <v>20.149999999999999</v>
      </c>
    </row>
    <row r="34" spans="3:27" x14ac:dyDescent="0.25">
      <c r="C34">
        <v>4</v>
      </c>
      <c r="D34">
        <f t="array" ref="D34">MEDIAN(IF($C$3:$C$29=$C34,D$3:D$29,""))</f>
        <v>23.5</v>
      </c>
      <c r="E34">
        <f t="array" ref="E34">MEDIAN(IF($C$3:$C$29=$C34,E$3:E$29,""))</f>
        <v>26.35</v>
      </c>
      <c r="F34">
        <f t="array" ref="F34">MEDIAN(IF($C$3:$C$29=$C34,F$3:F$29,""))</f>
        <v>38.700000000000003</v>
      </c>
      <c r="G34">
        <f t="array" ref="G34">MEDIAN(IF($C$3:$C$29=$C34,G$3:G$29,""))</f>
        <v>36</v>
      </c>
      <c r="H34">
        <f t="array" ref="H34">MEDIAN(IF($C$3:$C$29=$C34,H$3:H$29,""))</f>
        <v>23</v>
      </c>
      <c r="I34">
        <f t="array" ref="I34">MEDIAN(IF($C$3:$C$29=$C34,I$3:I$29,""))</f>
        <v>17.95</v>
      </c>
      <c r="J34">
        <f t="array" ref="J34">MEDIAN(IF($C$3:$C$29=$C34,J$3:J$29,""))</f>
        <v>9.3000000000000007</v>
      </c>
      <c r="K34">
        <f t="array" ref="K34">MEDIAN(IF($C$3:$C$29=$C34,K$3:K$29,""))</f>
        <v>9.9499999999999993</v>
      </c>
      <c r="L34">
        <f t="array" ref="L34">MEDIAN(IF($C$3:$C$29=$C34,L$3:L$29,""))</f>
        <v>13.1</v>
      </c>
      <c r="M34">
        <f t="array" ref="M34">MEDIAN(IF($C$3:$C$29=$C34,M$3:M$29,""))</f>
        <v>12.4</v>
      </c>
      <c r="N34">
        <f t="array" ref="N34">MEDIAN(IF($C$3:$C$29=$C34,N$3:N$29,""))</f>
        <v>10.899999999999999</v>
      </c>
      <c r="O34">
        <f t="array" ref="O34">MEDIAN(IF($C$3:$C$29=$C34,O$3:O$29,""))</f>
        <v>10.45</v>
      </c>
      <c r="P34">
        <f t="array" ref="P34">MEDIAN(IF($C$3:$C$29=$C34,P$3:P$29,""))</f>
        <v>8.25</v>
      </c>
      <c r="Q34">
        <f t="array" ref="Q34">MEDIAN(IF($C$3:$C$29=$C34,Q$3:Q$29,""))</f>
        <v>9.15</v>
      </c>
      <c r="R34">
        <f t="array" ref="R34">MEDIAN(IF($C$3:$C$29=$C34,R$3:R$29,""))</f>
        <v>11.95</v>
      </c>
      <c r="S34">
        <f t="array" ref="S34">MEDIAN(IF($C$3:$C$29=$C34,S$3:S$29,""))</f>
        <v>8.6</v>
      </c>
      <c r="T34">
        <f t="array" ref="T34">MEDIAN(IF($C$3:$C$29=$C34,T$3:T$29,""))</f>
        <v>10.050000000000001</v>
      </c>
      <c r="U34">
        <f t="array" ref="U34">MEDIAN(IF($C$3:$C$29=$C34,U$3:U$29,""))</f>
        <v>10.85</v>
      </c>
      <c r="V34">
        <f t="array" ref="V34">MEDIAN(IF($C$3:$C$29=$C34,V$3:V$29,""))</f>
        <v>11.9</v>
      </c>
      <c r="W34">
        <f t="array" ref="W34">MEDIAN(IF($C$3:$C$29=$C34,W$3:W$29,""))</f>
        <v>12.7</v>
      </c>
      <c r="X34">
        <f t="array" ref="X34">MEDIAN(IF($C$3:$C$29=$C34,X$3:X$29,""))</f>
        <v>14.95</v>
      </c>
      <c r="Y34">
        <f t="array" ref="Y34">MEDIAN(IF($C$3:$C$29=$C34,Y$3:Y$29,""))</f>
        <v>15.65</v>
      </c>
      <c r="Z34">
        <f t="array" ref="Z34">MEDIAN(IF($C$3:$C$29=$C34,Z$3:Z$29,""))</f>
        <v>18.8</v>
      </c>
      <c r="AA34">
        <f t="array" ref="AA34">MEDIAN(IF($C$3:$C$29=$C34,AA$3:AA$29,""))</f>
        <v>20.149999999999999</v>
      </c>
    </row>
    <row r="35" spans="3:27" x14ac:dyDescent="0.25">
      <c r="C35">
        <v>5</v>
      </c>
      <c r="D35">
        <f t="array" ref="D35">MEDIAN(IF($C$3:$C$29=$C35,D$3:D$29,""))</f>
        <v>22.549999999999997</v>
      </c>
      <c r="E35">
        <f t="array" ref="E35">MEDIAN(IF($C$3:$C$29=$C35,E$3:E$29,""))</f>
        <v>29.6</v>
      </c>
      <c r="F35">
        <f t="array" ref="F35">MEDIAN(IF($C$3:$C$29=$C35,F$3:F$29,""))</f>
        <v>39.450000000000003</v>
      </c>
      <c r="G35">
        <f t="array" ref="G35">MEDIAN(IF($C$3:$C$29=$C35,G$3:G$29,""))</f>
        <v>36.799999999999997</v>
      </c>
      <c r="H35">
        <f t="array" ref="H35">MEDIAN(IF($C$3:$C$29=$C35,H$3:H$29,""))</f>
        <v>24.15</v>
      </c>
      <c r="I35">
        <f t="array" ref="I35">MEDIAN(IF($C$3:$C$29=$C35,I$3:I$29,""))</f>
        <v>17.600000000000001</v>
      </c>
      <c r="J35">
        <f t="array" ref="J35">MEDIAN(IF($C$3:$C$29=$C35,J$3:J$29,""))</f>
        <v>9.4499999999999993</v>
      </c>
      <c r="K35">
        <f t="array" ref="K35">MEDIAN(IF($C$3:$C$29=$C35,K$3:K$29,""))</f>
        <v>10.3</v>
      </c>
      <c r="L35">
        <f t="array" ref="L35">MEDIAN(IF($C$3:$C$29=$C35,L$3:L$29,""))</f>
        <v>12.1</v>
      </c>
      <c r="M35">
        <f t="array" ref="M35">MEDIAN(IF($C$3:$C$29=$C35,M$3:M$29,""))</f>
        <v>11.6</v>
      </c>
      <c r="N35">
        <f t="array" ref="N35">MEDIAN(IF($C$3:$C$29=$C35,N$3:N$29,""))</f>
        <v>10.25</v>
      </c>
      <c r="O35">
        <f t="array" ref="O35">MEDIAN(IF($C$3:$C$29=$C35,O$3:O$29,""))</f>
        <v>10.85</v>
      </c>
      <c r="P35">
        <f t="array" ref="P35">MEDIAN(IF($C$3:$C$29=$C35,P$3:P$29,""))</f>
        <v>9.5500000000000007</v>
      </c>
      <c r="Q35">
        <f t="array" ref="Q35">MEDIAN(IF($C$3:$C$29=$C35,Q$3:Q$29,""))</f>
        <v>9.6499999999999986</v>
      </c>
      <c r="R35">
        <f t="array" ref="R35">MEDIAN(IF($C$3:$C$29=$C35,R$3:R$29,""))</f>
        <v>10.5</v>
      </c>
      <c r="S35">
        <f t="array" ref="S35">MEDIAN(IF($C$3:$C$29=$C35,S$3:S$29,""))</f>
        <v>11.35</v>
      </c>
      <c r="T35">
        <f t="array" ref="T35">MEDIAN(IF($C$3:$C$29=$C35,T$3:T$29,""))</f>
        <v>10.45</v>
      </c>
      <c r="U35">
        <f t="array" ref="U35">MEDIAN(IF($C$3:$C$29=$C35,U$3:U$29,""))</f>
        <v>11.5</v>
      </c>
      <c r="V35">
        <f t="array" ref="V35">MEDIAN(IF($C$3:$C$29=$C35,V$3:V$29,""))</f>
        <v>11.55</v>
      </c>
      <c r="W35">
        <f t="array" ref="W35">MEDIAN(IF($C$3:$C$29=$C35,W$3:W$29,""))</f>
        <v>12.350000000000001</v>
      </c>
      <c r="X35">
        <f t="array" ref="X35">MEDIAN(IF($C$3:$C$29=$C35,X$3:X$29,""))</f>
        <v>13.15</v>
      </c>
      <c r="Y35">
        <f t="array" ref="Y35">MEDIAN(IF($C$3:$C$29=$C35,Y$3:Y$29,""))</f>
        <v>16.5</v>
      </c>
      <c r="Z35">
        <f t="array" ref="Z35">MEDIAN(IF($C$3:$C$29=$C35,Z$3:Z$29,""))</f>
        <v>17.399999999999999</v>
      </c>
      <c r="AA35">
        <f t="array" ref="AA35">MEDIAN(IF($C$3:$C$29=$C35,AA$3:AA$29,""))</f>
        <v>19.649999999999999</v>
      </c>
    </row>
    <row r="36" spans="3:27" x14ac:dyDescent="0.25">
      <c r="C36">
        <v>6</v>
      </c>
      <c r="D36">
        <f t="array" ref="D36">MEDIAN(IF($C$3:$C$29=$C36,D$3:D$29,""))</f>
        <v>21.7</v>
      </c>
      <c r="E36">
        <f t="array" ref="E36">MEDIAN(IF($C$3:$C$29=$C36,E$3:E$29,""))</f>
        <v>31.7</v>
      </c>
      <c r="F36">
        <f t="array" ref="F36">MEDIAN(IF($C$3:$C$29=$C36,F$3:F$29,""))</f>
        <v>35.9</v>
      </c>
      <c r="G36">
        <f t="array" ref="G36">MEDIAN(IF($C$3:$C$29=$C36,G$3:G$29,""))</f>
        <v>36.799999999999997</v>
      </c>
      <c r="H36">
        <f t="array" ref="H36">MEDIAN(IF($C$3:$C$29=$C36,H$3:H$29,""))</f>
        <v>23.6</v>
      </c>
      <c r="I36">
        <f t="array" ref="I36">MEDIAN(IF($C$3:$C$29=$C36,I$3:I$29,""))</f>
        <v>17.7</v>
      </c>
      <c r="J36">
        <f t="array" ref="J36">MEDIAN(IF($C$3:$C$29=$C36,J$3:J$29,""))</f>
        <v>9.1</v>
      </c>
      <c r="K36">
        <f t="array" ref="K36">MEDIAN(IF($C$3:$C$29=$C36,K$3:K$29,""))</f>
        <v>11.4</v>
      </c>
      <c r="L36">
        <f t="array" ref="L36">MEDIAN(IF($C$3:$C$29=$C36,L$3:L$29,""))</f>
        <v>14</v>
      </c>
      <c r="M36">
        <f t="array" ref="M36">MEDIAN(IF($C$3:$C$29=$C36,M$3:M$29,""))</f>
        <v>11.9</v>
      </c>
      <c r="N36">
        <f t="array" ref="N36">MEDIAN(IF($C$3:$C$29=$C36,N$3:N$29,""))</f>
        <v>10.8</v>
      </c>
      <c r="O36">
        <f t="array" ref="O36">MEDIAN(IF($C$3:$C$29=$C36,O$3:O$29,""))</f>
        <v>11.1</v>
      </c>
      <c r="P36">
        <f t="array" ref="P36">MEDIAN(IF($C$3:$C$29=$C36,P$3:P$29,""))</f>
        <v>9.6999999999999993</v>
      </c>
      <c r="Q36">
        <f t="array" ref="Q36">MEDIAN(IF($C$3:$C$29=$C36,Q$3:Q$29,""))</f>
        <v>9.9</v>
      </c>
      <c r="R36">
        <f t="array" ref="R36">MEDIAN(IF($C$3:$C$29=$C36,R$3:R$29,""))</f>
        <v>10.4</v>
      </c>
      <c r="S36">
        <f t="array" ref="S36">MEDIAN(IF($C$3:$C$29=$C36,S$3:S$29,""))</f>
        <v>10.9</v>
      </c>
      <c r="T36">
        <f t="array" ref="T36">MEDIAN(IF($C$3:$C$29=$C36,T$3:T$29,""))</f>
        <v>9.9</v>
      </c>
      <c r="U36">
        <f t="array" ref="U36">MEDIAN(IF($C$3:$C$29=$C36,U$3:U$29,""))</f>
        <v>11.2</v>
      </c>
      <c r="V36">
        <f t="array" ref="V36">MEDIAN(IF($C$3:$C$29=$C36,V$3:V$29,""))</f>
        <v>11.6</v>
      </c>
      <c r="W36">
        <f t="array" ref="W36">MEDIAN(IF($C$3:$C$29=$C36,W$3:W$29,""))</f>
        <v>13.6</v>
      </c>
      <c r="X36">
        <f t="array" ref="X36">MEDIAN(IF($C$3:$C$29=$C36,X$3:X$29,""))</f>
        <v>13.6</v>
      </c>
      <c r="Y36">
        <f t="array" ref="Y36">MEDIAN(IF($C$3:$C$29=$C36,Y$3:Y$29,""))</f>
        <v>16.399999999999999</v>
      </c>
      <c r="Z36">
        <f t="array" ref="Z36">MEDIAN(IF($C$3:$C$29=$C36,Z$3:Z$29,""))</f>
        <v>18.7</v>
      </c>
      <c r="AA36">
        <f t="array" ref="AA36">MEDIAN(IF($C$3:$C$29=$C36,AA$3:AA$29,""))</f>
        <v>20.5</v>
      </c>
    </row>
    <row r="37" spans="3:27" x14ac:dyDescent="0.25">
      <c r="C37">
        <v>7</v>
      </c>
      <c r="D37">
        <f t="array" ref="D37">MEDIAN(IF($C$3:$C$29=$C37,D$3:D$29,""))</f>
        <v>22.299999999999997</v>
      </c>
      <c r="E37">
        <f t="array" ref="E37">MEDIAN(IF($C$3:$C$29=$C37,E$3:E$29,""))</f>
        <v>29.3</v>
      </c>
      <c r="F37">
        <f t="array" ref="F37">MEDIAN(IF($C$3:$C$29=$C37,F$3:F$29,""))</f>
        <v>38.299999999999997</v>
      </c>
      <c r="G37">
        <f t="array" ref="G37">MEDIAN(IF($C$3:$C$29=$C37,G$3:G$29,""))</f>
        <v>40.799999999999997</v>
      </c>
      <c r="H37">
        <f t="array" ref="H37">MEDIAN(IF($C$3:$C$29=$C37,H$3:H$29,""))</f>
        <v>23</v>
      </c>
      <c r="I37">
        <f t="array" ref="I37">MEDIAN(IF($C$3:$C$29=$C37,I$3:I$29,""))</f>
        <v>18.05</v>
      </c>
      <c r="J37">
        <f t="array" ref="J37">MEDIAN(IF($C$3:$C$29=$C37,J$3:J$29,""))</f>
        <v>10.95</v>
      </c>
      <c r="K37">
        <f t="array" ref="K37">MEDIAN(IF($C$3:$C$29=$C37,K$3:K$29,""))</f>
        <v>10.9</v>
      </c>
      <c r="L37">
        <f t="array" ref="L37">MEDIAN(IF($C$3:$C$29=$C37,L$3:L$29,""))</f>
        <v>12.75</v>
      </c>
      <c r="M37">
        <f t="array" ref="M37">MEDIAN(IF($C$3:$C$29=$C37,M$3:M$29,""))</f>
        <v>12.2</v>
      </c>
      <c r="N37">
        <f t="array" ref="N37">MEDIAN(IF($C$3:$C$29=$C37,N$3:N$29,""))</f>
        <v>8.15</v>
      </c>
      <c r="O37">
        <f t="array" ref="O37">MEDIAN(IF($C$3:$C$29=$C37,O$3:O$29,""))</f>
        <v>10.1</v>
      </c>
      <c r="P37">
        <f t="array" ref="P37">MEDIAN(IF($C$3:$C$29=$C37,P$3:P$29,""))</f>
        <v>9.1000000000000014</v>
      </c>
      <c r="Q37">
        <f t="array" ref="Q37">MEDIAN(IF($C$3:$C$29=$C37,Q$3:Q$29,""))</f>
        <v>10.199999999999999</v>
      </c>
      <c r="R37">
        <f t="array" ref="R37">MEDIAN(IF($C$3:$C$29=$C37,R$3:R$29,""))</f>
        <v>9.9499999999999993</v>
      </c>
      <c r="S37">
        <f t="array" ref="S37">MEDIAN(IF($C$3:$C$29=$C37,S$3:S$29,""))</f>
        <v>10.050000000000001</v>
      </c>
      <c r="T37">
        <f t="array" ref="T37">MEDIAN(IF($C$3:$C$29=$C37,T$3:T$29,""))</f>
        <v>9.5500000000000007</v>
      </c>
      <c r="U37">
        <f t="array" ref="U37">MEDIAN(IF($C$3:$C$29=$C37,U$3:U$29,""))</f>
        <v>10.199999999999999</v>
      </c>
      <c r="V37">
        <f t="array" ref="V37">MEDIAN(IF($C$3:$C$29=$C37,V$3:V$29,""))</f>
        <v>11.8</v>
      </c>
      <c r="W37">
        <f t="array" ref="W37">MEDIAN(IF($C$3:$C$29=$C37,W$3:W$29,""))</f>
        <v>13.2</v>
      </c>
      <c r="X37">
        <f t="array" ref="X37">MEDIAN(IF($C$3:$C$29=$C37,X$3:X$29,""))</f>
        <v>11</v>
      </c>
      <c r="Y37">
        <f t="array" ref="Y37">MEDIAN(IF($C$3:$C$29=$C37,Y$3:Y$29,""))</f>
        <v>15.6</v>
      </c>
      <c r="Z37">
        <f t="array" ref="Z37">MEDIAN(IF($C$3:$C$29=$C37,Z$3:Z$29,""))</f>
        <v>14.9</v>
      </c>
      <c r="AA37">
        <f t="array" ref="AA37">MEDIAN(IF($C$3:$C$29=$C37,AA$3:AA$29,""))</f>
        <v>19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AA37"/>
  <sheetViews>
    <sheetView workbookViewId="0">
      <selection activeCell="G31" sqref="G31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22.1</v>
      </c>
      <c r="E3">
        <v>31.7</v>
      </c>
      <c r="F3">
        <v>33.1</v>
      </c>
      <c r="G3">
        <v>43.6</v>
      </c>
      <c r="H3">
        <v>23</v>
      </c>
      <c r="I3">
        <v>18.7</v>
      </c>
      <c r="J3">
        <v>10.199999999999999</v>
      </c>
      <c r="K3">
        <v>7.8</v>
      </c>
      <c r="L3">
        <v>8.5</v>
      </c>
      <c r="M3">
        <v>7.6</v>
      </c>
      <c r="N3">
        <v>4.4000000000000004</v>
      </c>
      <c r="O3">
        <v>3.8</v>
      </c>
      <c r="P3">
        <v>3.3</v>
      </c>
      <c r="Q3">
        <v>4.7</v>
      </c>
      <c r="R3">
        <v>8.6999999999999993</v>
      </c>
      <c r="S3">
        <v>7.2</v>
      </c>
      <c r="T3">
        <v>6.4</v>
      </c>
      <c r="U3">
        <v>6.4</v>
      </c>
      <c r="V3">
        <v>9.5</v>
      </c>
      <c r="W3">
        <v>12</v>
      </c>
      <c r="X3">
        <v>4.8</v>
      </c>
      <c r="Y3">
        <v>7.5</v>
      </c>
      <c r="Z3">
        <v>7.7</v>
      </c>
      <c r="AA3">
        <v>15.9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17.3</v>
      </c>
      <c r="E4">
        <v>23.2</v>
      </c>
      <c r="F4">
        <v>33.6</v>
      </c>
      <c r="G4">
        <v>30.8</v>
      </c>
      <c r="H4">
        <v>20.9</v>
      </c>
      <c r="I4">
        <v>19.899999999999999</v>
      </c>
      <c r="J4">
        <v>14.5</v>
      </c>
      <c r="K4">
        <v>11.5</v>
      </c>
      <c r="L4">
        <v>9.3000000000000007</v>
      </c>
      <c r="M4">
        <v>7.3</v>
      </c>
      <c r="N4">
        <v>4.8</v>
      </c>
      <c r="O4">
        <v>3.3</v>
      </c>
      <c r="P4">
        <v>4.4000000000000004</v>
      </c>
      <c r="Q4">
        <v>3.3</v>
      </c>
      <c r="R4">
        <v>3.9</v>
      </c>
      <c r="S4">
        <v>3.1</v>
      </c>
      <c r="T4">
        <v>3.9</v>
      </c>
      <c r="U4">
        <v>5.4</v>
      </c>
      <c r="V4">
        <v>5</v>
      </c>
      <c r="W4">
        <v>4.9000000000000004</v>
      </c>
      <c r="X4">
        <v>4.7</v>
      </c>
      <c r="Y4">
        <v>6.2</v>
      </c>
      <c r="Z4">
        <v>9.6</v>
      </c>
      <c r="AA4">
        <v>14.3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19.5</v>
      </c>
      <c r="E5">
        <v>19.7</v>
      </c>
      <c r="F5">
        <v>24.6</v>
      </c>
      <c r="G5">
        <v>21.1</v>
      </c>
      <c r="H5">
        <v>23.9</v>
      </c>
      <c r="I5">
        <v>23.3</v>
      </c>
      <c r="J5">
        <v>18.5</v>
      </c>
      <c r="K5">
        <v>17.399999999999999</v>
      </c>
      <c r="L5">
        <v>14</v>
      </c>
      <c r="M5">
        <v>9.1999999999999993</v>
      </c>
      <c r="N5">
        <v>7.4</v>
      </c>
      <c r="O5">
        <v>6</v>
      </c>
      <c r="P5">
        <v>7.2</v>
      </c>
      <c r="Q5">
        <v>7.8</v>
      </c>
      <c r="R5">
        <v>9.5</v>
      </c>
      <c r="S5">
        <v>7.8</v>
      </c>
      <c r="T5">
        <v>8.8000000000000007</v>
      </c>
      <c r="U5">
        <v>7.9</v>
      </c>
      <c r="V5">
        <v>5.4</v>
      </c>
      <c r="W5">
        <v>4.9000000000000004</v>
      </c>
      <c r="X5">
        <v>10.199999999999999</v>
      </c>
      <c r="Y5">
        <v>8.3000000000000007</v>
      </c>
      <c r="Z5">
        <v>14.6</v>
      </c>
      <c r="AA5">
        <v>20.9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20.9</v>
      </c>
      <c r="E6">
        <v>27.5</v>
      </c>
      <c r="F6">
        <v>41.1</v>
      </c>
      <c r="G6">
        <v>33.1</v>
      </c>
      <c r="H6">
        <v>22.8</v>
      </c>
      <c r="I6">
        <v>17.100000000000001</v>
      </c>
      <c r="J6">
        <v>7.5</v>
      </c>
      <c r="K6">
        <v>5.9</v>
      </c>
      <c r="L6">
        <v>13.5</v>
      </c>
      <c r="M6">
        <v>6.5</v>
      </c>
      <c r="N6">
        <v>5.4</v>
      </c>
      <c r="O6">
        <v>5.5</v>
      </c>
      <c r="P6">
        <v>4.3</v>
      </c>
      <c r="Q6">
        <v>2.7</v>
      </c>
      <c r="R6">
        <v>4.5999999999999996</v>
      </c>
      <c r="S6">
        <v>4.0999999999999996</v>
      </c>
      <c r="T6">
        <v>5.0999999999999996</v>
      </c>
      <c r="U6">
        <v>10.3</v>
      </c>
      <c r="V6">
        <v>10.7</v>
      </c>
      <c r="W6">
        <v>13.2</v>
      </c>
      <c r="X6">
        <v>10.9</v>
      </c>
      <c r="Y6">
        <v>14.7</v>
      </c>
      <c r="Z6">
        <v>13.8</v>
      </c>
      <c r="AA6">
        <v>20.100000000000001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21.5</v>
      </c>
      <c r="E7">
        <v>25.7</v>
      </c>
      <c r="F7">
        <v>37.5</v>
      </c>
      <c r="G7">
        <v>35.700000000000003</v>
      </c>
      <c r="H7">
        <v>23.1</v>
      </c>
      <c r="I7">
        <v>17.600000000000001</v>
      </c>
      <c r="J7">
        <v>8.9</v>
      </c>
      <c r="K7">
        <v>8.1</v>
      </c>
      <c r="L7">
        <v>11.8</v>
      </c>
      <c r="M7">
        <v>5.9</v>
      </c>
      <c r="N7">
        <v>4.8</v>
      </c>
      <c r="O7">
        <v>5.8</v>
      </c>
      <c r="P7">
        <v>4</v>
      </c>
      <c r="Q7">
        <v>3.5</v>
      </c>
      <c r="R7">
        <v>2.7</v>
      </c>
      <c r="S7">
        <v>3.5</v>
      </c>
      <c r="T7">
        <v>7.6</v>
      </c>
      <c r="U7">
        <v>11</v>
      </c>
      <c r="V7">
        <v>10.7</v>
      </c>
      <c r="W7">
        <v>8.6999999999999993</v>
      </c>
      <c r="X7">
        <v>9.3000000000000007</v>
      </c>
      <c r="Y7">
        <v>10.6</v>
      </c>
      <c r="Z7">
        <v>15.8</v>
      </c>
      <c r="AA7">
        <v>21.3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22</v>
      </c>
      <c r="E8">
        <v>28.1</v>
      </c>
      <c r="F8">
        <v>39.1</v>
      </c>
      <c r="G8">
        <v>32.5</v>
      </c>
      <c r="H8">
        <v>26</v>
      </c>
      <c r="I8">
        <v>17.5</v>
      </c>
      <c r="J8">
        <v>8</v>
      </c>
      <c r="K8">
        <v>8.1999999999999993</v>
      </c>
      <c r="L8">
        <v>10.5</v>
      </c>
      <c r="M8">
        <v>5.2</v>
      </c>
      <c r="N8">
        <v>4.0999999999999996</v>
      </c>
      <c r="O8">
        <v>4.8</v>
      </c>
      <c r="P8">
        <v>3</v>
      </c>
      <c r="Q8">
        <v>2.4</v>
      </c>
      <c r="R8">
        <v>3.6</v>
      </c>
      <c r="S8">
        <v>4.8</v>
      </c>
      <c r="T8">
        <v>3.6</v>
      </c>
      <c r="U8">
        <v>9.3000000000000007</v>
      </c>
      <c r="V8">
        <v>10.9</v>
      </c>
      <c r="W8">
        <v>11.3</v>
      </c>
      <c r="X8">
        <v>5.7</v>
      </c>
      <c r="Y8">
        <v>12.2</v>
      </c>
      <c r="Z8">
        <v>16.899999999999999</v>
      </c>
      <c r="AA8">
        <v>18.8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20.3</v>
      </c>
      <c r="E9">
        <v>30.7</v>
      </c>
      <c r="F9">
        <v>40.700000000000003</v>
      </c>
      <c r="G9">
        <v>33.1</v>
      </c>
      <c r="H9">
        <v>25</v>
      </c>
      <c r="I9">
        <v>18.2</v>
      </c>
      <c r="J9">
        <v>8.5</v>
      </c>
      <c r="K9">
        <v>9.9</v>
      </c>
      <c r="L9">
        <v>12.1</v>
      </c>
      <c r="M9">
        <v>12.4</v>
      </c>
      <c r="N9">
        <v>10.3</v>
      </c>
      <c r="O9">
        <v>10.1</v>
      </c>
      <c r="P9">
        <v>9.6</v>
      </c>
      <c r="Q9">
        <v>9.1</v>
      </c>
      <c r="R9">
        <v>10.8</v>
      </c>
      <c r="S9">
        <v>10.7</v>
      </c>
      <c r="T9">
        <v>9.6999999999999993</v>
      </c>
      <c r="U9">
        <v>10.8</v>
      </c>
      <c r="V9">
        <v>10.4</v>
      </c>
      <c r="W9">
        <v>11.2</v>
      </c>
      <c r="X9">
        <v>13.5</v>
      </c>
      <c r="Y9">
        <v>15.6</v>
      </c>
      <c r="Z9">
        <v>17.2</v>
      </c>
      <c r="AA9">
        <v>18.2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19.899999999999999</v>
      </c>
      <c r="E10">
        <v>26.6</v>
      </c>
      <c r="F10">
        <v>35.299999999999997</v>
      </c>
      <c r="G10">
        <v>35.1</v>
      </c>
      <c r="H10">
        <v>25.5</v>
      </c>
      <c r="I10">
        <v>19.2</v>
      </c>
      <c r="J10">
        <v>10</v>
      </c>
      <c r="K10">
        <v>9</v>
      </c>
      <c r="L10">
        <v>11.9</v>
      </c>
      <c r="M10">
        <v>10.7</v>
      </c>
      <c r="N10">
        <v>10.9</v>
      </c>
      <c r="O10">
        <v>10</v>
      </c>
      <c r="P10">
        <v>9.1</v>
      </c>
      <c r="Q10">
        <v>8.1</v>
      </c>
      <c r="R10">
        <v>10.1</v>
      </c>
      <c r="S10">
        <v>8.6999999999999993</v>
      </c>
      <c r="T10">
        <v>9.5</v>
      </c>
      <c r="U10">
        <v>7.6</v>
      </c>
      <c r="V10">
        <v>9.9</v>
      </c>
      <c r="W10">
        <v>9.6</v>
      </c>
      <c r="X10">
        <v>11.4</v>
      </c>
      <c r="Y10">
        <v>14.9</v>
      </c>
      <c r="Z10">
        <v>13.5</v>
      </c>
      <c r="AA10">
        <v>19.7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18.8</v>
      </c>
      <c r="E11">
        <v>30</v>
      </c>
      <c r="F11">
        <v>23.3</v>
      </c>
      <c r="G11">
        <v>36.299999999999997</v>
      </c>
      <c r="H11">
        <v>25</v>
      </c>
      <c r="I11">
        <v>19.8</v>
      </c>
      <c r="J11">
        <v>17.399999999999999</v>
      </c>
      <c r="K11">
        <v>14.5</v>
      </c>
      <c r="L11">
        <v>12.5</v>
      </c>
      <c r="M11">
        <v>11.7</v>
      </c>
      <c r="N11">
        <v>8.9</v>
      </c>
      <c r="O11">
        <v>8.9</v>
      </c>
      <c r="P11">
        <v>9.5</v>
      </c>
      <c r="Q11">
        <v>6.9</v>
      </c>
      <c r="R11">
        <v>9.3000000000000007</v>
      </c>
      <c r="S11">
        <v>10.4</v>
      </c>
      <c r="T11">
        <v>9.1999999999999993</v>
      </c>
      <c r="U11">
        <v>9.3000000000000007</v>
      </c>
      <c r="V11">
        <v>8.3000000000000007</v>
      </c>
      <c r="W11">
        <v>12.1</v>
      </c>
      <c r="X11">
        <v>11.3</v>
      </c>
      <c r="Y11">
        <v>14.6</v>
      </c>
      <c r="Z11">
        <v>14.2</v>
      </c>
      <c r="AA11">
        <v>16.600000000000001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21.5</v>
      </c>
      <c r="E12">
        <v>26.7</v>
      </c>
      <c r="F12">
        <v>22.7</v>
      </c>
      <c r="G12">
        <v>29.8</v>
      </c>
      <c r="H12">
        <v>24.7</v>
      </c>
      <c r="I12">
        <v>22.9</v>
      </c>
      <c r="J12">
        <v>19.399999999999999</v>
      </c>
      <c r="K12">
        <v>18.100000000000001</v>
      </c>
      <c r="L12">
        <v>14.6</v>
      </c>
      <c r="M12">
        <v>13.9</v>
      </c>
      <c r="N12">
        <v>11.7</v>
      </c>
      <c r="O12">
        <v>11.4</v>
      </c>
      <c r="P12">
        <v>12.3</v>
      </c>
      <c r="Q12">
        <v>11.9</v>
      </c>
      <c r="R12">
        <v>14.4</v>
      </c>
      <c r="S12">
        <v>14.7</v>
      </c>
      <c r="T12">
        <v>15.4</v>
      </c>
      <c r="U12">
        <v>14.9</v>
      </c>
      <c r="V12">
        <v>14.2</v>
      </c>
      <c r="W12">
        <v>12.4</v>
      </c>
      <c r="X12">
        <v>11.5</v>
      </c>
      <c r="Y12">
        <v>13</v>
      </c>
      <c r="Z12">
        <v>15.3</v>
      </c>
      <c r="AA12">
        <v>16.2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21.4</v>
      </c>
      <c r="E13">
        <v>36.1</v>
      </c>
      <c r="F13">
        <v>41.2</v>
      </c>
      <c r="G13">
        <v>43.5</v>
      </c>
      <c r="H13">
        <v>25.1</v>
      </c>
      <c r="I13">
        <v>19.2</v>
      </c>
      <c r="J13">
        <v>7.9</v>
      </c>
      <c r="K13">
        <v>7.3</v>
      </c>
      <c r="L13">
        <v>12.8</v>
      </c>
      <c r="M13">
        <v>10.8</v>
      </c>
      <c r="N13">
        <v>11</v>
      </c>
      <c r="O13">
        <v>11.5</v>
      </c>
      <c r="P13">
        <v>9.6999999999999993</v>
      </c>
      <c r="Q13">
        <v>10.9</v>
      </c>
      <c r="R13">
        <v>11.4</v>
      </c>
      <c r="S13">
        <v>8.6</v>
      </c>
      <c r="T13">
        <v>10.7</v>
      </c>
      <c r="U13">
        <v>11.7</v>
      </c>
      <c r="V13">
        <v>9.1</v>
      </c>
      <c r="W13">
        <v>11</v>
      </c>
      <c r="X13">
        <v>14</v>
      </c>
      <c r="Y13">
        <v>18.399999999999999</v>
      </c>
      <c r="Z13">
        <v>18.399999999999999</v>
      </c>
      <c r="AA13">
        <v>18.3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22.3</v>
      </c>
      <c r="E14">
        <v>29.8</v>
      </c>
      <c r="F14">
        <v>35.700000000000003</v>
      </c>
      <c r="G14">
        <v>38.5</v>
      </c>
      <c r="H14">
        <v>25.1</v>
      </c>
      <c r="I14">
        <v>19.100000000000001</v>
      </c>
      <c r="J14">
        <v>8.4</v>
      </c>
      <c r="K14">
        <v>6.7</v>
      </c>
      <c r="L14">
        <v>13.2</v>
      </c>
      <c r="M14">
        <v>12.2</v>
      </c>
      <c r="N14">
        <v>12.4</v>
      </c>
      <c r="O14">
        <v>11.7</v>
      </c>
      <c r="P14">
        <v>10.9</v>
      </c>
      <c r="Q14">
        <v>9.4</v>
      </c>
      <c r="R14">
        <v>12</v>
      </c>
      <c r="S14">
        <v>7.9</v>
      </c>
      <c r="T14">
        <v>12.1</v>
      </c>
      <c r="U14">
        <v>9.3000000000000007</v>
      </c>
      <c r="V14">
        <v>8.6999999999999993</v>
      </c>
      <c r="W14">
        <v>7.6</v>
      </c>
      <c r="X14">
        <v>14.4</v>
      </c>
      <c r="Y14">
        <v>13.9</v>
      </c>
      <c r="Z14">
        <v>16.899999999999999</v>
      </c>
      <c r="AA14">
        <v>18.600000000000001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20.7</v>
      </c>
      <c r="E15">
        <v>33</v>
      </c>
      <c r="F15">
        <v>35</v>
      </c>
      <c r="G15">
        <v>34.299999999999997</v>
      </c>
      <c r="H15">
        <v>23.6</v>
      </c>
      <c r="I15">
        <v>18.3</v>
      </c>
      <c r="J15">
        <v>6</v>
      </c>
      <c r="K15">
        <v>3.2</v>
      </c>
      <c r="L15">
        <v>4.5</v>
      </c>
      <c r="M15">
        <v>12</v>
      </c>
      <c r="N15">
        <v>11.9</v>
      </c>
      <c r="O15">
        <v>10.5</v>
      </c>
      <c r="P15">
        <v>10.7</v>
      </c>
      <c r="Q15">
        <v>9.1999999999999993</v>
      </c>
      <c r="R15">
        <v>11.3</v>
      </c>
      <c r="S15">
        <v>12.1</v>
      </c>
      <c r="T15">
        <v>11.1</v>
      </c>
      <c r="U15">
        <v>9.8000000000000007</v>
      </c>
      <c r="V15">
        <v>10.199999999999999</v>
      </c>
      <c r="W15">
        <v>10.199999999999999</v>
      </c>
      <c r="X15">
        <v>15.2</v>
      </c>
      <c r="Y15">
        <v>15.9</v>
      </c>
      <c r="Z15">
        <v>15.6</v>
      </c>
      <c r="AA15">
        <v>18.399999999999999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18.600000000000001</v>
      </c>
      <c r="E16">
        <v>33</v>
      </c>
      <c r="F16">
        <v>33.6</v>
      </c>
      <c r="G16">
        <v>35.700000000000003</v>
      </c>
      <c r="H16">
        <v>24.4</v>
      </c>
      <c r="I16">
        <v>17.3</v>
      </c>
      <c r="J16">
        <v>8.9</v>
      </c>
      <c r="K16">
        <v>9.8000000000000007</v>
      </c>
      <c r="L16">
        <v>11.2</v>
      </c>
      <c r="M16">
        <v>12.1</v>
      </c>
      <c r="N16">
        <v>11.6</v>
      </c>
      <c r="O16">
        <v>9.8000000000000007</v>
      </c>
      <c r="P16">
        <v>10.1</v>
      </c>
      <c r="Q16">
        <v>11.4</v>
      </c>
      <c r="R16">
        <v>9.6999999999999993</v>
      </c>
      <c r="S16">
        <v>10.5</v>
      </c>
      <c r="T16">
        <v>11</v>
      </c>
      <c r="U16">
        <v>11.5</v>
      </c>
      <c r="V16">
        <v>10.6</v>
      </c>
      <c r="W16">
        <v>11.5</v>
      </c>
      <c r="X16">
        <v>13.6</v>
      </c>
      <c r="Y16">
        <v>10.4</v>
      </c>
      <c r="Z16">
        <v>11.3</v>
      </c>
      <c r="AA16">
        <v>17.8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25.1</v>
      </c>
      <c r="E17">
        <v>23.4</v>
      </c>
      <c r="F17">
        <v>36.5</v>
      </c>
      <c r="G17">
        <v>41.1</v>
      </c>
      <c r="H17">
        <v>23.6</v>
      </c>
      <c r="I17">
        <v>18.899999999999999</v>
      </c>
      <c r="J17">
        <v>6.5</v>
      </c>
      <c r="K17">
        <v>5.2</v>
      </c>
      <c r="L17">
        <v>13.2</v>
      </c>
      <c r="M17">
        <v>11.2</v>
      </c>
      <c r="N17">
        <v>8.6999999999999993</v>
      </c>
      <c r="O17">
        <v>9.1</v>
      </c>
      <c r="P17">
        <v>9.1</v>
      </c>
      <c r="Q17">
        <v>10.1</v>
      </c>
      <c r="R17">
        <v>9.8000000000000007</v>
      </c>
      <c r="S17">
        <v>8</v>
      </c>
      <c r="T17">
        <v>9.1999999999999993</v>
      </c>
      <c r="U17">
        <v>7.2</v>
      </c>
      <c r="V17">
        <v>11.8</v>
      </c>
      <c r="W17">
        <v>11</v>
      </c>
      <c r="X17">
        <v>12.2</v>
      </c>
      <c r="Y17">
        <v>15.4</v>
      </c>
      <c r="Z17">
        <v>14.4</v>
      </c>
      <c r="AA17">
        <v>17.7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19.600000000000001</v>
      </c>
      <c r="E18">
        <v>31.3</v>
      </c>
      <c r="F18">
        <v>36.6</v>
      </c>
      <c r="G18">
        <v>28.6</v>
      </c>
      <c r="H18">
        <v>25.3</v>
      </c>
      <c r="I18">
        <v>19.7</v>
      </c>
      <c r="J18">
        <v>16.3</v>
      </c>
      <c r="K18">
        <v>16</v>
      </c>
      <c r="L18">
        <v>12.6</v>
      </c>
      <c r="M18">
        <v>13.4</v>
      </c>
      <c r="N18">
        <v>9.6</v>
      </c>
      <c r="O18">
        <v>8.9</v>
      </c>
      <c r="P18">
        <v>8.5</v>
      </c>
      <c r="Q18">
        <v>8</v>
      </c>
      <c r="R18">
        <v>8.4</v>
      </c>
      <c r="S18">
        <v>9.5</v>
      </c>
      <c r="T18">
        <v>10.1</v>
      </c>
      <c r="U18">
        <v>10.3</v>
      </c>
      <c r="V18">
        <v>11.3</v>
      </c>
      <c r="W18">
        <v>10.7</v>
      </c>
      <c r="X18">
        <v>11.9</v>
      </c>
      <c r="Y18">
        <v>11.5</v>
      </c>
      <c r="Z18">
        <v>14.9</v>
      </c>
      <c r="AA18">
        <v>17.5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22.7</v>
      </c>
      <c r="E19">
        <v>26.7</v>
      </c>
      <c r="F19">
        <v>26.4</v>
      </c>
      <c r="G19">
        <v>24.9</v>
      </c>
      <c r="H19">
        <v>24.2</v>
      </c>
      <c r="I19">
        <v>22.5</v>
      </c>
      <c r="J19">
        <v>18.3</v>
      </c>
      <c r="K19">
        <v>15.6</v>
      </c>
      <c r="L19">
        <v>13.6</v>
      </c>
      <c r="M19">
        <v>10.199999999999999</v>
      </c>
      <c r="N19">
        <v>12.1</v>
      </c>
      <c r="O19">
        <v>11.3</v>
      </c>
      <c r="P19">
        <v>9.6999999999999993</v>
      </c>
      <c r="Q19">
        <v>13.3</v>
      </c>
      <c r="R19">
        <v>12</v>
      </c>
      <c r="S19">
        <v>12.9</v>
      </c>
      <c r="T19">
        <v>15.4</v>
      </c>
      <c r="U19">
        <v>13.3</v>
      </c>
      <c r="V19">
        <v>14.1</v>
      </c>
      <c r="W19">
        <v>13.7</v>
      </c>
      <c r="X19">
        <v>14.4</v>
      </c>
      <c r="Y19">
        <v>14.3</v>
      </c>
      <c r="Z19">
        <v>20.6</v>
      </c>
      <c r="AA19">
        <v>18.8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24.3</v>
      </c>
      <c r="E20">
        <v>26.9</v>
      </c>
      <c r="F20">
        <v>24.5</v>
      </c>
      <c r="G20">
        <v>41.5</v>
      </c>
      <c r="H20">
        <v>22.6</v>
      </c>
      <c r="I20">
        <v>17.100000000000001</v>
      </c>
      <c r="J20">
        <v>8.1</v>
      </c>
      <c r="K20">
        <v>7.3</v>
      </c>
      <c r="L20">
        <v>10.9</v>
      </c>
      <c r="M20">
        <v>11.5</v>
      </c>
      <c r="N20">
        <v>11.6</v>
      </c>
      <c r="O20">
        <v>11.7</v>
      </c>
      <c r="P20">
        <v>9.8000000000000007</v>
      </c>
      <c r="Q20">
        <v>10.9</v>
      </c>
      <c r="R20">
        <v>10.9</v>
      </c>
      <c r="S20">
        <v>11.6</v>
      </c>
      <c r="T20">
        <v>11.4</v>
      </c>
      <c r="U20">
        <v>9.6</v>
      </c>
      <c r="V20">
        <v>10.6</v>
      </c>
      <c r="W20">
        <v>13.1</v>
      </c>
      <c r="X20">
        <v>13.3</v>
      </c>
      <c r="Y20">
        <v>15.5</v>
      </c>
      <c r="Z20">
        <v>18.100000000000001</v>
      </c>
      <c r="AA20">
        <v>18.3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24.2</v>
      </c>
      <c r="E21">
        <v>29.7</v>
      </c>
      <c r="F21">
        <v>35.299999999999997</v>
      </c>
      <c r="G21">
        <v>40.5</v>
      </c>
      <c r="H21">
        <v>26.2</v>
      </c>
      <c r="I21">
        <v>18.600000000000001</v>
      </c>
      <c r="J21">
        <v>10.3</v>
      </c>
      <c r="K21">
        <v>9.1</v>
      </c>
      <c r="L21">
        <v>13.1</v>
      </c>
      <c r="M21">
        <v>12.3</v>
      </c>
      <c r="N21">
        <v>11</v>
      </c>
      <c r="O21">
        <v>9.6999999999999993</v>
      </c>
      <c r="P21">
        <v>11.4</v>
      </c>
      <c r="Q21">
        <v>10.9</v>
      </c>
      <c r="R21">
        <v>11.6</v>
      </c>
      <c r="S21">
        <v>9.8000000000000007</v>
      </c>
      <c r="T21">
        <v>10.5</v>
      </c>
      <c r="U21">
        <v>6.8</v>
      </c>
      <c r="V21">
        <v>9.8000000000000007</v>
      </c>
      <c r="W21">
        <v>9.9</v>
      </c>
      <c r="X21">
        <v>11.6</v>
      </c>
      <c r="Y21">
        <v>14.9</v>
      </c>
      <c r="Z21">
        <v>17.3</v>
      </c>
      <c r="AA21">
        <v>16.3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19.100000000000001</v>
      </c>
      <c r="E22">
        <v>33.4</v>
      </c>
      <c r="F22">
        <v>43.3</v>
      </c>
      <c r="G22">
        <v>31.4</v>
      </c>
      <c r="H22">
        <v>23</v>
      </c>
      <c r="I22">
        <v>16.899999999999999</v>
      </c>
      <c r="J22">
        <v>9.4</v>
      </c>
      <c r="K22">
        <v>10.4</v>
      </c>
      <c r="L22">
        <v>11.1</v>
      </c>
      <c r="M22">
        <v>11.4</v>
      </c>
      <c r="N22">
        <v>12.4</v>
      </c>
      <c r="O22">
        <v>11.1</v>
      </c>
      <c r="P22">
        <v>11.6</v>
      </c>
      <c r="Q22">
        <v>9.9</v>
      </c>
      <c r="R22">
        <v>10.4</v>
      </c>
      <c r="S22">
        <v>11.4</v>
      </c>
      <c r="T22">
        <v>10.1</v>
      </c>
      <c r="U22">
        <v>9.5</v>
      </c>
      <c r="V22">
        <v>8.1</v>
      </c>
      <c r="W22">
        <v>7.1</v>
      </c>
      <c r="X22">
        <v>12.2</v>
      </c>
      <c r="Y22">
        <v>15.5</v>
      </c>
      <c r="Z22">
        <v>16.899999999999999</v>
      </c>
      <c r="AA22">
        <v>18.5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27.6</v>
      </c>
      <c r="E23">
        <v>26.6</v>
      </c>
      <c r="F23">
        <v>42.7</v>
      </c>
      <c r="G23">
        <v>36.799999999999997</v>
      </c>
      <c r="H23">
        <v>22.4</v>
      </c>
      <c r="I23">
        <v>17.600000000000001</v>
      </c>
      <c r="J23">
        <v>10.8</v>
      </c>
      <c r="K23">
        <v>10.9</v>
      </c>
      <c r="L23">
        <v>13.3</v>
      </c>
      <c r="M23">
        <v>12.3</v>
      </c>
      <c r="N23">
        <v>11.3</v>
      </c>
      <c r="O23">
        <v>11.2</v>
      </c>
      <c r="P23">
        <v>10.4</v>
      </c>
      <c r="Q23">
        <v>10.1</v>
      </c>
      <c r="R23">
        <v>10.6</v>
      </c>
      <c r="S23">
        <v>12.1</v>
      </c>
      <c r="T23">
        <v>11.8</v>
      </c>
      <c r="U23">
        <v>10.7</v>
      </c>
      <c r="V23">
        <v>10.6</v>
      </c>
      <c r="W23">
        <v>9.3000000000000007</v>
      </c>
      <c r="X23">
        <v>12</v>
      </c>
      <c r="Y23">
        <v>15.1</v>
      </c>
      <c r="Z23">
        <v>17.600000000000001</v>
      </c>
      <c r="AA23">
        <v>19.7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27.9</v>
      </c>
      <c r="E24">
        <v>27.9</v>
      </c>
      <c r="F24">
        <v>34.299999999999997</v>
      </c>
      <c r="G24">
        <v>37.5</v>
      </c>
      <c r="H24">
        <v>22.3</v>
      </c>
      <c r="I24">
        <v>15.6</v>
      </c>
      <c r="J24">
        <v>11.5</v>
      </c>
      <c r="K24">
        <v>10</v>
      </c>
      <c r="L24">
        <v>12</v>
      </c>
      <c r="M24">
        <v>12</v>
      </c>
      <c r="N24">
        <v>9.3000000000000007</v>
      </c>
      <c r="O24">
        <v>10.7</v>
      </c>
      <c r="P24">
        <v>7.5</v>
      </c>
      <c r="Q24">
        <v>10.199999999999999</v>
      </c>
      <c r="R24">
        <v>9.5</v>
      </c>
      <c r="S24">
        <v>11.3</v>
      </c>
      <c r="T24">
        <v>9.9</v>
      </c>
      <c r="U24">
        <v>7.8</v>
      </c>
      <c r="V24">
        <v>9.4</v>
      </c>
      <c r="W24">
        <v>9.6999999999999993</v>
      </c>
      <c r="X24">
        <v>11.5</v>
      </c>
      <c r="Y24">
        <v>15.2</v>
      </c>
      <c r="Z24">
        <v>15.6</v>
      </c>
      <c r="AA24">
        <v>14.8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21</v>
      </c>
      <c r="E25">
        <v>26.3</v>
      </c>
      <c r="F25">
        <v>39.299999999999997</v>
      </c>
      <c r="G25">
        <v>32.200000000000003</v>
      </c>
      <c r="H25">
        <v>27</v>
      </c>
      <c r="I25">
        <v>16.8</v>
      </c>
      <c r="J25">
        <v>15.9</v>
      </c>
      <c r="K25">
        <v>14.9</v>
      </c>
      <c r="L25">
        <v>13.6</v>
      </c>
      <c r="M25">
        <v>10.199999999999999</v>
      </c>
      <c r="N25">
        <v>9.5</v>
      </c>
      <c r="O25">
        <v>8.6999999999999993</v>
      </c>
      <c r="P25">
        <v>10.1</v>
      </c>
      <c r="Q25">
        <v>8.1999999999999993</v>
      </c>
      <c r="R25">
        <v>7.8</v>
      </c>
      <c r="S25">
        <v>11.2</v>
      </c>
      <c r="T25">
        <v>10.3</v>
      </c>
      <c r="U25">
        <v>13.3</v>
      </c>
      <c r="V25">
        <v>11.5</v>
      </c>
      <c r="W25">
        <v>12.5</v>
      </c>
      <c r="X25">
        <v>15.5</v>
      </c>
      <c r="Y25">
        <v>16.7</v>
      </c>
      <c r="Z25">
        <v>14.8</v>
      </c>
      <c r="AA25">
        <v>22.3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17.399999999999999</v>
      </c>
      <c r="E26">
        <v>25.4</v>
      </c>
      <c r="F26">
        <v>25</v>
      </c>
      <c r="G26">
        <v>20.9</v>
      </c>
      <c r="H26">
        <v>26.3</v>
      </c>
      <c r="I26">
        <v>20.8</v>
      </c>
      <c r="J26">
        <v>20.399999999999999</v>
      </c>
      <c r="K26">
        <v>16.600000000000001</v>
      </c>
      <c r="L26">
        <v>14</v>
      </c>
      <c r="M26">
        <v>11.4</v>
      </c>
      <c r="N26">
        <v>11.9</v>
      </c>
      <c r="O26">
        <v>9.3000000000000007</v>
      </c>
      <c r="P26">
        <v>10.6</v>
      </c>
      <c r="Q26">
        <v>12.2</v>
      </c>
      <c r="R26">
        <v>14.8</v>
      </c>
      <c r="S26">
        <v>16.7</v>
      </c>
      <c r="T26">
        <v>12.6</v>
      </c>
      <c r="U26">
        <v>12.6</v>
      </c>
      <c r="V26">
        <v>16</v>
      </c>
      <c r="W26">
        <v>10.4</v>
      </c>
      <c r="X26">
        <v>13.1</v>
      </c>
      <c r="Y26">
        <v>13.3</v>
      </c>
      <c r="Z26">
        <v>15.3</v>
      </c>
      <c r="AA26">
        <v>17.899999999999999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22.6</v>
      </c>
      <c r="E27">
        <v>31.7</v>
      </c>
      <c r="F27">
        <v>33.200000000000003</v>
      </c>
      <c r="G27">
        <v>37.299999999999997</v>
      </c>
      <c r="H27">
        <v>23.8</v>
      </c>
      <c r="I27">
        <v>15.7</v>
      </c>
      <c r="J27">
        <v>11.7</v>
      </c>
      <c r="K27">
        <v>10.1</v>
      </c>
      <c r="L27">
        <v>12.8</v>
      </c>
      <c r="M27">
        <v>10.5</v>
      </c>
      <c r="N27">
        <v>10.7</v>
      </c>
      <c r="O27">
        <v>11.3</v>
      </c>
      <c r="P27">
        <v>11.3</v>
      </c>
      <c r="Q27">
        <v>9.3000000000000007</v>
      </c>
      <c r="R27">
        <v>11.2</v>
      </c>
      <c r="S27">
        <v>12.2</v>
      </c>
      <c r="T27">
        <v>9.5</v>
      </c>
      <c r="U27">
        <v>6.3</v>
      </c>
      <c r="V27">
        <v>8.9</v>
      </c>
      <c r="W27">
        <v>10.3</v>
      </c>
      <c r="X27">
        <v>12.1</v>
      </c>
      <c r="Y27">
        <v>14.3</v>
      </c>
      <c r="Z27">
        <v>16.3</v>
      </c>
      <c r="AA27">
        <v>17.600000000000001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26.5</v>
      </c>
      <c r="E28">
        <v>26.2</v>
      </c>
      <c r="F28">
        <v>37.700000000000003</v>
      </c>
      <c r="G28">
        <v>38.5</v>
      </c>
      <c r="H28">
        <v>21.8</v>
      </c>
      <c r="I28">
        <v>17.600000000000001</v>
      </c>
      <c r="J28">
        <v>10.5</v>
      </c>
      <c r="K28">
        <v>8.4</v>
      </c>
      <c r="L28">
        <v>10.7</v>
      </c>
      <c r="M28">
        <v>12.9</v>
      </c>
      <c r="N28">
        <v>12.6</v>
      </c>
      <c r="O28">
        <v>11.9</v>
      </c>
      <c r="P28">
        <v>10.199999999999999</v>
      </c>
      <c r="Q28">
        <v>10</v>
      </c>
      <c r="R28">
        <v>10.9</v>
      </c>
      <c r="S28">
        <v>10.9</v>
      </c>
      <c r="T28">
        <v>11.3</v>
      </c>
      <c r="U28">
        <v>9.6</v>
      </c>
      <c r="V28">
        <v>10.5</v>
      </c>
      <c r="W28">
        <v>12.3</v>
      </c>
      <c r="X28">
        <v>15.4</v>
      </c>
      <c r="Y28">
        <v>15.9</v>
      </c>
      <c r="Z28">
        <v>18</v>
      </c>
      <c r="AA28">
        <v>19.399999999999999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27.4</v>
      </c>
      <c r="E29">
        <v>26.5</v>
      </c>
      <c r="F29">
        <v>34.1</v>
      </c>
      <c r="G29">
        <v>38.5</v>
      </c>
      <c r="H29">
        <v>22.7</v>
      </c>
      <c r="I29">
        <v>16.5</v>
      </c>
      <c r="J29">
        <v>8.9</v>
      </c>
      <c r="K29">
        <v>10.199999999999999</v>
      </c>
      <c r="L29">
        <v>10.6</v>
      </c>
      <c r="M29">
        <v>10</v>
      </c>
      <c r="N29">
        <v>10.7</v>
      </c>
      <c r="O29">
        <v>10</v>
      </c>
      <c r="P29">
        <v>10.7</v>
      </c>
      <c r="Q29">
        <v>8.1999999999999993</v>
      </c>
      <c r="R29">
        <v>9.9</v>
      </c>
      <c r="S29">
        <v>11.8</v>
      </c>
      <c r="T29">
        <v>8.5</v>
      </c>
      <c r="U29">
        <v>9.3000000000000007</v>
      </c>
      <c r="V29">
        <v>1.8</v>
      </c>
      <c r="W29">
        <v>2.5</v>
      </c>
      <c r="X29">
        <v>5</v>
      </c>
      <c r="Y29">
        <v>9.4</v>
      </c>
      <c r="Z29">
        <v>7.7</v>
      </c>
      <c r="AA29">
        <v>16.600000000000001</v>
      </c>
    </row>
    <row r="31" spans="1:27" x14ac:dyDescent="0.25">
      <c r="C31">
        <v>1</v>
      </c>
      <c r="D31">
        <f t="array" ref="D31">MEDIAN(IF($C$3:$C$29=$C31,D$3:D$29,""))</f>
        <v>20.5</v>
      </c>
      <c r="E31">
        <f t="array" ref="E31">MEDIAN(IF($C$3:$C$29=$C31,E$3:E$29,""))</f>
        <v>26.049999999999997</v>
      </c>
      <c r="F31">
        <f t="array" ref="F31">MEDIAN(IF($C$3:$C$29=$C31,F$3:F$29,""))</f>
        <v>24.8</v>
      </c>
      <c r="G31">
        <f t="array" ref="G31">MEDIAN(IF($C$3:$C$29=$C31,G$3:G$29,""))</f>
        <v>23</v>
      </c>
      <c r="H31">
        <f t="array" ref="H31">MEDIAN(IF($C$3:$C$29=$C31,H$3:H$29,""))</f>
        <v>24.45</v>
      </c>
      <c r="I31">
        <f t="array" ref="I31">MEDIAN(IF($C$3:$C$29=$C31,I$3:I$29,""))</f>
        <v>22.7</v>
      </c>
      <c r="J31">
        <f t="array" ref="J31">MEDIAN(IF($C$3:$C$29=$C31,J$3:J$29,""))</f>
        <v>18.95</v>
      </c>
      <c r="K31">
        <f t="array" ref="K31">MEDIAN(IF($C$3:$C$29=$C31,K$3:K$29,""))</f>
        <v>17</v>
      </c>
      <c r="L31">
        <f t="array" ref="L31">MEDIAN(IF($C$3:$C$29=$C31,L$3:L$29,""))</f>
        <v>14</v>
      </c>
      <c r="M31">
        <f t="array" ref="M31">MEDIAN(IF($C$3:$C$29=$C31,M$3:M$29,""))</f>
        <v>10.8</v>
      </c>
      <c r="N31">
        <f t="array" ref="N31">MEDIAN(IF($C$3:$C$29=$C31,N$3:N$29,""))</f>
        <v>11.8</v>
      </c>
      <c r="O31">
        <f t="array" ref="O31">MEDIAN(IF($C$3:$C$29=$C31,O$3:O$29,""))</f>
        <v>10.3</v>
      </c>
      <c r="P31">
        <f t="array" ref="P31">MEDIAN(IF($C$3:$C$29=$C31,P$3:P$29,""))</f>
        <v>10.149999999999999</v>
      </c>
      <c r="Q31">
        <f t="array" ref="Q31">MEDIAN(IF($C$3:$C$29=$C31,Q$3:Q$29,""))</f>
        <v>12.05</v>
      </c>
      <c r="R31">
        <f t="array" ref="R31">MEDIAN(IF($C$3:$C$29=$C31,R$3:R$29,""))</f>
        <v>13.2</v>
      </c>
      <c r="S31">
        <f t="array" ref="S31">MEDIAN(IF($C$3:$C$29=$C31,S$3:S$29,""))</f>
        <v>13.8</v>
      </c>
      <c r="T31">
        <f t="array" ref="T31">MEDIAN(IF($C$3:$C$29=$C31,T$3:T$29,""))</f>
        <v>14</v>
      </c>
      <c r="U31">
        <f t="array" ref="U31">MEDIAN(IF($C$3:$C$29=$C31,U$3:U$29,""))</f>
        <v>12.95</v>
      </c>
      <c r="V31">
        <f t="array" ref="V31">MEDIAN(IF($C$3:$C$29=$C31,V$3:V$29,""))</f>
        <v>14.149999999999999</v>
      </c>
      <c r="W31">
        <f t="array" ref="W31">MEDIAN(IF($C$3:$C$29=$C31,W$3:W$29,""))</f>
        <v>11.4</v>
      </c>
      <c r="X31">
        <f t="array" ref="X31">MEDIAN(IF($C$3:$C$29=$C31,X$3:X$29,""))</f>
        <v>12.3</v>
      </c>
      <c r="Y31">
        <f t="array" ref="Y31">MEDIAN(IF($C$3:$C$29=$C31,Y$3:Y$29,""))</f>
        <v>13.15</v>
      </c>
      <c r="Z31">
        <f t="array" ref="Z31">MEDIAN(IF($C$3:$C$29=$C31,Z$3:Z$29,""))</f>
        <v>15.3</v>
      </c>
      <c r="AA31">
        <f t="array" ref="AA31">MEDIAN(IF($C$3:$C$29=$C31,AA$3:AA$29,""))</f>
        <v>18.350000000000001</v>
      </c>
    </row>
    <row r="32" spans="1:27" x14ac:dyDescent="0.25">
      <c r="C32">
        <v>2</v>
      </c>
      <c r="D32">
        <f t="array" ref="D32">MEDIAN(IF($C$3:$C$29=$C32,D$3:D$29,""))</f>
        <v>19.200000000000003</v>
      </c>
      <c r="E32">
        <f t="array" ref="E32">MEDIAN(IF($C$3:$C$29=$C32,E$3:E$29,""))</f>
        <v>28.15</v>
      </c>
      <c r="F32">
        <f t="array" ref="F32">MEDIAN(IF($C$3:$C$29=$C32,F$3:F$29,""))</f>
        <v>35.1</v>
      </c>
      <c r="G32">
        <f t="array" ref="G32">MEDIAN(IF($C$3:$C$29=$C32,G$3:G$29,""))</f>
        <v>31.5</v>
      </c>
      <c r="H32">
        <f t="array" ref="H32">MEDIAN(IF($C$3:$C$29=$C32,H$3:H$29,""))</f>
        <v>25.15</v>
      </c>
      <c r="I32">
        <f t="array" ref="I32">MEDIAN(IF($C$3:$C$29=$C32,I$3:I$29,""))</f>
        <v>19.75</v>
      </c>
      <c r="J32">
        <f t="array" ref="J32">MEDIAN(IF($C$3:$C$29=$C32,J$3:J$29,""))</f>
        <v>16.100000000000001</v>
      </c>
      <c r="K32">
        <f t="array" ref="K32">MEDIAN(IF($C$3:$C$29=$C32,K$3:K$29,""))</f>
        <v>14.7</v>
      </c>
      <c r="L32">
        <f t="array" ref="L32">MEDIAN(IF($C$3:$C$29=$C32,L$3:L$29,""))</f>
        <v>12.55</v>
      </c>
      <c r="M32">
        <f t="array" ref="M32">MEDIAN(IF($C$3:$C$29=$C32,M$3:M$29,""))</f>
        <v>10.95</v>
      </c>
      <c r="N32">
        <f t="array" ref="N32">MEDIAN(IF($C$3:$C$29=$C32,N$3:N$29,""))</f>
        <v>9.1999999999999993</v>
      </c>
      <c r="O32">
        <f t="array" ref="O32">MEDIAN(IF($C$3:$C$29=$C32,O$3:O$29,""))</f>
        <v>8.8000000000000007</v>
      </c>
      <c r="P32">
        <f t="array" ref="P32">MEDIAN(IF($C$3:$C$29=$C32,P$3:P$29,""))</f>
        <v>9</v>
      </c>
      <c r="Q32">
        <f t="array" ref="Q32">MEDIAN(IF($C$3:$C$29=$C32,Q$3:Q$29,""))</f>
        <v>7.45</v>
      </c>
      <c r="R32">
        <f t="array" ref="R32">MEDIAN(IF($C$3:$C$29=$C32,R$3:R$29,""))</f>
        <v>8.1</v>
      </c>
      <c r="S32">
        <f t="array" ref="S32">MEDIAN(IF($C$3:$C$29=$C32,S$3:S$29,""))</f>
        <v>9.9499999999999993</v>
      </c>
      <c r="T32">
        <f t="array" ref="T32">MEDIAN(IF($C$3:$C$29=$C32,T$3:T$29,""))</f>
        <v>9.6499999999999986</v>
      </c>
      <c r="U32">
        <f t="array" ref="U32">MEDIAN(IF($C$3:$C$29=$C32,U$3:U$29,""))</f>
        <v>9.8000000000000007</v>
      </c>
      <c r="V32">
        <f t="array" ref="V32">MEDIAN(IF($C$3:$C$29=$C32,V$3:V$29,""))</f>
        <v>9.8000000000000007</v>
      </c>
      <c r="W32">
        <f t="array" ref="W32">MEDIAN(IF($C$3:$C$29=$C32,W$3:W$29,""))</f>
        <v>11.399999999999999</v>
      </c>
      <c r="X32">
        <f t="array" ref="X32">MEDIAN(IF($C$3:$C$29=$C32,X$3:X$29,""))</f>
        <v>11.600000000000001</v>
      </c>
      <c r="Y32">
        <f t="array" ref="Y32">MEDIAN(IF($C$3:$C$29=$C32,Y$3:Y$29,""))</f>
        <v>13.05</v>
      </c>
      <c r="Z32">
        <f t="array" ref="Z32">MEDIAN(IF($C$3:$C$29=$C32,Z$3:Z$29,""))</f>
        <v>14.5</v>
      </c>
      <c r="AA32">
        <f t="array" ref="AA32">MEDIAN(IF($C$3:$C$29=$C32,AA$3:AA$29,""))</f>
        <v>17.05</v>
      </c>
    </row>
    <row r="33" spans="3:27" x14ac:dyDescent="0.25">
      <c r="C33">
        <v>3</v>
      </c>
      <c r="D33">
        <f t="array" ref="D33">MEDIAN(IF($C$3:$C$29=$C33,D$3:D$29,""))</f>
        <v>22</v>
      </c>
      <c r="E33">
        <f t="array" ref="E33">MEDIAN(IF($C$3:$C$29=$C33,E$3:E$29,""))</f>
        <v>29.6</v>
      </c>
      <c r="F33">
        <f t="array" ref="F33">MEDIAN(IF($C$3:$C$29=$C33,F$3:F$29,""))</f>
        <v>37.150000000000006</v>
      </c>
      <c r="G33">
        <f t="array" ref="G33">MEDIAN(IF($C$3:$C$29=$C33,G$3:G$29,""))</f>
        <v>39.4</v>
      </c>
      <c r="H33">
        <f t="array" ref="H33">MEDIAN(IF($C$3:$C$29=$C33,H$3:H$29,""))</f>
        <v>23.3</v>
      </c>
      <c r="I33">
        <f t="array" ref="I33">MEDIAN(IF($C$3:$C$29=$C33,I$3:I$29,""))</f>
        <v>17.100000000000001</v>
      </c>
      <c r="J33">
        <f t="array" ref="J33">MEDIAN(IF($C$3:$C$29=$C33,J$3:J$29,""))</f>
        <v>8</v>
      </c>
      <c r="K33">
        <f t="array" ref="K33">MEDIAN(IF($C$3:$C$29=$C33,K$3:K$29,""))</f>
        <v>7.3</v>
      </c>
      <c r="L33">
        <f t="array" ref="L33">MEDIAN(IF($C$3:$C$29=$C33,L$3:L$29,""))</f>
        <v>12.8</v>
      </c>
      <c r="M33">
        <f t="array" ref="M33">MEDIAN(IF($C$3:$C$29=$C33,M$3:M$29,""))</f>
        <v>10.65</v>
      </c>
      <c r="N33">
        <f t="array" ref="N33">MEDIAN(IF($C$3:$C$29=$C33,N$3:N$29,""))</f>
        <v>10.85</v>
      </c>
      <c r="O33">
        <f t="array" ref="O33">MEDIAN(IF($C$3:$C$29=$C33,O$3:O$29,""))</f>
        <v>11.4</v>
      </c>
      <c r="P33">
        <f t="array" ref="P33">MEDIAN(IF($C$3:$C$29=$C33,P$3:P$29,""))</f>
        <v>9.75</v>
      </c>
      <c r="Q33">
        <f t="array" ref="Q33">MEDIAN(IF($C$3:$C$29=$C33,Q$3:Q$29,""))</f>
        <v>10.100000000000001</v>
      </c>
      <c r="R33">
        <f t="array" ref="R33">MEDIAN(IF($C$3:$C$29=$C33,R$3:R$29,""))</f>
        <v>11.05</v>
      </c>
      <c r="S33">
        <f t="array" ref="S33">MEDIAN(IF($C$3:$C$29=$C33,S$3:S$29,""))</f>
        <v>10.1</v>
      </c>
      <c r="T33">
        <f t="array" ref="T33">MEDIAN(IF($C$3:$C$29=$C33,T$3:T$29,""))</f>
        <v>10.1</v>
      </c>
      <c r="U33">
        <f t="array" ref="U33">MEDIAN(IF($C$3:$C$29=$C33,U$3:U$29,""))</f>
        <v>9.9499999999999993</v>
      </c>
      <c r="V33">
        <f t="array" ref="V33">MEDIAN(IF($C$3:$C$29=$C33,V$3:V$29,""))</f>
        <v>9.85</v>
      </c>
      <c r="W33">
        <f t="array" ref="W33">MEDIAN(IF($C$3:$C$29=$C33,W$3:W$29,""))</f>
        <v>12.05</v>
      </c>
      <c r="X33">
        <f t="array" ref="X33">MEDIAN(IF($C$3:$C$29=$C33,X$3:X$29,""))</f>
        <v>12.7</v>
      </c>
      <c r="Y33">
        <f t="array" ref="Y33">MEDIAN(IF($C$3:$C$29=$C33,Y$3:Y$29,""))</f>
        <v>15.1</v>
      </c>
      <c r="Z33">
        <f t="array" ref="Z33">MEDIAN(IF($C$3:$C$29=$C33,Z$3:Z$29,""))</f>
        <v>17.200000000000003</v>
      </c>
      <c r="AA33">
        <f t="array" ref="AA33">MEDIAN(IF($C$3:$C$29=$C33,AA$3:AA$29,""))</f>
        <v>18.3</v>
      </c>
    </row>
    <row r="34" spans="3:27" x14ac:dyDescent="0.25">
      <c r="C34">
        <v>4</v>
      </c>
      <c r="D34">
        <f t="array" ref="D34">MEDIAN(IF($C$3:$C$29=$C34,D$3:D$29,""))</f>
        <v>23.25</v>
      </c>
      <c r="E34">
        <f t="array" ref="E34">MEDIAN(IF($C$3:$C$29=$C34,E$3:E$29,""))</f>
        <v>27.95</v>
      </c>
      <c r="F34">
        <f t="array" ref="F34">MEDIAN(IF($C$3:$C$29=$C34,F$3:F$29,""))</f>
        <v>36.6</v>
      </c>
      <c r="G34">
        <f t="array" ref="G34">MEDIAN(IF($C$3:$C$29=$C34,G$3:G$29,""))</f>
        <v>38.5</v>
      </c>
      <c r="H34">
        <f t="array" ref="H34">MEDIAN(IF($C$3:$C$29=$C34,H$3:H$29,""))</f>
        <v>24.1</v>
      </c>
      <c r="I34">
        <f t="array" ref="I34">MEDIAN(IF($C$3:$C$29=$C34,I$3:I$29,""))</f>
        <v>18.100000000000001</v>
      </c>
      <c r="J34">
        <f t="array" ref="J34">MEDIAN(IF($C$3:$C$29=$C34,J$3:J$29,""))</f>
        <v>9.6000000000000014</v>
      </c>
      <c r="K34">
        <f t="array" ref="K34">MEDIAN(IF($C$3:$C$29=$C34,K$3:K$29,""))</f>
        <v>8.25</v>
      </c>
      <c r="L34">
        <f t="array" ref="L34">MEDIAN(IF($C$3:$C$29=$C34,L$3:L$29,""))</f>
        <v>12.45</v>
      </c>
      <c r="M34">
        <f t="array" ref="M34">MEDIAN(IF($C$3:$C$29=$C34,M$3:M$29,""))</f>
        <v>12.25</v>
      </c>
      <c r="N34">
        <f t="array" ref="N34">MEDIAN(IF($C$3:$C$29=$C34,N$3:N$29,""))</f>
        <v>11.7</v>
      </c>
      <c r="O34">
        <f t="array" ref="O34">MEDIAN(IF($C$3:$C$29=$C34,O$3:O$29,""))</f>
        <v>10.7</v>
      </c>
      <c r="P34">
        <f t="array" ref="P34">MEDIAN(IF($C$3:$C$29=$C34,P$3:P$29,""))</f>
        <v>10.55</v>
      </c>
      <c r="Q34">
        <f t="array" ref="Q34">MEDIAN(IF($C$3:$C$29=$C34,Q$3:Q$29,""))</f>
        <v>9.6999999999999993</v>
      </c>
      <c r="R34">
        <f t="array" ref="R34">MEDIAN(IF($C$3:$C$29=$C34,R$3:R$29,""))</f>
        <v>11.25</v>
      </c>
      <c r="S34">
        <f t="array" ref="S34">MEDIAN(IF($C$3:$C$29=$C34,S$3:S$29,""))</f>
        <v>8.8500000000000014</v>
      </c>
      <c r="T34">
        <f t="array" ref="T34">MEDIAN(IF($C$3:$C$29=$C34,T$3:T$29,""))</f>
        <v>10.9</v>
      </c>
      <c r="U34">
        <f t="array" ref="U34">MEDIAN(IF($C$3:$C$29=$C34,U$3:U$29,""))</f>
        <v>9.4499999999999993</v>
      </c>
      <c r="V34">
        <f t="array" ref="V34">MEDIAN(IF($C$3:$C$29=$C34,V$3:V$29,""))</f>
        <v>10.15</v>
      </c>
      <c r="W34">
        <f t="array" ref="W34">MEDIAN(IF($C$3:$C$29=$C34,W$3:W$29,""))</f>
        <v>9.3000000000000007</v>
      </c>
      <c r="X34">
        <f t="array" ref="X34">MEDIAN(IF($C$3:$C$29=$C34,X$3:X$29,""))</f>
        <v>13</v>
      </c>
      <c r="Y34">
        <f t="array" ref="Y34">MEDIAN(IF($C$3:$C$29=$C34,Y$3:Y$29,""))</f>
        <v>14.4</v>
      </c>
      <c r="Z34">
        <f t="array" ref="Z34">MEDIAN(IF($C$3:$C$29=$C34,Z$3:Z$29,""))</f>
        <v>17.100000000000001</v>
      </c>
      <c r="AA34">
        <f t="array" ref="AA34">MEDIAN(IF($C$3:$C$29=$C34,AA$3:AA$29,""))</f>
        <v>19</v>
      </c>
    </row>
    <row r="35" spans="3:27" x14ac:dyDescent="0.25">
      <c r="C35">
        <v>5</v>
      </c>
      <c r="D35">
        <f t="array" ref="D35">MEDIAN(IF($C$3:$C$29=$C35,D$3:D$29,""))</f>
        <v>21.35</v>
      </c>
      <c r="E35">
        <f t="array" ref="E35">MEDIAN(IF($C$3:$C$29=$C35,E$3:E$29,""))</f>
        <v>30.55</v>
      </c>
      <c r="F35">
        <f t="array" ref="F35">MEDIAN(IF($C$3:$C$29=$C35,F$3:F$29,""))</f>
        <v>37.049999999999997</v>
      </c>
      <c r="G35">
        <f t="array" ref="G35">MEDIAN(IF($C$3:$C$29=$C35,G$3:G$29,""))</f>
        <v>33.4</v>
      </c>
      <c r="H35">
        <f t="array" ref="H35">MEDIAN(IF($C$3:$C$29=$C35,H$3:H$29,""))</f>
        <v>23.3</v>
      </c>
      <c r="I35">
        <f t="array" ref="I35">MEDIAN(IF($C$3:$C$29=$C35,I$3:I$29,""))</f>
        <v>17.2</v>
      </c>
      <c r="J35">
        <f t="array" ref="J35">MEDIAN(IF($C$3:$C$29=$C35,J$3:J$29,""))</f>
        <v>8.4499999999999993</v>
      </c>
      <c r="K35">
        <f t="array" ref="K35">MEDIAN(IF($C$3:$C$29=$C35,K$3:K$29,""))</f>
        <v>9.1999999999999993</v>
      </c>
      <c r="L35">
        <f t="array" ref="L35">MEDIAN(IF($C$3:$C$29=$C35,L$3:L$29,""))</f>
        <v>10.55</v>
      </c>
      <c r="M35">
        <f t="array" ref="M35">MEDIAN(IF($C$3:$C$29=$C35,M$3:M$29,""))</f>
        <v>10.7</v>
      </c>
      <c r="N35">
        <f t="array" ref="N35">MEDIAN(IF($C$3:$C$29=$C35,N$3:N$29,""))</f>
        <v>11.3</v>
      </c>
      <c r="O35">
        <f t="array" ref="O35">MEDIAN(IF($C$3:$C$29=$C35,O$3:O$29,""))</f>
        <v>10.25</v>
      </c>
      <c r="P35">
        <f t="array" ref="P35">MEDIAN(IF($C$3:$C$29=$C35,P$3:P$29,""))</f>
        <v>10.7</v>
      </c>
      <c r="Q35">
        <f t="array" ref="Q35">MEDIAN(IF($C$3:$C$29=$C35,Q$3:Q$29,""))</f>
        <v>8.6999999999999993</v>
      </c>
      <c r="R35">
        <f t="array" ref="R35">MEDIAN(IF($C$3:$C$29=$C35,R$3:R$29,""))</f>
        <v>10.15</v>
      </c>
      <c r="S35">
        <f t="array" ref="S35">MEDIAN(IF($C$3:$C$29=$C35,S$3:S$29,""))</f>
        <v>11.600000000000001</v>
      </c>
      <c r="T35">
        <f t="array" ref="T35">MEDIAN(IF($C$3:$C$29=$C35,T$3:T$29,""))</f>
        <v>9.3000000000000007</v>
      </c>
      <c r="U35">
        <f t="array" ref="U35">MEDIAN(IF($C$3:$C$29=$C35,U$3:U$29,""))</f>
        <v>9.4</v>
      </c>
      <c r="V35">
        <f t="array" ref="V35">MEDIAN(IF($C$3:$C$29=$C35,V$3:V$29,""))</f>
        <v>9.1499999999999986</v>
      </c>
      <c r="W35">
        <f t="array" ref="W35">MEDIAN(IF($C$3:$C$29=$C35,W$3:W$29,""))</f>
        <v>8.6499999999999986</v>
      </c>
      <c r="X35">
        <f t="array" ref="X35">MEDIAN(IF($C$3:$C$29=$C35,X$3:X$29,""))</f>
        <v>8.9499999999999993</v>
      </c>
      <c r="Y35">
        <f t="array" ref="Y35">MEDIAN(IF($C$3:$C$29=$C35,Y$3:Y$29,""))</f>
        <v>13.85</v>
      </c>
      <c r="Z35">
        <f t="array" ref="Z35">MEDIAN(IF($C$3:$C$29=$C35,Z$3:Z$29,""))</f>
        <v>16.25</v>
      </c>
      <c r="AA35">
        <f t="array" ref="AA35">MEDIAN(IF($C$3:$C$29=$C35,AA$3:AA$29,""))</f>
        <v>18.45</v>
      </c>
    </row>
    <row r="36" spans="3:27" x14ac:dyDescent="0.25">
      <c r="C36">
        <v>6</v>
      </c>
      <c r="D36">
        <f t="array" ref="D36">MEDIAN(IF($C$3:$C$29=$C36,D$3:D$29,""))</f>
        <v>20.3</v>
      </c>
      <c r="E36">
        <f t="array" ref="E36">MEDIAN(IF($C$3:$C$29=$C36,E$3:E$29,""))</f>
        <v>30.7</v>
      </c>
      <c r="F36">
        <f t="array" ref="F36">MEDIAN(IF($C$3:$C$29=$C36,F$3:F$29,""))</f>
        <v>40.700000000000003</v>
      </c>
      <c r="G36">
        <f t="array" ref="G36">MEDIAN(IF($C$3:$C$29=$C36,G$3:G$29,""))</f>
        <v>35.700000000000003</v>
      </c>
      <c r="H36">
        <f t="array" ref="H36">MEDIAN(IF($C$3:$C$29=$C36,H$3:H$29,""))</f>
        <v>24.4</v>
      </c>
      <c r="I36">
        <f t="array" ref="I36">MEDIAN(IF($C$3:$C$29=$C36,I$3:I$29,""))</f>
        <v>17.600000000000001</v>
      </c>
      <c r="J36">
        <f t="array" ref="J36">MEDIAN(IF($C$3:$C$29=$C36,J$3:J$29,""))</f>
        <v>8.9</v>
      </c>
      <c r="K36">
        <f t="array" ref="K36">MEDIAN(IF($C$3:$C$29=$C36,K$3:K$29,""))</f>
        <v>9.9</v>
      </c>
      <c r="L36">
        <f t="array" ref="L36">MEDIAN(IF($C$3:$C$29=$C36,L$3:L$29,""))</f>
        <v>12.1</v>
      </c>
      <c r="M36">
        <f t="array" ref="M36">MEDIAN(IF($C$3:$C$29=$C36,M$3:M$29,""))</f>
        <v>12.3</v>
      </c>
      <c r="N36">
        <f t="array" ref="N36">MEDIAN(IF($C$3:$C$29=$C36,N$3:N$29,""))</f>
        <v>11.3</v>
      </c>
      <c r="O36">
        <f t="array" ref="O36">MEDIAN(IF($C$3:$C$29=$C36,O$3:O$29,""))</f>
        <v>10.1</v>
      </c>
      <c r="P36">
        <f t="array" ref="P36">MEDIAN(IF($C$3:$C$29=$C36,P$3:P$29,""))</f>
        <v>10.1</v>
      </c>
      <c r="Q36">
        <f t="array" ref="Q36">MEDIAN(IF($C$3:$C$29=$C36,Q$3:Q$29,""))</f>
        <v>10.1</v>
      </c>
      <c r="R36">
        <f t="array" ref="R36">MEDIAN(IF($C$3:$C$29=$C36,R$3:R$29,""))</f>
        <v>10.6</v>
      </c>
      <c r="S36">
        <f t="array" ref="S36">MEDIAN(IF($C$3:$C$29=$C36,S$3:S$29,""))</f>
        <v>10.7</v>
      </c>
      <c r="T36">
        <f t="array" ref="T36">MEDIAN(IF($C$3:$C$29=$C36,T$3:T$29,""))</f>
        <v>11</v>
      </c>
      <c r="U36">
        <f t="array" ref="U36">MEDIAN(IF($C$3:$C$29=$C36,U$3:U$29,""))</f>
        <v>10.8</v>
      </c>
      <c r="V36">
        <f t="array" ref="V36">MEDIAN(IF($C$3:$C$29=$C36,V$3:V$29,""))</f>
        <v>10.6</v>
      </c>
      <c r="W36">
        <f t="array" ref="W36">MEDIAN(IF($C$3:$C$29=$C36,W$3:W$29,""))</f>
        <v>11.2</v>
      </c>
      <c r="X36">
        <f t="array" ref="X36">MEDIAN(IF($C$3:$C$29=$C36,X$3:X$29,""))</f>
        <v>13.5</v>
      </c>
      <c r="Y36">
        <f t="array" ref="Y36">MEDIAN(IF($C$3:$C$29=$C36,Y$3:Y$29,""))</f>
        <v>15.1</v>
      </c>
      <c r="Z36">
        <f t="array" ref="Z36">MEDIAN(IF($C$3:$C$29=$C36,Z$3:Z$29,""))</f>
        <v>17.2</v>
      </c>
      <c r="AA36">
        <f t="array" ref="AA36">MEDIAN(IF($C$3:$C$29=$C36,AA$3:AA$29,""))</f>
        <v>18.2</v>
      </c>
    </row>
    <row r="37" spans="3:27" x14ac:dyDescent="0.25">
      <c r="C37">
        <v>7</v>
      </c>
      <c r="D37">
        <f t="array" ref="D37">MEDIAN(IF($C$3:$C$29=$C37,D$3:D$29,""))</f>
        <v>23.6</v>
      </c>
      <c r="E37">
        <f t="array" ref="E37">MEDIAN(IF($C$3:$C$29=$C37,E$3:E$29,""))</f>
        <v>27.25</v>
      </c>
      <c r="F37">
        <f t="array" ref="F37">MEDIAN(IF($C$3:$C$29=$C37,F$3:F$29,""))</f>
        <v>34.799999999999997</v>
      </c>
      <c r="G37">
        <f t="array" ref="G37">MEDIAN(IF($C$3:$C$29=$C37,G$3:G$29,""))</f>
        <v>39.299999999999997</v>
      </c>
      <c r="H37">
        <f t="array" ref="H37">MEDIAN(IF($C$3:$C$29=$C37,H$3:H$29,""))</f>
        <v>23.3</v>
      </c>
      <c r="I37">
        <f t="array" ref="I37">MEDIAN(IF($C$3:$C$29=$C37,I$3:I$29,""))</f>
        <v>18.799999999999997</v>
      </c>
      <c r="J37">
        <f t="array" ref="J37">MEDIAN(IF($C$3:$C$29=$C37,J$3:J$29,""))</f>
        <v>10.1</v>
      </c>
      <c r="K37">
        <f t="array" ref="K37">MEDIAN(IF($C$3:$C$29=$C37,K$3:K$29,""))</f>
        <v>8.4</v>
      </c>
      <c r="L37">
        <f t="array" ref="L37">MEDIAN(IF($C$3:$C$29=$C37,L$3:L$29,""))</f>
        <v>11.95</v>
      </c>
      <c r="M37">
        <f t="array" ref="M37">MEDIAN(IF($C$3:$C$29=$C37,M$3:M$29,""))</f>
        <v>10.95</v>
      </c>
      <c r="N37">
        <f t="array" ref="N37">MEDIAN(IF($C$3:$C$29=$C37,N$3:N$29,""))</f>
        <v>9</v>
      </c>
      <c r="O37">
        <f t="array" ref="O37">MEDIAN(IF($C$3:$C$29=$C37,O$3:O$29,""))</f>
        <v>9.5500000000000007</v>
      </c>
      <c r="P37">
        <f t="array" ref="P37">MEDIAN(IF($C$3:$C$29=$C37,P$3:P$29,""))</f>
        <v>8.3000000000000007</v>
      </c>
      <c r="Q37">
        <f t="array" ref="Q37">MEDIAN(IF($C$3:$C$29=$C37,Q$3:Q$29,""))</f>
        <v>9.1</v>
      </c>
      <c r="R37">
        <f t="array" ref="R37">MEDIAN(IF($C$3:$C$29=$C37,R$3:R$29,""))</f>
        <v>9.65</v>
      </c>
      <c r="S37">
        <f t="array" ref="S37">MEDIAN(IF($C$3:$C$29=$C37,S$3:S$29,""))</f>
        <v>8.35</v>
      </c>
      <c r="T37">
        <f t="array" ref="T37">MEDIAN(IF($C$3:$C$29=$C37,T$3:T$29,""))</f>
        <v>9.35</v>
      </c>
      <c r="U37">
        <f t="array" ref="U37">MEDIAN(IF($C$3:$C$29=$C37,U$3:U$29,""))</f>
        <v>7.4</v>
      </c>
      <c r="V37">
        <f t="array" ref="V37">MEDIAN(IF($C$3:$C$29=$C37,V$3:V$29,""))</f>
        <v>9.6999999999999993</v>
      </c>
      <c r="W37">
        <f t="array" ref="W37">MEDIAN(IF($C$3:$C$29=$C37,W$3:W$29,""))</f>
        <v>10.35</v>
      </c>
      <c r="X37">
        <f t="array" ref="X37">MEDIAN(IF($C$3:$C$29=$C37,X$3:X$29,""))</f>
        <v>11.45</v>
      </c>
      <c r="Y37">
        <f t="array" ref="Y37">MEDIAN(IF($C$3:$C$29=$C37,Y$3:Y$29,""))</f>
        <v>15.05</v>
      </c>
      <c r="Z37">
        <f t="array" ref="Z37">MEDIAN(IF($C$3:$C$29=$C37,Z$3:Z$29,""))</f>
        <v>13.95</v>
      </c>
      <c r="AA37">
        <f t="array" ref="AA37">MEDIAN(IF($C$3:$C$29=$C37,AA$3:AA$29,""))</f>
        <v>16.8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AA37"/>
  <sheetViews>
    <sheetView workbookViewId="0">
      <selection activeCell="G31" sqref="G31:G37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26.6</v>
      </c>
      <c r="E3">
        <v>34.299999999999997</v>
      </c>
      <c r="H3">
        <v>22.3</v>
      </c>
      <c r="I3">
        <v>22.7</v>
      </c>
      <c r="J3">
        <v>15.6</v>
      </c>
      <c r="K3">
        <v>11.7</v>
      </c>
      <c r="L3">
        <v>12.4</v>
      </c>
      <c r="M3">
        <v>11.2</v>
      </c>
      <c r="N3">
        <v>5</v>
      </c>
      <c r="O3">
        <v>5.5</v>
      </c>
      <c r="P3">
        <v>4.2</v>
      </c>
      <c r="Q3">
        <v>5.4</v>
      </c>
      <c r="R3">
        <v>13.6</v>
      </c>
      <c r="S3">
        <v>10.199999999999999</v>
      </c>
      <c r="T3">
        <v>9.8000000000000007</v>
      </c>
      <c r="U3">
        <v>8.9</v>
      </c>
      <c r="V3">
        <v>11.5</v>
      </c>
      <c r="W3">
        <v>15.9</v>
      </c>
      <c r="X3">
        <v>8.8000000000000007</v>
      </c>
      <c r="Y3">
        <v>9.1999999999999993</v>
      </c>
      <c r="Z3">
        <v>17.399999999999999</v>
      </c>
      <c r="AA3">
        <v>20.6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20.8</v>
      </c>
      <c r="E4">
        <v>34</v>
      </c>
      <c r="F4">
        <v>27.4</v>
      </c>
      <c r="H4">
        <v>23</v>
      </c>
      <c r="I4">
        <v>22.5</v>
      </c>
      <c r="J4">
        <v>18.899999999999999</v>
      </c>
      <c r="K4">
        <v>21.7</v>
      </c>
      <c r="L4">
        <v>14.4</v>
      </c>
      <c r="M4">
        <v>10.1</v>
      </c>
      <c r="N4">
        <v>6.8</v>
      </c>
      <c r="O4">
        <v>4.7</v>
      </c>
      <c r="P4">
        <v>6.4</v>
      </c>
      <c r="Q4">
        <v>4.3</v>
      </c>
      <c r="R4">
        <v>5.4</v>
      </c>
      <c r="S4">
        <v>6.4</v>
      </c>
      <c r="T4">
        <v>5</v>
      </c>
      <c r="U4">
        <v>6.7</v>
      </c>
      <c r="V4">
        <v>5.5</v>
      </c>
      <c r="W4">
        <v>6.6</v>
      </c>
      <c r="X4">
        <v>7.3</v>
      </c>
      <c r="Y4">
        <v>9.4</v>
      </c>
      <c r="Z4">
        <v>15.8</v>
      </c>
      <c r="AA4">
        <v>19.100000000000001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22.4</v>
      </c>
      <c r="E5">
        <v>19.399999999999999</v>
      </c>
      <c r="F5">
        <v>24.6</v>
      </c>
      <c r="H5">
        <v>23.6</v>
      </c>
      <c r="I5">
        <v>24.9</v>
      </c>
      <c r="J5">
        <v>22.5</v>
      </c>
      <c r="K5">
        <v>19.100000000000001</v>
      </c>
      <c r="L5">
        <v>18.3</v>
      </c>
      <c r="M5">
        <v>15.8</v>
      </c>
      <c r="N5">
        <v>10.7</v>
      </c>
      <c r="O5">
        <v>8.3000000000000007</v>
      </c>
      <c r="P5">
        <v>10.5</v>
      </c>
      <c r="Q5">
        <v>13.6</v>
      </c>
      <c r="R5">
        <v>12.8</v>
      </c>
      <c r="S5">
        <v>11.9</v>
      </c>
      <c r="T5">
        <v>13.1</v>
      </c>
      <c r="U5">
        <v>15.5</v>
      </c>
      <c r="V5">
        <v>8.4</v>
      </c>
      <c r="W5">
        <v>10.5</v>
      </c>
      <c r="X5">
        <v>10.9</v>
      </c>
      <c r="Y5">
        <v>14.6</v>
      </c>
      <c r="Z5">
        <v>20.3</v>
      </c>
      <c r="AA5">
        <v>24.2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21.7</v>
      </c>
      <c r="E6">
        <v>23.5</v>
      </c>
      <c r="H6">
        <v>26.8</v>
      </c>
      <c r="I6">
        <v>16.600000000000001</v>
      </c>
      <c r="J6">
        <v>11.7</v>
      </c>
      <c r="K6">
        <v>9.1999999999999993</v>
      </c>
      <c r="L6">
        <v>13.6</v>
      </c>
      <c r="M6">
        <v>11.6</v>
      </c>
      <c r="N6">
        <v>7.3</v>
      </c>
      <c r="O6">
        <v>7.8</v>
      </c>
      <c r="P6">
        <v>5.9</v>
      </c>
      <c r="Q6">
        <v>5.0999999999999996</v>
      </c>
      <c r="R6">
        <v>7.5</v>
      </c>
      <c r="S6">
        <v>5.3</v>
      </c>
      <c r="T6">
        <v>7.1</v>
      </c>
      <c r="U6">
        <v>11.1</v>
      </c>
      <c r="V6">
        <v>13.6</v>
      </c>
      <c r="W6">
        <v>16.399999999999999</v>
      </c>
      <c r="X6">
        <v>17.5</v>
      </c>
      <c r="Y6">
        <v>17.600000000000001</v>
      </c>
      <c r="Z6">
        <v>20.6</v>
      </c>
      <c r="AA6">
        <v>27.4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22</v>
      </c>
      <c r="E7">
        <v>21.5</v>
      </c>
      <c r="G7">
        <v>26.8</v>
      </c>
      <c r="H7">
        <v>24</v>
      </c>
      <c r="I7">
        <v>17.399999999999999</v>
      </c>
      <c r="J7">
        <v>14.3</v>
      </c>
      <c r="K7">
        <v>11.1</v>
      </c>
      <c r="L7">
        <v>15.3</v>
      </c>
      <c r="M7">
        <v>7.3</v>
      </c>
      <c r="N7">
        <v>6.2</v>
      </c>
      <c r="O7">
        <v>7.2</v>
      </c>
      <c r="P7">
        <v>6.8</v>
      </c>
      <c r="Q7">
        <v>4.9000000000000004</v>
      </c>
      <c r="R7">
        <v>4.5999999999999996</v>
      </c>
      <c r="S7">
        <v>5</v>
      </c>
      <c r="T7">
        <v>9.1999999999999993</v>
      </c>
      <c r="U7">
        <v>12.6</v>
      </c>
      <c r="V7">
        <v>13.7</v>
      </c>
      <c r="W7">
        <v>10.8</v>
      </c>
      <c r="X7">
        <v>16.600000000000001</v>
      </c>
      <c r="Y7">
        <v>17.2</v>
      </c>
      <c r="Z7">
        <v>18.8</v>
      </c>
      <c r="AA7">
        <v>25.9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20.5</v>
      </c>
      <c r="E8">
        <v>37.799999999999997</v>
      </c>
      <c r="H8">
        <v>24.6</v>
      </c>
      <c r="I8">
        <v>20.5</v>
      </c>
      <c r="J8">
        <v>12.8</v>
      </c>
      <c r="K8">
        <v>7.3</v>
      </c>
      <c r="L8">
        <v>14.8</v>
      </c>
      <c r="M8">
        <v>8.6</v>
      </c>
      <c r="N8">
        <v>6</v>
      </c>
      <c r="O8">
        <v>7</v>
      </c>
      <c r="P8">
        <v>4.2</v>
      </c>
      <c r="Q8">
        <v>2.7</v>
      </c>
      <c r="R8">
        <v>5.6</v>
      </c>
      <c r="S8">
        <v>5.8</v>
      </c>
      <c r="T8">
        <v>6.9</v>
      </c>
      <c r="U8">
        <v>9.9</v>
      </c>
      <c r="V8">
        <v>12.8</v>
      </c>
      <c r="W8">
        <v>18.8</v>
      </c>
      <c r="X8">
        <v>9.9</v>
      </c>
      <c r="Y8">
        <v>16.899999999999999</v>
      </c>
      <c r="Z8">
        <v>20.8</v>
      </c>
      <c r="AA8">
        <v>21.4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22.1</v>
      </c>
      <c r="E9">
        <v>30.6</v>
      </c>
      <c r="H9">
        <v>28.6</v>
      </c>
      <c r="I9">
        <v>21</v>
      </c>
      <c r="J9">
        <v>12.1</v>
      </c>
      <c r="K9">
        <v>14.7</v>
      </c>
      <c r="L9">
        <v>16</v>
      </c>
      <c r="M9">
        <v>14</v>
      </c>
      <c r="N9">
        <v>13.4</v>
      </c>
      <c r="O9">
        <v>13</v>
      </c>
      <c r="P9">
        <v>12.1</v>
      </c>
      <c r="Q9">
        <v>7.6</v>
      </c>
      <c r="R9">
        <v>15</v>
      </c>
      <c r="S9">
        <v>13.5</v>
      </c>
      <c r="T9">
        <v>15.6</v>
      </c>
      <c r="U9">
        <v>13.4</v>
      </c>
      <c r="V9">
        <v>16.399999999999999</v>
      </c>
      <c r="W9">
        <v>13.3</v>
      </c>
      <c r="X9">
        <v>17.399999999999999</v>
      </c>
      <c r="Y9">
        <v>16.7</v>
      </c>
      <c r="Z9">
        <v>21.3</v>
      </c>
      <c r="AA9">
        <v>22.7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23</v>
      </c>
      <c r="E10">
        <v>27</v>
      </c>
      <c r="H10">
        <v>23.3</v>
      </c>
      <c r="I10">
        <v>19.899999999999999</v>
      </c>
      <c r="J10">
        <v>13.9</v>
      </c>
      <c r="K10">
        <v>9.9</v>
      </c>
      <c r="L10">
        <v>15.6</v>
      </c>
      <c r="M10">
        <v>15.2</v>
      </c>
      <c r="N10">
        <v>13.8</v>
      </c>
      <c r="O10">
        <v>9.8000000000000007</v>
      </c>
      <c r="P10">
        <v>6.5</v>
      </c>
      <c r="Q10">
        <v>5.4</v>
      </c>
      <c r="R10">
        <v>13.4</v>
      </c>
      <c r="S10">
        <v>12.9</v>
      </c>
      <c r="T10">
        <v>11</v>
      </c>
      <c r="U10">
        <v>8</v>
      </c>
      <c r="V10">
        <v>9.5</v>
      </c>
      <c r="W10">
        <v>13.2</v>
      </c>
      <c r="X10">
        <v>15.6</v>
      </c>
      <c r="Y10">
        <v>15.1</v>
      </c>
      <c r="Z10">
        <v>19.5</v>
      </c>
      <c r="AA10">
        <v>22.1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16.600000000000001</v>
      </c>
      <c r="E11">
        <v>31.4</v>
      </c>
      <c r="H11">
        <v>28.6</v>
      </c>
      <c r="I11">
        <v>22.3</v>
      </c>
      <c r="J11">
        <v>20</v>
      </c>
      <c r="K11">
        <v>17.3</v>
      </c>
      <c r="L11">
        <v>17.3</v>
      </c>
      <c r="M11">
        <v>15.1</v>
      </c>
      <c r="N11">
        <v>16.600000000000001</v>
      </c>
      <c r="O11">
        <v>12.6</v>
      </c>
      <c r="P11">
        <v>13.3</v>
      </c>
      <c r="Q11">
        <v>11.3</v>
      </c>
      <c r="R11">
        <v>14</v>
      </c>
      <c r="S11">
        <v>13.4</v>
      </c>
      <c r="T11">
        <v>12.5</v>
      </c>
      <c r="U11">
        <v>14</v>
      </c>
      <c r="V11">
        <v>14.9</v>
      </c>
      <c r="W11">
        <v>16.8</v>
      </c>
      <c r="X11">
        <v>14.6</v>
      </c>
      <c r="Y11">
        <v>17</v>
      </c>
      <c r="Z11">
        <v>17.7</v>
      </c>
      <c r="AA11">
        <v>20.8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20.2</v>
      </c>
      <c r="E12">
        <v>22.4</v>
      </c>
      <c r="H12">
        <v>27.1</v>
      </c>
      <c r="I12">
        <v>27.4</v>
      </c>
      <c r="J12">
        <v>23.8</v>
      </c>
      <c r="K12">
        <v>21</v>
      </c>
      <c r="L12">
        <v>19.8</v>
      </c>
      <c r="M12">
        <v>18</v>
      </c>
      <c r="N12">
        <v>16.7</v>
      </c>
      <c r="O12">
        <v>16.7</v>
      </c>
      <c r="P12">
        <v>17.7</v>
      </c>
      <c r="Q12">
        <v>14.5</v>
      </c>
      <c r="R12">
        <v>17.8</v>
      </c>
      <c r="S12">
        <v>18.899999999999999</v>
      </c>
      <c r="T12">
        <v>17.399999999999999</v>
      </c>
      <c r="U12">
        <v>18.2</v>
      </c>
      <c r="V12">
        <v>16.5</v>
      </c>
      <c r="W12">
        <v>18</v>
      </c>
      <c r="X12">
        <v>17</v>
      </c>
      <c r="Y12">
        <v>20.399999999999999</v>
      </c>
      <c r="Z12">
        <v>17.600000000000001</v>
      </c>
      <c r="AA12">
        <v>21.2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27.2</v>
      </c>
      <c r="E13">
        <v>29.6</v>
      </c>
      <c r="H13">
        <v>27</v>
      </c>
      <c r="I13">
        <v>21.1</v>
      </c>
      <c r="J13">
        <v>14.5</v>
      </c>
      <c r="K13">
        <v>10</v>
      </c>
      <c r="L13">
        <v>14</v>
      </c>
      <c r="M13">
        <v>15.9</v>
      </c>
      <c r="N13">
        <v>15.3</v>
      </c>
      <c r="O13">
        <v>12.8</v>
      </c>
      <c r="P13">
        <v>9</v>
      </c>
      <c r="Q13">
        <v>14.3</v>
      </c>
      <c r="R13">
        <v>14.1</v>
      </c>
      <c r="S13">
        <v>11.2</v>
      </c>
      <c r="T13">
        <v>15.3</v>
      </c>
      <c r="U13">
        <v>14.4</v>
      </c>
      <c r="V13">
        <v>13.4</v>
      </c>
      <c r="W13">
        <v>12.4</v>
      </c>
      <c r="X13">
        <v>17.8</v>
      </c>
      <c r="Y13">
        <v>20.7</v>
      </c>
      <c r="Z13">
        <v>22.5</v>
      </c>
      <c r="AA13">
        <v>26.5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23.2</v>
      </c>
      <c r="E14">
        <v>35.4</v>
      </c>
      <c r="H14">
        <v>25.9</v>
      </c>
      <c r="I14">
        <v>20.3</v>
      </c>
      <c r="J14">
        <v>12.8</v>
      </c>
      <c r="K14">
        <v>11.9</v>
      </c>
      <c r="L14">
        <v>18</v>
      </c>
      <c r="M14">
        <v>15.4</v>
      </c>
      <c r="N14">
        <v>13.5</v>
      </c>
      <c r="O14">
        <v>14.3</v>
      </c>
      <c r="P14">
        <v>13.9</v>
      </c>
      <c r="Q14">
        <v>10.5</v>
      </c>
      <c r="R14">
        <v>13.8</v>
      </c>
      <c r="S14">
        <v>12.7</v>
      </c>
      <c r="T14">
        <v>15.2</v>
      </c>
      <c r="U14">
        <v>11.2</v>
      </c>
      <c r="V14">
        <v>11.3</v>
      </c>
      <c r="W14">
        <v>9.1999999999999993</v>
      </c>
      <c r="X14">
        <v>14.9</v>
      </c>
      <c r="Y14">
        <v>18.5</v>
      </c>
      <c r="Z14">
        <v>17.3</v>
      </c>
      <c r="AA14">
        <v>23.3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23.1</v>
      </c>
      <c r="E15">
        <v>39.700000000000003</v>
      </c>
      <c r="H15">
        <v>24.6</v>
      </c>
      <c r="I15">
        <v>20.7</v>
      </c>
      <c r="J15">
        <v>11.5</v>
      </c>
      <c r="K15">
        <v>5.5</v>
      </c>
      <c r="L15">
        <v>8.9</v>
      </c>
      <c r="M15">
        <v>14.1</v>
      </c>
      <c r="N15">
        <v>15.7</v>
      </c>
      <c r="O15">
        <v>11.8</v>
      </c>
      <c r="P15">
        <v>8.3000000000000007</v>
      </c>
      <c r="Q15">
        <v>7.6</v>
      </c>
      <c r="R15">
        <v>15.5</v>
      </c>
      <c r="S15">
        <v>16.2</v>
      </c>
      <c r="T15">
        <v>14.4</v>
      </c>
      <c r="U15">
        <v>9.9</v>
      </c>
      <c r="V15">
        <v>11</v>
      </c>
      <c r="W15">
        <v>13.2</v>
      </c>
      <c r="X15">
        <v>20.100000000000001</v>
      </c>
      <c r="Y15">
        <v>19.5</v>
      </c>
      <c r="Z15">
        <v>21.5</v>
      </c>
      <c r="AA15">
        <v>22.1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22.7</v>
      </c>
      <c r="E16">
        <v>30.5</v>
      </c>
      <c r="H16">
        <v>22.4</v>
      </c>
      <c r="I16">
        <v>20.5</v>
      </c>
      <c r="J16">
        <v>12.3</v>
      </c>
      <c r="K16">
        <v>13.9</v>
      </c>
      <c r="L16">
        <v>13.8</v>
      </c>
      <c r="M16">
        <v>14.9</v>
      </c>
      <c r="N16">
        <v>15.4</v>
      </c>
      <c r="O16">
        <v>13.3</v>
      </c>
      <c r="P16">
        <v>12.9</v>
      </c>
      <c r="Q16">
        <v>13.1</v>
      </c>
      <c r="R16">
        <v>13.8</v>
      </c>
      <c r="S16">
        <v>16.600000000000001</v>
      </c>
      <c r="T16">
        <v>14.3</v>
      </c>
      <c r="U16">
        <v>14.1</v>
      </c>
      <c r="V16">
        <v>15</v>
      </c>
      <c r="W16">
        <v>15.9</v>
      </c>
      <c r="X16">
        <v>19</v>
      </c>
      <c r="Y16">
        <v>18.3</v>
      </c>
      <c r="Z16">
        <v>17.2</v>
      </c>
      <c r="AA16">
        <v>21.9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27</v>
      </c>
      <c r="E17">
        <v>39.9</v>
      </c>
      <c r="H17">
        <v>24.7</v>
      </c>
      <c r="I17">
        <v>19.2</v>
      </c>
      <c r="J17">
        <v>14.3</v>
      </c>
      <c r="K17">
        <v>8.1999999999999993</v>
      </c>
      <c r="L17">
        <v>16.399999999999999</v>
      </c>
      <c r="M17">
        <v>14.4</v>
      </c>
      <c r="N17">
        <v>15.2</v>
      </c>
      <c r="O17">
        <v>12.3</v>
      </c>
      <c r="P17">
        <v>10.5</v>
      </c>
      <c r="Q17">
        <v>7.9</v>
      </c>
      <c r="R17">
        <v>12</v>
      </c>
      <c r="S17">
        <v>12.4</v>
      </c>
      <c r="T17">
        <v>11</v>
      </c>
      <c r="U17">
        <v>9.8000000000000007</v>
      </c>
      <c r="V17">
        <v>15.9</v>
      </c>
      <c r="W17">
        <v>12.6</v>
      </c>
      <c r="X17">
        <v>15.7</v>
      </c>
      <c r="Y17">
        <v>18.3</v>
      </c>
      <c r="Z17">
        <v>17</v>
      </c>
      <c r="AA17">
        <v>19.7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19.899999999999999</v>
      </c>
      <c r="E18">
        <v>32.700000000000003</v>
      </c>
      <c r="H18">
        <v>28.3</v>
      </c>
      <c r="I18">
        <v>23</v>
      </c>
      <c r="J18">
        <v>16.399999999999999</v>
      </c>
      <c r="K18">
        <v>18.100000000000001</v>
      </c>
      <c r="L18">
        <v>17.5</v>
      </c>
      <c r="M18">
        <v>16.8</v>
      </c>
      <c r="N18">
        <v>10.1</v>
      </c>
      <c r="O18">
        <v>13.5</v>
      </c>
      <c r="P18">
        <v>9.9</v>
      </c>
      <c r="Q18">
        <v>12.6</v>
      </c>
      <c r="R18">
        <v>16.8</v>
      </c>
      <c r="S18">
        <v>16.3</v>
      </c>
      <c r="T18">
        <v>14.9</v>
      </c>
      <c r="U18">
        <v>11.1</v>
      </c>
      <c r="V18">
        <v>16.100000000000001</v>
      </c>
      <c r="W18">
        <v>13.5</v>
      </c>
      <c r="X18">
        <v>12.6</v>
      </c>
      <c r="Y18">
        <v>16.399999999999999</v>
      </c>
      <c r="Z18">
        <v>19.3</v>
      </c>
      <c r="AA18">
        <v>19.600000000000001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20.3</v>
      </c>
      <c r="H19">
        <v>22.2</v>
      </c>
      <c r="I19">
        <v>24.6</v>
      </c>
      <c r="J19">
        <v>23.7</v>
      </c>
      <c r="K19">
        <v>19.5</v>
      </c>
      <c r="L19">
        <v>19.5</v>
      </c>
      <c r="M19">
        <v>16.7</v>
      </c>
      <c r="N19">
        <v>17</v>
      </c>
      <c r="O19">
        <v>14.1</v>
      </c>
      <c r="P19">
        <v>15.1</v>
      </c>
      <c r="Q19">
        <v>15.6</v>
      </c>
      <c r="R19">
        <v>17</v>
      </c>
      <c r="S19">
        <v>16.600000000000001</v>
      </c>
      <c r="T19">
        <v>17.100000000000001</v>
      </c>
      <c r="U19">
        <v>17.100000000000001</v>
      </c>
      <c r="V19">
        <v>19.399999999999999</v>
      </c>
      <c r="W19">
        <v>15.9</v>
      </c>
      <c r="X19">
        <v>14.5</v>
      </c>
      <c r="Y19">
        <v>15.5</v>
      </c>
      <c r="Z19">
        <v>25.2</v>
      </c>
      <c r="AA19">
        <v>20.9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24.6</v>
      </c>
      <c r="E20">
        <v>29.1</v>
      </c>
      <c r="H20">
        <v>21.9</v>
      </c>
      <c r="I20">
        <v>18.600000000000001</v>
      </c>
      <c r="J20">
        <v>11.7</v>
      </c>
      <c r="K20">
        <v>11.6</v>
      </c>
      <c r="L20">
        <v>14.7</v>
      </c>
      <c r="M20">
        <v>17.399999999999999</v>
      </c>
      <c r="N20">
        <v>17</v>
      </c>
      <c r="O20">
        <v>15.1</v>
      </c>
      <c r="P20">
        <v>12.6</v>
      </c>
      <c r="Q20">
        <v>14.4</v>
      </c>
      <c r="R20">
        <v>14.2</v>
      </c>
      <c r="S20">
        <v>16.100000000000001</v>
      </c>
      <c r="T20">
        <v>15.3</v>
      </c>
      <c r="U20">
        <v>12.9</v>
      </c>
      <c r="V20">
        <v>12.8</v>
      </c>
      <c r="W20">
        <v>15.3</v>
      </c>
      <c r="X20">
        <v>17.899999999999999</v>
      </c>
      <c r="Y20">
        <v>19.3</v>
      </c>
      <c r="Z20">
        <v>16.600000000000001</v>
      </c>
      <c r="AA20">
        <v>19.5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22.6</v>
      </c>
      <c r="E21">
        <v>35.4</v>
      </c>
      <c r="H21">
        <v>29.1</v>
      </c>
      <c r="I21">
        <v>21.7</v>
      </c>
      <c r="J21">
        <v>13.2</v>
      </c>
      <c r="K21">
        <v>9.5</v>
      </c>
      <c r="L21">
        <v>14.4</v>
      </c>
      <c r="M21">
        <v>14.8</v>
      </c>
      <c r="N21">
        <v>15</v>
      </c>
      <c r="O21">
        <v>12.8</v>
      </c>
      <c r="P21">
        <v>14.5</v>
      </c>
      <c r="Q21">
        <v>16.5</v>
      </c>
      <c r="R21">
        <v>14.6</v>
      </c>
      <c r="S21">
        <v>14.2</v>
      </c>
      <c r="T21">
        <v>12.8</v>
      </c>
      <c r="U21">
        <v>7.7</v>
      </c>
      <c r="V21">
        <v>10</v>
      </c>
      <c r="W21">
        <v>10.199999999999999</v>
      </c>
      <c r="X21">
        <v>13.4</v>
      </c>
      <c r="Y21">
        <v>16.2</v>
      </c>
      <c r="Z21">
        <v>18.399999999999999</v>
      </c>
      <c r="AA21">
        <v>14.1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11.3</v>
      </c>
      <c r="E22">
        <v>31.3</v>
      </c>
      <c r="H22">
        <v>28.2</v>
      </c>
      <c r="I22">
        <v>21</v>
      </c>
      <c r="J22">
        <v>13</v>
      </c>
      <c r="K22">
        <v>12.4</v>
      </c>
      <c r="L22">
        <v>14.8</v>
      </c>
      <c r="M22">
        <v>14.6</v>
      </c>
      <c r="N22">
        <v>16.399999999999999</v>
      </c>
      <c r="O22">
        <v>14.6</v>
      </c>
      <c r="P22">
        <v>13.9</v>
      </c>
      <c r="Q22">
        <v>11.8</v>
      </c>
      <c r="R22">
        <v>14.8</v>
      </c>
      <c r="S22">
        <v>15.5</v>
      </c>
      <c r="T22">
        <v>13.6</v>
      </c>
      <c r="U22">
        <v>13</v>
      </c>
      <c r="V22">
        <v>9.8000000000000007</v>
      </c>
      <c r="W22">
        <v>8.1</v>
      </c>
      <c r="X22">
        <v>16.3</v>
      </c>
      <c r="Y22">
        <v>18.7</v>
      </c>
      <c r="Z22">
        <v>18.100000000000001</v>
      </c>
      <c r="AA22">
        <v>25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24.9</v>
      </c>
      <c r="E23">
        <v>15.8</v>
      </c>
      <c r="H23">
        <v>20</v>
      </c>
      <c r="I23">
        <v>19</v>
      </c>
      <c r="J23">
        <v>14</v>
      </c>
      <c r="K23">
        <v>10.199999999999999</v>
      </c>
      <c r="L23">
        <v>14.1</v>
      </c>
      <c r="M23">
        <v>16.100000000000001</v>
      </c>
      <c r="N23">
        <v>16.5</v>
      </c>
      <c r="O23">
        <v>14.3</v>
      </c>
      <c r="P23">
        <v>14.9</v>
      </c>
      <c r="Q23">
        <v>13.3</v>
      </c>
      <c r="R23">
        <v>14.2</v>
      </c>
      <c r="S23">
        <v>15.1</v>
      </c>
      <c r="T23">
        <v>15.5</v>
      </c>
      <c r="U23">
        <v>12.5</v>
      </c>
      <c r="V23">
        <v>11</v>
      </c>
      <c r="W23">
        <v>11</v>
      </c>
      <c r="X23">
        <v>16.600000000000001</v>
      </c>
      <c r="Y23">
        <v>21</v>
      </c>
      <c r="Z23">
        <v>20.100000000000001</v>
      </c>
      <c r="AA23">
        <v>22.1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26.9</v>
      </c>
      <c r="E24">
        <v>33.200000000000003</v>
      </c>
      <c r="H24">
        <v>23.9</v>
      </c>
      <c r="I24">
        <v>18.100000000000001</v>
      </c>
      <c r="J24">
        <v>14.3</v>
      </c>
      <c r="K24">
        <v>11.8</v>
      </c>
      <c r="L24">
        <v>14.7</v>
      </c>
      <c r="M24">
        <v>17</v>
      </c>
      <c r="N24">
        <v>14.5</v>
      </c>
      <c r="O24">
        <v>13</v>
      </c>
      <c r="P24">
        <v>8.9</v>
      </c>
      <c r="Q24">
        <v>5.0999999999999996</v>
      </c>
      <c r="R24">
        <v>13.3</v>
      </c>
      <c r="S24">
        <v>15.5</v>
      </c>
      <c r="T24">
        <v>15.1</v>
      </c>
      <c r="U24">
        <v>10.199999999999999</v>
      </c>
      <c r="V24">
        <v>11.7</v>
      </c>
      <c r="W24">
        <v>10.6</v>
      </c>
      <c r="X24">
        <v>15.8</v>
      </c>
      <c r="Y24">
        <v>16.600000000000001</v>
      </c>
      <c r="Z24">
        <v>17.8</v>
      </c>
      <c r="AA24">
        <v>21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27.2</v>
      </c>
      <c r="E25">
        <v>31.6</v>
      </c>
      <c r="H25">
        <v>29.2</v>
      </c>
      <c r="I25">
        <v>22.3</v>
      </c>
      <c r="J25">
        <v>21.8</v>
      </c>
      <c r="K25">
        <v>18.100000000000001</v>
      </c>
      <c r="L25">
        <v>17.5</v>
      </c>
      <c r="M25">
        <v>13.6</v>
      </c>
      <c r="N25">
        <v>12.4</v>
      </c>
      <c r="O25">
        <v>12.8</v>
      </c>
      <c r="P25">
        <v>14.9</v>
      </c>
      <c r="Q25">
        <v>14.9</v>
      </c>
      <c r="R25">
        <v>12.1</v>
      </c>
      <c r="S25">
        <v>17.7</v>
      </c>
      <c r="T25">
        <v>11.2</v>
      </c>
      <c r="U25">
        <v>12.6</v>
      </c>
      <c r="W25">
        <v>22.7</v>
      </c>
      <c r="X25">
        <v>15.2</v>
      </c>
      <c r="Z25">
        <v>11.3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30.3</v>
      </c>
      <c r="E26">
        <v>22.5</v>
      </c>
      <c r="H26">
        <v>29.9</v>
      </c>
      <c r="I26">
        <v>19.600000000000001</v>
      </c>
      <c r="J26">
        <v>25.4</v>
      </c>
      <c r="K26">
        <v>21.1</v>
      </c>
      <c r="L26">
        <v>18.3</v>
      </c>
      <c r="M26">
        <v>16.399999999999999</v>
      </c>
      <c r="N26">
        <v>14.7</v>
      </c>
      <c r="O26">
        <v>14.1</v>
      </c>
      <c r="P26">
        <v>16</v>
      </c>
      <c r="Q26">
        <v>17.600000000000001</v>
      </c>
      <c r="R26">
        <v>17.3</v>
      </c>
      <c r="S26">
        <v>20.8</v>
      </c>
      <c r="T26">
        <v>16.7</v>
      </c>
      <c r="U26">
        <v>16.8</v>
      </c>
      <c r="V26">
        <v>17.600000000000001</v>
      </c>
      <c r="W26">
        <v>16.899999999999999</v>
      </c>
      <c r="X26">
        <v>19.7</v>
      </c>
      <c r="Y26">
        <v>17</v>
      </c>
      <c r="Z26">
        <v>22</v>
      </c>
      <c r="AA26">
        <v>29.8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30.2</v>
      </c>
      <c r="E27">
        <v>34.299999999999997</v>
      </c>
      <c r="H27">
        <v>24.7</v>
      </c>
      <c r="I27">
        <v>18.899999999999999</v>
      </c>
      <c r="J27">
        <v>14.3</v>
      </c>
      <c r="K27">
        <v>12.6</v>
      </c>
      <c r="L27">
        <v>14.8</v>
      </c>
      <c r="M27">
        <v>17.100000000000001</v>
      </c>
      <c r="N27">
        <v>14.8</v>
      </c>
      <c r="O27">
        <v>13.6</v>
      </c>
      <c r="P27">
        <v>11.5</v>
      </c>
      <c r="Q27">
        <v>11.2</v>
      </c>
      <c r="R27">
        <v>15.4</v>
      </c>
      <c r="S27">
        <v>15.4</v>
      </c>
      <c r="T27">
        <v>13.1</v>
      </c>
      <c r="U27">
        <v>10.7</v>
      </c>
      <c r="V27">
        <v>11.5</v>
      </c>
      <c r="W27">
        <v>11.9</v>
      </c>
      <c r="X27">
        <v>14</v>
      </c>
      <c r="Y27">
        <v>19.2</v>
      </c>
      <c r="Z27">
        <v>18.399999999999999</v>
      </c>
      <c r="AA27">
        <v>17.8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24.5</v>
      </c>
      <c r="E28">
        <v>31.2</v>
      </c>
      <c r="H28">
        <v>25.3</v>
      </c>
      <c r="I28">
        <v>20.5</v>
      </c>
      <c r="J28">
        <v>11.6</v>
      </c>
      <c r="K28">
        <v>10.1</v>
      </c>
      <c r="L28">
        <v>14.2</v>
      </c>
      <c r="M28">
        <v>14.3</v>
      </c>
      <c r="N28">
        <v>14</v>
      </c>
      <c r="O28">
        <v>15.7</v>
      </c>
      <c r="P28">
        <v>10.6</v>
      </c>
      <c r="Q28">
        <v>12.5</v>
      </c>
      <c r="R28">
        <v>14.6</v>
      </c>
      <c r="S28">
        <v>15.5</v>
      </c>
      <c r="T28">
        <v>16</v>
      </c>
      <c r="U28">
        <v>14.3</v>
      </c>
      <c r="V28">
        <v>14.9</v>
      </c>
      <c r="W28">
        <v>13.6</v>
      </c>
      <c r="X28">
        <v>19.399999999999999</v>
      </c>
      <c r="Y28">
        <v>24.4</v>
      </c>
      <c r="Z28">
        <v>25.3</v>
      </c>
      <c r="AA28">
        <v>23.7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22.8</v>
      </c>
      <c r="E29">
        <v>32.200000000000003</v>
      </c>
      <c r="H29">
        <v>24.4</v>
      </c>
      <c r="I29">
        <v>19.899999999999999</v>
      </c>
      <c r="J29">
        <v>14.8</v>
      </c>
      <c r="K29">
        <v>13.6</v>
      </c>
      <c r="L29">
        <v>13.6</v>
      </c>
      <c r="M29">
        <v>14.4</v>
      </c>
      <c r="N29">
        <v>12.4</v>
      </c>
      <c r="O29">
        <v>12.7</v>
      </c>
      <c r="P29">
        <v>13.6</v>
      </c>
      <c r="Q29">
        <v>12.2</v>
      </c>
      <c r="R29">
        <v>15.2</v>
      </c>
      <c r="S29">
        <v>15.3</v>
      </c>
      <c r="T29">
        <v>12</v>
      </c>
      <c r="U29">
        <v>11.4</v>
      </c>
      <c r="V29">
        <v>4.9000000000000004</v>
      </c>
      <c r="W29">
        <v>4.5999999999999996</v>
      </c>
      <c r="X29">
        <v>10.6</v>
      </c>
      <c r="Y29">
        <v>17.100000000000001</v>
      </c>
      <c r="Z29">
        <v>17.7</v>
      </c>
      <c r="AA29">
        <v>29.5</v>
      </c>
    </row>
    <row r="31" spans="1:27" x14ac:dyDescent="0.25">
      <c r="C31">
        <v>1</v>
      </c>
      <c r="D31">
        <f t="array" ref="D31">MEDIAN(IF($C$3:$C$29=$C31,D$3:D$29,""))</f>
        <v>21.35</v>
      </c>
      <c r="E31">
        <f t="array" ref="E31">MEDIAN(IF($C$3:$C$29=$C31,E$3:E$29,""))</f>
        <v>20.9</v>
      </c>
      <c r="F31">
        <f t="array" ref="F31">MEDIAN(IF($C$3:$C$29=$C31,F$3:F$29,""))</f>
        <v>0</v>
      </c>
      <c r="G31">
        <v>26</v>
      </c>
      <c r="H31">
        <f t="array" ref="H31">MEDIAN(IF($C$3:$C$29=$C31,H$3:H$29,""))</f>
        <v>25.35</v>
      </c>
      <c r="I31">
        <f t="array" ref="I31">MEDIAN(IF($C$3:$C$29=$C31,I$3:I$29,""))</f>
        <v>24.75</v>
      </c>
      <c r="J31">
        <f t="array" ref="J31">MEDIAN(IF($C$3:$C$29=$C31,J$3:J$29,""))</f>
        <v>23.75</v>
      </c>
      <c r="K31">
        <f t="array" ref="K31">MEDIAN(IF($C$3:$C$29=$C31,K$3:K$29,""))</f>
        <v>20.25</v>
      </c>
      <c r="L31">
        <f t="array" ref="L31">MEDIAN(IF($C$3:$C$29=$C31,L$3:L$29,""))</f>
        <v>18.899999999999999</v>
      </c>
      <c r="M31">
        <f t="array" ref="M31">MEDIAN(IF($C$3:$C$29=$C31,M$3:M$29,""))</f>
        <v>16.549999999999997</v>
      </c>
      <c r="N31">
        <f t="array" ref="N31">MEDIAN(IF($C$3:$C$29=$C31,N$3:N$29,""))</f>
        <v>15.7</v>
      </c>
      <c r="O31">
        <f t="array" ref="O31">MEDIAN(IF($C$3:$C$29=$C31,O$3:O$29,""))</f>
        <v>14.1</v>
      </c>
      <c r="P31">
        <f t="array" ref="P31">MEDIAN(IF($C$3:$C$29=$C31,P$3:P$29,""))</f>
        <v>15.55</v>
      </c>
      <c r="Q31">
        <f t="array" ref="Q31">MEDIAN(IF($C$3:$C$29=$C31,Q$3:Q$29,""))</f>
        <v>15.05</v>
      </c>
      <c r="R31">
        <f t="array" ref="R31">MEDIAN(IF($C$3:$C$29=$C31,R$3:R$29,""))</f>
        <v>17.149999999999999</v>
      </c>
      <c r="S31">
        <f t="array" ref="S31">MEDIAN(IF($C$3:$C$29=$C31,S$3:S$29,""))</f>
        <v>17.75</v>
      </c>
      <c r="T31">
        <f t="array" ref="T31">MEDIAN(IF($C$3:$C$29=$C31,T$3:T$29,""))</f>
        <v>16.899999999999999</v>
      </c>
      <c r="U31">
        <f t="array" ref="U31">MEDIAN(IF($C$3:$C$29=$C31,U$3:U$29,""))</f>
        <v>16.950000000000003</v>
      </c>
      <c r="V31">
        <f t="array" ref="V31">MEDIAN(IF($C$3:$C$29=$C31,V$3:V$29,""))</f>
        <v>17.05</v>
      </c>
      <c r="W31">
        <f t="array" ref="W31">MEDIAN(IF($C$3:$C$29=$C31,W$3:W$29,""))</f>
        <v>16.399999999999999</v>
      </c>
      <c r="X31">
        <f t="array" ref="X31">MEDIAN(IF($C$3:$C$29=$C31,X$3:X$29,""))</f>
        <v>15.75</v>
      </c>
      <c r="Y31">
        <f t="array" ref="Y31">MEDIAN(IF($C$3:$C$29=$C31,Y$3:Y$29,""))</f>
        <v>16.25</v>
      </c>
      <c r="Z31">
        <f t="array" ref="Z31">MEDIAN(IF($C$3:$C$29=$C31,Z$3:Z$29,""))</f>
        <v>21.15</v>
      </c>
      <c r="AA31">
        <f t="array" ref="AA31">MEDIAN(IF($C$3:$C$29=$C31,AA$3:AA$29,""))</f>
        <v>22.7</v>
      </c>
    </row>
    <row r="32" spans="1:27" x14ac:dyDescent="0.25">
      <c r="C32">
        <v>2</v>
      </c>
      <c r="D32">
        <f t="array" ref="D32">MEDIAN(IF($C$3:$C$29=$C32,D$3:D$29,""))</f>
        <v>20.350000000000001</v>
      </c>
      <c r="E32">
        <f t="array" ref="E32">MEDIAN(IF($C$3:$C$29=$C32,E$3:E$29,""))</f>
        <v>32.150000000000006</v>
      </c>
      <c r="F32">
        <f t="array" ref="F32">MEDIAN(IF($C$3:$C$29=$C32,F$3:F$29,""))</f>
        <v>0</v>
      </c>
      <c r="G32">
        <v>26</v>
      </c>
      <c r="H32">
        <f t="array" ref="H32">MEDIAN(IF($C$3:$C$29=$C32,H$3:H$29,""))</f>
        <v>28.450000000000003</v>
      </c>
      <c r="I32">
        <f t="array" ref="I32">MEDIAN(IF($C$3:$C$29=$C32,I$3:I$29,""))</f>
        <v>22.4</v>
      </c>
      <c r="J32">
        <f t="array" ref="J32">MEDIAN(IF($C$3:$C$29=$C32,J$3:J$29,""))</f>
        <v>19.45</v>
      </c>
      <c r="K32">
        <f t="array" ref="K32">MEDIAN(IF($C$3:$C$29=$C32,K$3:K$29,""))</f>
        <v>18.100000000000001</v>
      </c>
      <c r="L32">
        <f t="array" ref="L32">MEDIAN(IF($C$3:$C$29=$C32,L$3:L$29,""))</f>
        <v>17.399999999999999</v>
      </c>
      <c r="M32">
        <f t="array" ref="M32">MEDIAN(IF($C$3:$C$29=$C32,M$3:M$29,""))</f>
        <v>14.35</v>
      </c>
      <c r="N32">
        <f t="array" ref="N32">MEDIAN(IF($C$3:$C$29=$C32,N$3:N$29,""))</f>
        <v>11.25</v>
      </c>
      <c r="O32">
        <f t="array" ref="O32">MEDIAN(IF($C$3:$C$29=$C32,O$3:O$29,""))</f>
        <v>12.7</v>
      </c>
      <c r="P32">
        <f t="array" ref="P32">MEDIAN(IF($C$3:$C$29=$C32,P$3:P$29,""))</f>
        <v>11.600000000000001</v>
      </c>
      <c r="Q32">
        <f t="array" ref="Q32">MEDIAN(IF($C$3:$C$29=$C32,Q$3:Q$29,""))</f>
        <v>11.95</v>
      </c>
      <c r="R32">
        <f t="array" ref="R32">MEDIAN(IF($C$3:$C$29=$C32,R$3:R$29,""))</f>
        <v>13.05</v>
      </c>
      <c r="S32">
        <f t="array" ref="S32">MEDIAN(IF($C$3:$C$29=$C32,S$3:S$29,""))</f>
        <v>14.850000000000001</v>
      </c>
      <c r="T32">
        <f t="array" ref="T32">MEDIAN(IF($C$3:$C$29=$C32,T$3:T$29,""))</f>
        <v>11.85</v>
      </c>
      <c r="U32">
        <f t="array" ref="U32">MEDIAN(IF($C$3:$C$29=$C32,U$3:U$29,""))</f>
        <v>11.85</v>
      </c>
      <c r="V32">
        <f t="array" ref="V32">MEDIAN(IF($C$3:$C$29=$C32,V$3:V$29,""))</f>
        <v>10.199999999999999</v>
      </c>
      <c r="W32">
        <f t="array" ref="W32">MEDIAN(IF($C$3:$C$29=$C32,W$3:W$29,""))</f>
        <v>15.15</v>
      </c>
      <c r="X32">
        <f t="array" ref="X32">MEDIAN(IF($C$3:$C$29=$C32,X$3:X$29,""))</f>
        <v>13.6</v>
      </c>
      <c r="Y32">
        <f t="array" ref="Y32">MEDIAN(IF($C$3:$C$29=$C32,Y$3:Y$29,""))</f>
        <v>12.899999999999999</v>
      </c>
      <c r="Z32">
        <f t="array" ref="Z32">MEDIAN(IF($C$3:$C$29=$C32,Z$3:Z$29,""))</f>
        <v>16.75</v>
      </c>
      <c r="AA32">
        <f t="array" ref="AA32">MEDIAN(IF($C$3:$C$29=$C32,AA$3:AA$29,""))</f>
        <v>19.350000000000001</v>
      </c>
    </row>
    <row r="33" spans="3:27" x14ac:dyDescent="0.25">
      <c r="C33">
        <v>3</v>
      </c>
      <c r="D33">
        <f t="array" ref="D33">MEDIAN(IF($C$3:$C$29=$C33,D$3:D$29,""))</f>
        <v>25.9</v>
      </c>
      <c r="E33">
        <f t="array" ref="E33">MEDIAN(IF($C$3:$C$29=$C33,E$3:E$29,""))</f>
        <v>29.35</v>
      </c>
      <c r="F33">
        <f t="array" ref="F33">MEDIAN(IF($C$3:$C$29=$C33,F$3:F$29,""))</f>
        <v>0</v>
      </c>
      <c r="G33">
        <v>26</v>
      </c>
      <c r="H33">
        <f t="array" ref="H33">MEDIAN(IF($C$3:$C$29=$C33,H$3:H$29,""))</f>
        <v>25.75</v>
      </c>
      <c r="I33">
        <f t="array" ref="I33">MEDIAN(IF($C$3:$C$29=$C33,I$3:I$29,""))</f>
        <v>18.75</v>
      </c>
      <c r="J33">
        <f t="array" ref="J33">MEDIAN(IF($C$3:$C$29=$C33,J$3:J$29,""))</f>
        <v>13</v>
      </c>
      <c r="K33">
        <f t="array" ref="K33">MEDIAN(IF($C$3:$C$29=$C33,K$3:K$29,""))</f>
        <v>10.8</v>
      </c>
      <c r="L33">
        <f t="array" ref="L33">MEDIAN(IF($C$3:$C$29=$C33,L$3:L$29,""))</f>
        <v>14.35</v>
      </c>
      <c r="M33">
        <f t="array" ref="M33">MEDIAN(IF($C$3:$C$29=$C33,M$3:M$29,""))</f>
        <v>16.5</v>
      </c>
      <c r="N33">
        <f t="array" ref="N33">MEDIAN(IF($C$3:$C$29=$C33,N$3:N$29,""))</f>
        <v>15.05</v>
      </c>
      <c r="O33">
        <f t="array" ref="O33">MEDIAN(IF($C$3:$C$29=$C33,O$3:O$29,""))</f>
        <v>13.2</v>
      </c>
      <c r="P33">
        <f t="array" ref="P33">MEDIAN(IF($C$3:$C$29=$C33,P$3:P$29,""))</f>
        <v>10.25</v>
      </c>
      <c r="Q33">
        <f t="array" ref="Q33">MEDIAN(IF($C$3:$C$29=$C33,Q$3:Q$29,""))</f>
        <v>12.75</v>
      </c>
      <c r="R33">
        <f t="array" ref="R33">MEDIAN(IF($C$3:$C$29=$C33,R$3:R$29,""))</f>
        <v>14.149999999999999</v>
      </c>
      <c r="S33">
        <f t="array" ref="S33">MEDIAN(IF($C$3:$C$29=$C33,S$3:S$29,""))</f>
        <v>13.3</v>
      </c>
      <c r="T33">
        <f t="array" ref="T33">MEDIAN(IF($C$3:$C$29=$C33,T$3:T$29,""))</f>
        <v>14.2</v>
      </c>
      <c r="U33">
        <f t="array" ref="U33">MEDIAN(IF($C$3:$C$29=$C33,U$3:U$29,""))</f>
        <v>12</v>
      </c>
      <c r="V33">
        <f t="array" ref="V33">MEDIAN(IF($C$3:$C$29=$C33,V$3:V$29,""))</f>
        <v>13.100000000000001</v>
      </c>
      <c r="W33">
        <f t="array" ref="W33">MEDIAN(IF($C$3:$C$29=$C33,W$3:W$29,""))</f>
        <v>13.850000000000001</v>
      </c>
      <c r="X33">
        <f t="array" ref="X33">MEDIAN(IF($C$3:$C$29=$C33,X$3:X$29,""))</f>
        <v>17.649999999999999</v>
      </c>
      <c r="Y33">
        <f t="array" ref="Y33">MEDIAN(IF($C$3:$C$29=$C33,Y$3:Y$29,""))</f>
        <v>19.25</v>
      </c>
      <c r="Z33">
        <f t="array" ref="Z33">MEDIAN(IF($C$3:$C$29=$C33,Z$3:Z$29,""))</f>
        <v>19.5</v>
      </c>
      <c r="AA33">
        <f t="array" ref="AA33">MEDIAN(IF($C$3:$C$29=$C33,AA$3:AA$29,""))</f>
        <v>23</v>
      </c>
    </row>
    <row r="34" spans="3:27" x14ac:dyDescent="0.25">
      <c r="C34">
        <v>4</v>
      </c>
      <c r="D34">
        <f t="array" ref="D34">MEDIAN(IF($C$3:$C$29=$C34,D$3:D$29,""))</f>
        <v>22.9</v>
      </c>
      <c r="E34">
        <f t="array" ref="E34">MEDIAN(IF($C$3:$C$29=$C34,E$3:E$29,""))</f>
        <v>33.299999999999997</v>
      </c>
      <c r="F34">
        <f t="array" ref="F34">MEDIAN(IF($C$3:$C$29=$C34,F$3:F$29,""))</f>
        <v>0</v>
      </c>
      <c r="G34">
        <v>26</v>
      </c>
      <c r="H34">
        <f t="array" ref="H34">MEDIAN(IF($C$3:$C$29=$C34,H$3:H$29,""))</f>
        <v>25.6</v>
      </c>
      <c r="I34">
        <f t="array" ref="I34">MEDIAN(IF($C$3:$C$29=$C34,I$3:I$29,""))</f>
        <v>20.399999999999999</v>
      </c>
      <c r="J34">
        <f t="array" ref="J34">MEDIAN(IF($C$3:$C$29=$C34,J$3:J$29,""))</f>
        <v>13</v>
      </c>
      <c r="K34">
        <f t="array" ref="K34">MEDIAN(IF($C$3:$C$29=$C34,K$3:K$29,""))</f>
        <v>10.6</v>
      </c>
      <c r="L34">
        <f t="array" ref="L34">MEDIAN(IF($C$3:$C$29=$C34,L$3:L$29,""))</f>
        <v>14.850000000000001</v>
      </c>
      <c r="M34">
        <f t="array" ref="M34">MEDIAN(IF($C$3:$C$29=$C34,M$3:M$29,""))</f>
        <v>14.55</v>
      </c>
      <c r="N34">
        <f t="array" ref="N34">MEDIAN(IF($C$3:$C$29=$C34,N$3:N$29,""))</f>
        <v>13.75</v>
      </c>
      <c r="O34">
        <f t="array" ref="O34">MEDIAN(IF($C$3:$C$29=$C34,O$3:O$29,""))</f>
        <v>13.55</v>
      </c>
      <c r="P34">
        <f t="array" ref="P34">MEDIAN(IF($C$3:$C$29=$C34,P$3:P$29,""))</f>
        <v>12.25</v>
      </c>
      <c r="Q34">
        <f t="array" ref="Q34">MEDIAN(IF($C$3:$C$29=$C34,Q$3:Q$29,""))</f>
        <v>11.5</v>
      </c>
      <c r="R34">
        <f t="array" ref="R34">MEDIAN(IF($C$3:$C$29=$C34,R$3:R$29,""))</f>
        <v>14.2</v>
      </c>
      <c r="S34">
        <f t="array" ref="S34">MEDIAN(IF($C$3:$C$29=$C34,S$3:S$29,""))</f>
        <v>13.45</v>
      </c>
      <c r="T34">
        <f t="array" ref="T34">MEDIAN(IF($C$3:$C$29=$C34,T$3:T$29,""))</f>
        <v>14</v>
      </c>
      <c r="U34">
        <f t="array" ref="U34">MEDIAN(IF($C$3:$C$29=$C34,U$3:U$29,""))</f>
        <v>11.899999999999999</v>
      </c>
      <c r="V34">
        <f t="array" ref="V34">MEDIAN(IF($C$3:$C$29=$C34,V$3:V$29,""))</f>
        <v>12.5</v>
      </c>
      <c r="W34">
        <f t="array" ref="W34">MEDIAN(IF($C$3:$C$29=$C34,W$3:W$29,""))</f>
        <v>10.5</v>
      </c>
      <c r="X34">
        <f t="array" ref="X34">MEDIAN(IF($C$3:$C$29=$C34,X$3:X$29,""))</f>
        <v>15.75</v>
      </c>
      <c r="Y34">
        <f t="array" ref="Y34">MEDIAN(IF($C$3:$C$29=$C34,Y$3:Y$29,""))</f>
        <v>17.850000000000001</v>
      </c>
      <c r="Z34">
        <f t="array" ref="Z34">MEDIAN(IF($C$3:$C$29=$C34,Z$3:Z$29,""))</f>
        <v>18.600000000000001</v>
      </c>
      <c r="AA34">
        <f t="array" ref="AA34">MEDIAN(IF($C$3:$C$29=$C34,AA$3:AA$29,""))</f>
        <v>23.5</v>
      </c>
    </row>
    <row r="35" spans="3:27" x14ac:dyDescent="0.25">
      <c r="C35">
        <v>5</v>
      </c>
      <c r="D35">
        <f t="array" ref="D35">MEDIAN(IF($C$3:$C$29=$C35,D$3:D$29,""))</f>
        <v>21.65</v>
      </c>
      <c r="E35">
        <f t="array" ref="E35">MEDIAN(IF($C$3:$C$29=$C35,E$3:E$29,""))</f>
        <v>35</v>
      </c>
      <c r="F35">
        <f t="array" ref="F35">MEDIAN(IF($C$3:$C$29=$C35,F$3:F$29,""))</f>
        <v>0</v>
      </c>
      <c r="G35">
        <v>26</v>
      </c>
      <c r="H35">
        <f t="array" ref="H35">MEDIAN(IF($C$3:$C$29=$C35,H$3:H$29,""))</f>
        <v>24.6</v>
      </c>
      <c r="I35">
        <f t="array" ref="I35">MEDIAN(IF($C$3:$C$29=$C35,I$3:I$29,""))</f>
        <v>20.6</v>
      </c>
      <c r="J35">
        <f t="array" ref="J35">MEDIAN(IF($C$3:$C$29=$C35,J$3:J$29,""))</f>
        <v>12.9</v>
      </c>
      <c r="K35">
        <f t="array" ref="K35">MEDIAN(IF($C$3:$C$29=$C35,K$3:K$29,""))</f>
        <v>9.85</v>
      </c>
      <c r="L35">
        <f t="array" ref="L35">MEDIAN(IF($C$3:$C$29=$C35,L$3:L$29,""))</f>
        <v>14.2</v>
      </c>
      <c r="M35">
        <f t="array" ref="M35">MEDIAN(IF($C$3:$C$29=$C35,M$3:M$29,""))</f>
        <v>14.25</v>
      </c>
      <c r="N35">
        <f t="array" ref="N35">MEDIAN(IF($C$3:$C$29=$C35,N$3:N$29,""))</f>
        <v>14.05</v>
      </c>
      <c r="O35">
        <f t="array" ref="O35">MEDIAN(IF($C$3:$C$29=$C35,O$3:O$29,""))</f>
        <v>12.25</v>
      </c>
      <c r="P35">
        <f t="array" ref="P35">MEDIAN(IF($C$3:$C$29=$C35,P$3:P$29,""))</f>
        <v>10.95</v>
      </c>
      <c r="Q35">
        <f t="array" ref="Q35">MEDIAN(IF($C$3:$C$29=$C35,Q$3:Q$29,""))</f>
        <v>9.6999999999999993</v>
      </c>
      <c r="R35">
        <f t="array" ref="R35">MEDIAN(IF($C$3:$C$29=$C35,R$3:R$29,""))</f>
        <v>15</v>
      </c>
      <c r="S35">
        <f t="array" ref="S35">MEDIAN(IF($C$3:$C$29=$C35,S$3:S$29,""))</f>
        <v>15.4</v>
      </c>
      <c r="T35">
        <f t="array" ref="T35">MEDIAN(IF($C$3:$C$29=$C35,T$3:T$29,""))</f>
        <v>12.8</v>
      </c>
      <c r="U35">
        <f t="array" ref="U35">MEDIAN(IF($C$3:$C$29=$C35,U$3:U$29,""))</f>
        <v>10.65</v>
      </c>
      <c r="V35">
        <f t="array" ref="V35">MEDIAN(IF($C$3:$C$29=$C35,V$3:V$29,""))</f>
        <v>10.4</v>
      </c>
      <c r="W35">
        <f t="array" ref="W35">MEDIAN(IF($C$3:$C$29=$C35,W$3:W$29,""))</f>
        <v>10.649999999999999</v>
      </c>
      <c r="X35">
        <f t="array" ref="X35">MEDIAN(IF($C$3:$C$29=$C35,X$3:X$29,""))</f>
        <v>13.45</v>
      </c>
      <c r="Y35">
        <f t="array" ref="Y35">MEDIAN(IF($C$3:$C$29=$C35,Y$3:Y$29,""))</f>
        <v>17.899999999999999</v>
      </c>
      <c r="Z35">
        <f t="array" ref="Z35">MEDIAN(IF($C$3:$C$29=$C35,Z$3:Z$29,""))</f>
        <v>19.450000000000003</v>
      </c>
      <c r="AA35">
        <f t="array" ref="AA35">MEDIAN(IF($C$3:$C$29=$C35,AA$3:AA$29,""))</f>
        <v>23.55</v>
      </c>
    </row>
    <row r="36" spans="3:27" x14ac:dyDescent="0.25">
      <c r="C36">
        <v>6</v>
      </c>
      <c r="D36">
        <f t="array" ref="D36">MEDIAN(IF($C$3:$C$29=$C36,D$3:D$29,""))</f>
        <v>22.7</v>
      </c>
      <c r="E36">
        <f t="array" ref="E36">MEDIAN(IF($C$3:$C$29=$C36,E$3:E$29,""))</f>
        <v>30.5</v>
      </c>
      <c r="F36">
        <f t="array" ref="F36">MEDIAN(IF($C$3:$C$29=$C36,F$3:F$29,""))</f>
        <v>0</v>
      </c>
      <c r="G36">
        <v>26</v>
      </c>
      <c r="H36">
        <f t="array" ref="H36">MEDIAN(IF($C$3:$C$29=$C36,H$3:H$29,""))</f>
        <v>22.4</v>
      </c>
      <c r="I36">
        <f t="array" ref="I36">MEDIAN(IF($C$3:$C$29=$C36,I$3:I$29,""))</f>
        <v>20.5</v>
      </c>
      <c r="J36">
        <f t="array" ref="J36">MEDIAN(IF($C$3:$C$29=$C36,J$3:J$29,""))</f>
        <v>12.3</v>
      </c>
      <c r="K36">
        <f t="array" ref="K36">MEDIAN(IF($C$3:$C$29=$C36,K$3:K$29,""))</f>
        <v>13.9</v>
      </c>
      <c r="L36">
        <f t="array" ref="L36">MEDIAN(IF($C$3:$C$29=$C36,L$3:L$29,""))</f>
        <v>14.1</v>
      </c>
      <c r="M36">
        <f t="array" ref="M36">MEDIAN(IF($C$3:$C$29=$C36,M$3:M$29,""))</f>
        <v>14.9</v>
      </c>
      <c r="N36">
        <f t="array" ref="N36">MEDIAN(IF($C$3:$C$29=$C36,N$3:N$29,""))</f>
        <v>15.4</v>
      </c>
      <c r="O36">
        <f t="array" ref="O36">MEDIAN(IF($C$3:$C$29=$C36,O$3:O$29,""))</f>
        <v>13.3</v>
      </c>
      <c r="P36">
        <f t="array" ref="P36">MEDIAN(IF($C$3:$C$29=$C36,P$3:P$29,""))</f>
        <v>12.9</v>
      </c>
      <c r="Q36">
        <f t="array" ref="Q36">MEDIAN(IF($C$3:$C$29=$C36,Q$3:Q$29,""))</f>
        <v>13.1</v>
      </c>
      <c r="R36">
        <f t="array" ref="R36">MEDIAN(IF($C$3:$C$29=$C36,R$3:R$29,""))</f>
        <v>14.2</v>
      </c>
      <c r="S36">
        <f t="array" ref="S36">MEDIAN(IF($C$3:$C$29=$C36,S$3:S$29,""))</f>
        <v>15.1</v>
      </c>
      <c r="T36">
        <f t="array" ref="T36">MEDIAN(IF($C$3:$C$29=$C36,T$3:T$29,""))</f>
        <v>15.5</v>
      </c>
      <c r="U36">
        <f t="array" ref="U36">MEDIAN(IF($C$3:$C$29=$C36,U$3:U$29,""))</f>
        <v>13.4</v>
      </c>
      <c r="V36">
        <f t="array" ref="V36">MEDIAN(IF($C$3:$C$29=$C36,V$3:V$29,""))</f>
        <v>15</v>
      </c>
      <c r="W36">
        <f t="array" ref="W36">MEDIAN(IF($C$3:$C$29=$C36,W$3:W$29,""))</f>
        <v>13.3</v>
      </c>
      <c r="X36">
        <f t="array" ref="X36">MEDIAN(IF($C$3:$C$29=$C36,X$3:X$29,""))</f>
        <v>17.399999999999999</v>
      </c>
      <c r="Y36">
        <f t="array" ref="Y36">MEDIAN(IF($C$3:$C$29=$C36,Y$3:Y$29,""))</f>
        <v>18.3</v>
      </c>
      <c r="Z36">
        <f t="array" ref="Z36">MEDIAN(IF($C$3:$C$29=$C36,Z$3:Z$29,""))</f>
        <v>20.100000000000001</v>
      </c>
      <c r="AA36">
        <f t="array" ref="AA36">MEDIAN(IF($C$3:$C$29=$C36,AA$3:AA$29,""))</f>
        <v>22.1</v>
      </c>
    </row>
    <row r="37" spans="3:27" x14ac:dyDescent="0.25">
      <c r="C37">
        <v>7</v>
      </c>
      <c r="D37">
        <f t="array" ref="D37">MEDIAN(IF($C$3:$C$29=$C37,D$3:D$29,""))</f>
        <v>26.75</v>
      </c>
      <c r="E37">
        <f t="array" ref="E37">MEDIAN(IF($C$3:$C$29=$C37,E$3:E$29,""))</f>
        <v>33.75</v>
      </c>
      <c r="F37">
        <f t="array" ref="F37">MEDIAN(IF($C$3:$C$29=$C37,F$3:F$29,""))</f>
        <v>0</v>
      </c>
      <c r="G37">
        <v>26</v>
      </c>
      <c r="H37">
        <f t="array" ref="H37">MEDIAN(IF($C$3:$C$29=$C37,H$3:H$29,""))</f>
        <v>23.6</v>
      </c>
      <c r="I37">
        <f t="array" ref="I37">MEDIAN(IF($C$3:$C$29=$C37,I$3:I$29,""))</f>
        <v>19.549999999999997</v>
      </c>
      <c r="J37">
        <f t="array" ref="J37">MEDIAN(IF($C$3:$C$29=$C37,J$3:J$29,""))</f>
        <v>14.3</v>
      </c>
      <c r="K37">
        <f t="array" ref="K37">MEDIAN(IF($C$3:$C$29=$C37,K$3:K$29,""))</f>
        <v>10.8</v>
      </c>
      <c r="L37">
        <f t="array" ref="L37">MEDIAN(IF($C$3:$C$29=$C37,L$3:L$29,""))</f>
        <v>15.149999999999999</v>
      </c>
      <c r="M37">
        <f t="array" ref="M37">MEDIAN(IF($C$3:$C$29=$C37,M$3:M$29,""))</f>
        <v>14.8</v>
      </c>
      <c r="N37">
        <f t="array" ref="N37">MEDIAN(IF($C$3:$C$29=$C37,N$3:N$29,""))</f>
        <v>14.15</v>
      </c>
      <c r="O37">
        <f t="array" ref="O37">MEDIAN(IF($C$3:$C$29=$C37,O$3:O$29,""))</f>
        <v>11.05</v>
      </c>
      <c r="P37">
        <f t="array" ref="P37">MEDIAN(IF($C$3:$C$29=$C37,P$3:P$29,""))</f>
        <v>7.7</v>
      </c>
      <c r="Q37">
        <f t="array" ref="Q37">MEDIAN(IF($C$3:$C$29=$C37,Q$3:Q$29,""))</f>
        <v>5.4</v>
      </c>
      <c r="R37">
        <f t="array" ref="R37">MEDIAN(IF($C$3:$C$29=$C37,R$3:R$29,""))</f>
        <v>13.350000000000001</v>
      </c>
      <c r="S37">
        <f t="array" ref="S37">MEDIAN(IF($C$3:$C$29=$C37,S$3:S$29,""))</f>
        <v>12.65</v>
      </c>
      <c r="T37">
        <f t="array" ref="T37">MEDIAN(IF($C$3:$C$29=$C37,T$3:T$29,""))</f>
        <v>11</v>
      </c>
      <c r="U37">
        <f t="array" ref="U37">MEDIAN(IF($C$3:$C$29=$C37,U$3:U$29,""))</f>
        <v>9.3500000000000014</v>
      </c>
      <c r="V37">
        <f t="array" ref="V37">MEDIAN(IF($C$3:$C$29=$C37,V$3:V$29,""))</f>
        <v>11.6</v>
      </c>
      <c r="W37">
        <f t="array" ref="W37">MEDIAN(IF($C$3:$C$29=$C37,W$3:W$29,""))</f>
        <v>12.899999999999999</v>
      </c>
      <c r="X37">
        <f t="array" ref="X37">MEDIAN(IF($C$3:$C$29=$C37,X$3:X$29,""))</f>
        <v>15.649999999999999</v>
      </c>
      <c r="Y37">
        <f t="array" ref="Y37">MEDIAN(IF($C$3:$C$29=$C37,Y$3:Y$29,""))</f>
        <v>15.850000000000001</v>
      </c>
      <c r="Z37">
        <f t="array" ref="Z37">MEDIAN(IF($C$3:$C$29=$C37,Z$3:Z$29,""))</f>
        <v>17.600000000000001</v>
      </c>
      <c r="AA37">
        <f t="array" ref="AA37">MEDIAN(IF($C$3:$C$29=$C37,AA$3:AA$29,""))</f>
        <v>20.8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AA37"/>
  <sheetViews>
    <sheetView workbookViewId="0">
      <selection activeCell="G31" sqref="G31:G37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28</v>
      </c>
      <c r="E3">
        <v>28.9</v>
      </c>
      <c r="H3">
        <v>27.2</v>
      </c>
      <c r="I3">
        <v>23.1</v>
      </c>
      <c r="J3">
        <v>14.6</v>
      </c>
      <c r="K3">
        <v>9.6999999999999993</v>
      </c>
      <c r="L3">
        <v>10.6</v>
      </c>
      <c r="M3">
        <v>9.1999999999999993</v>
      </c>
      <c r="N3">
        <v>5</v>
      </c>
      <c r="O3">
        <v>6.1</v>
      </c>
      <c r="P3">
        <v>4.2</v>
      </c>
      <c r="Q3">
        <v>5.7</v>
      </c>
      <c r="R3">
        <v>12</v>
      </c>
      <c r="S3">
        <v>11.3</v>
      </c>
      <c r="T3">
        <v>10.5</v>
      </c>
      <c r="U3">
        <v>8.6</v>
      </c>
      <c r="V3">
        <v>8.8000000000000007</v>
      </c>
      <c r="W3">
        <v>14</v>
      </c>
      <c r="X3">
        <v>12.6</v>
      </c>
      <c r="Y3">
        <v>10.6</v>
      </c>
      <c r="Z3">
        <v>17.3</v>
      </c>
      <c r="AA3">
        <v>23.9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26</v>
      </c>
      <c r="E4">
        <v>36.5</v>
      </c>
      <c r="H4">
        <v>28.3</v>
      </c>
      <c r="I4">
        <v>24.8</v>
      </c>
      <c r="J4">
        <v>20.8</v>
      </c>
      <c r="K4">
        <v>20</v>
      </c>
      <c r="L4">
        <v>16</v>
      </c>
      <c r="M4">
        <v>11.4</v>
      </c>
      <c r="N4">
        <v>9.5</v>
      </c>
      <c r="O4">
        <v>8.9</v>
      </c>
      <c r="P4">
        <v>9.1</v>
      </c>
      <c r="Q4">
        <v>7</v>
      </c>
      <c r="R4">
        <v>8.1999999999999993</v>
      </c>
      <c r="S4">
        <v>13.1</v>
      </c>
      <c r="T4">
        <v>8</v>
      </c>
      <c r="U4">
        <v>9.3000000000000007</v>
      </c>
      <c r="V4">
        <v>10.3</v>
      </c>
      <c r="W4">
        <v>8.6999999999999993</v>
      </c>
      <c r="X4">
        <v>11.5</v>
      </c>
      <c r="Y4">
        <v>13.6</v>
      </c>
      <c r="Z4">
        <v>18.100000000000001</v>
      </c>
      <c r="AA4">
        <v>25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26.5</v>
      </c>
      <c r="E5">
        <v>19.7</v>
      </c>
      <c r="F5">
        <v>28.9</v>
      </c>
      <c r="H5">
        <v>27.5</v>
      </c>
      <c r="I5">
        <v>27.6</v>
      </c>
      <c r="J5">
        <v>23.7</v>
      </c>
      <c r="K5">
        <v>21.6</v>
      </c>
      <c r="L5">
        <v>25.1</v>
      </c>
      <c r="M5">
        <v>17.399999999999999</v>
      </c>
      <c r="N5">
        <v>14.2</v>
      </c>
      <c r="O5">
        <v>10.5</v>
      </c>
      <c r="P5">
        <v>9</v>
      </c>
      <c r="Q5">
        <v>9.4</v>
      </c>
      <c r="R5">
        <v>12.6</v>
      </c>
      <c r="S5">
        <v>13.9</v>
      </c>
      <c r="T5">
        <v>16.8</v>
      </c>
      <c r="U5">
        <v>15.8</v>
      </c>
      <c r="V5">
        <v>12</v>
      </c>
      <c r="W5">
        <v>12.7</v>
      </c>
      <c r="X5">
        <v>19.2</v>
      </c>
      <c r="Y5">
        <v>15.9</v>
      </c>
      <c r="Z5">
        <v>20.5</v>
      </c>
      <c r="AA5">
        <v>29.1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24.4</v>
      </c>
      <c r="E6">
        <v>27.3</v>
      </c>
      <c r="H6">
        <v>27.5</v>
      </c>
      <c r="I6">
        <v>21.6</v>
      </c>
      <c r="J6">
        <v>11.9</v>
      </c>
      <c r="K6">
        <v>10.3</v>
      </c>
      <c r="L6">
        <v>13.6</v>
      </c>
      <c r="M6">
        <v>10.9</v>
      </c>
      <c r="N6">
        <v>9.6999999999999993</v>
      </c>
      <c r="O6">
        <v>9</v>
      </c>
      <c r="P6">
        <v>7.4</v>
      </c>
      <c r="Q6">
        <v>7.9</v>
      </c>
      <c r="R6">
        <v>10.199999999999999</v>
      </c>
      <c r="S6">
        <v>7.2</v>
      </c>
      <c r="T6">
        <v>11</v>
      </c>
      <c r="U6">
        <v>9.6999999999999993</v>
      </c>
      <c r="V6">
        <v>11.2</v>
      </c>
      <c r="W6">
        <v>17.5</v>
      </c>
      <c r="X6">
        <v>16.7</v>
      </c>
      <c r="Y6">
        <v>19</v>
      </c>
      <c r="Z6">
        <v>18.8</v>
      </c>
      <c r="AA6">
        <v>26.6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25.5</v>
      </c>
      <c r="E7">
        <v>29.6</v>
      </c>
      <c r="H7">
        <v>26.4</v>
      </c>
      <c r="I7">
        <v>22.9</v>
      </c>
      <c r="J7">
        <v>13.8</v>
      </c>
      <c r="K7">
        <v>9.6</v>
      </c>
      <c r="L7">
        <v>14.9</v>
      </c>
      <c r="M7">
        <v>9.8000000000000007</v>
      </c>
      <c r="N7">
        <v>7.3</v>
      </c>
      <c r="O7">
        <v>8.6</v>
      </c>
      <c r="P7">
        <v>6.3</v>
      </c>
      <c r="Q7">
        <v>6.2</v>
      </c>
      <c r="R7">
        <v>9.8000000000000007</v>
      </c>
      <c r="S7">
        <v>7.2</v>
      </c>
      <c r="T7">
        <v>11.1</v>
      </c>
      <c r="U7">
        <v>9</v>
      </c>
      <c r="V7">
        <v>11.2</v>
      </c>
      <c r="W7">
        <v>10.7</v>
      </c>
      <c r="X7">
        <v>15.4</v>
      </c>
      <c r="Y7">
        <v>16.5</v>
      </c>
      <c r="Z7">
        <v>20.399999999999999</v>
      </c>
      <c r="AA7">
        <v>24.2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31.7</v>
      </c>
      <c r="E8">
        <v>30.5</v>
      </c>
      <c r="H8">
        <v>23.5</v>
      </c>
      <c r="I8">
        <v>21.6</v>
      </c>
      <c r="J8">
        <v>12.3</v>
      </c>
      <c r="K8">
        <v>7.5</v>
      </c>
      <c r="L8">
        <v>15</v>
      </c>
      <c r="M8">
        <v>9.6999999999999993</v>
      </c>
      <c r="N8">
        <v>6.9</v>
      </c>
      <c r="O8">
        <v>7.9</v>
      </c>
      <c r="P8">
        <v>5.8</v>
      </c>
      <c r="Q8">
        <v>5</v>
      </c>
      <c r="R8">
        <v>8.4</v>
      </c>
      <c r="S8">
        <v>8.6</v>
      </c>
      <c r="T8">
        <v>11.2</v>
      </c>
      <c r="U8">
        <v>8.3000000000000007</v>
      </c>
      <c r="V8">
        <v>9</v>
      </c>
      <c r="W8">
        <v>14.7</v>
      </c>
      <c r="X8">
        <v>12.3</v>
      </c>
      <c r="Y8">
        <v>18.5</v>
      </c>
      <c r="Z8">
        <v>19.899999999999999</v>
      </c>
      <c r="AA8">
        <v>22.1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23.5</v>
      </c>
      <c r="E9">
        <v>24.1</v>
      </c>
      <c r="H9">
        <v>27</v>
      </c>
      <c r="I9">
        <v>21.9</v>
      </c>
      <c r="J9">
        <v>11.6</v>
      </c>
      <c r="K9">
        <v>11.6</v>
      </c>
      <c r="L9">
        <v>13</v>
      </c>
      <c r="M9">
        <v>13.8</v>
      </c>
      <c r="N9">
        <v>12.6</v>
      </c>
      <c r="O9">
        <v>8.8000000000000007</v>
      </c>
      <c r="P9">
        <v>9</v>
      </c>
      <c r="Q9">
        <v>5.7</v>
      </c>
      <c r="R9">
        <v>13.4</v>
      </c>
      <c r="S9">
        <v>12.2</v>
      </c>
      <c r="T9">
        <v>12.8</v>
      </c>
      <c r="U9">
        <v>9.3000000000000007</v>
      </c>
      <c r="V9">
        <v>11.7</v>
      </c>
      <c r="W9">
        <v>11.7</v>
      </c>
      <c r="X9">
        <v>17.2</v>
      </c>
      <c r="Y9">
        <v>17.2</v>
      </c>
      <c r="Z9">
        <v>20</v>
      </c>
      <c r="AA9">
        <v>21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24.8</v>
      </c>
      <c r="E10">
        <v>23.9</v>
      </c>
      <c r="H10">
        <v>22.2</v>
      </c>
      <c r="I10">
        <v>22</v>
      </c>
      <c r="J10">
        <v>12.5</v>
      </c>
      <c r="K10">
        <v>7.3</v>
      </c>
      <c r="L10">
        <v>14.7</v>
      </c>
      <c r="M10">
        <v>10.9</v>
      </c>
      <c r="N10">
        <v>11.2</v>
      </c>
      <c r="O10">
        <v>6.5</v>
      </c>
      <c r="P10">
        <v>5.5</v>
      </c>
      <c r="Q10">
        <v>4.0999999999999996</v>
      </c>
      <c r="R10">
        <v>11.8</v>
      </c>
      <c r="S10">
        <v>11.1</v>
      </c>
      <c r="T10">
        <v>9.4</v>
      </c>
      <c r="U10">
        <v>8.3000000000000007</v>
      </c>
      <c r="V10">
        <v>7.7</v>
      </c>
      <c r="W10">
        <v>14.5</v>
      </c>
      <c r="X10">
        <v>11.3</v>
      </c>
      <c r="Y10">
        <v>14</v>
      </c>
      <c r="Z10">
        <v>18.5</v>
      </c>
      <c r="AA10">
        <v>24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24.5</v>
      </c>
      <c r="E11">
        <v>30.1</v>
      </c>
      <c r="H11">
        <v>32.9</v>
      </c>
      <c r="I11">
        <v>22.6</v>
      </c>
      <c r="J11">
        <v>21.7</v>
      </c>
      <c r="K11">
        <v>19.5</v>
      </c>
      <c r="L11">
        <v>18.100000000000001</v>
      </c>
      <c r="M11">
        <v>13.7</v>
      </c>
      <c r="N11">
        <v>12</v>
      </c>
      <c r="O11">
        <v>11</v>
      </c>
      <c r="P11">
        <v>11.6</v>
      </c>
      <c r="Q11">
        <v>11.5</v>
      </c>
      <c r="R11">
        <v>14.5</v>
      </c>
      <c r="S11">
        <v>11.6</v>
      </c>
      <c r="T11">
        <v>13</v>
      </c>
      <c r="U11">
        <v>16.3</v>
      </c>
      <c r="V11">
        <v>13.2</v>
      </c>
      <c r="W11">
        <v>12.4</v>
      </c>
      <c r="X11">
        <v>14.5</v>
      </c>
      <c r="Y11">
        <v>19.3</v>
      </c>
      <c r="Z11">
        <v>20.399999999999999</v>
      </c>
      <c r="AA11">
        <v>19.100000000000001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22.8</v>
      </c>
      <c r="E12">
        <v>20.6</v>
      </c>
      <c r="H12">
        <v>25.8</v>
      </c>
      <c r="I12">
        <v>23.8</v>
      </c>
      <c r="J12">
        <v>23.9</v>
      </c>
      <c r="K12">
        <v>21.2</v>
      </c>
      <c r="L12">
        <v>21.1</v>
      </c>
      <c r="M12">
        <v>18.399999999999999</v>
      </c>
      <c r="N12">
        <v>15</v>
      </c>
      <c r="O12">
        <v>16.2</v>
      </c>
      <c r="P12">
        <v>12.4</v>
      </c>
      <c r="Q12">
        <v>16.5</v>
      </c>
      <c r="R12">
        <v>17.899999999999999</v>
      </c>
      <c r="S12">
        <v>18.600000000000001</v>
      </c>
      <c r="T12">
        <v>18.600000000000001</v>
      </c>
      <c r="U12">
        <v>16.5</v>
      </c>
      <c r="V12">
        <v>18.2</v>
      </c>
      <c r="W12">
        <v>16.399999999999999</v>
      </c>
      <c r="X12">
        <v>17.399999999999999</v>
      </c>
      <c r="Y12">
        <v>17.100000000000001</v>
      </c>
      <c r="Z12">
        <v>19.2</v>
      </c>
      <c r="AA12">
        <v>19.8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30</v>
      </c>
      <c r="E13">
        <v>33.700000000000003</v>
      </c>
      <c r="H13">
        <v>24.5</v>
      </c>
      <c r="I13">
        <v>21.2</v>
      </c>
      <c r="J13">
        <v>12</v>
      </c>
      <c r="K13">
        <v>8.4</v>
      </c>
      <c r="L13">
        <v>14.4</v>
      </c>
      <c r="M13">
        <v>12.6</v>
      </c>
      <c r="N13">
        <v>13</v>
      </c>
      <c r="O13">
        <v>11.1</v>
      </c>
      <c r="P13">
        <v>8.3000000000000007</v>
      </c>
      <c r="Q13">
        <v>9.5</v>
      </c>
      <c r="R13">
        <v>13</v>
      </c>
      <c r="S13">
        <v>12.1</v>
      </c>
      <c r="T13">
        <v>11.7</v>
      </c>
      <c r="U13">
        <v>9.3000000000000007</v>
      </c>
      <c r="V13">
        <v>10</v>
      </c>
      <c r="W13">
        <v>12</v>
      </c>
      <c r="X13">
        <v>16.2</v>
      </c>
      <c r="Y13">
        <v>21.2</v>
      </c>
      <c r="Z13">
        <v>21.4</v>
      </c>
      <c r="AA13">
        <v>20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30.8</v>
      </c>
      <c r="E14">
        <v>33.299999999999997</v>
      </c>
      <c r="H14">
        <v>26.4</v>
      </c>
      <c r="I14">
        <v>22</v>
      </c>
      <c r="J14">
        <v>12.3</v>
      </c>
      <c r="K14">
        <v>9.3000000000000007</v>
      </c>
      <c r="L14">
        <v>13.4</v>
      </c>
      <c r="M14">
        <v>13.6</v>
      </c>
      <c r="N14">
        <v>13.2</v>
      </c>
      <c r="O14">
        <v>12.6</v>
      </c>
      <c r="P14">
        <v>9.1999999999999993</v>
      </c>
      <c r="Q14">
        <v>9.5</v>
      </c>
      <c r="R14">
        <v>13.5</v>
      </c>
      <c r="S14">
        <v>14</v>
      </c>
      <c r="T14">
        <v>12.2</v>
      </c>
      <c r="U14">
        <v>9</v>
      </c>
      <c r="V14">
        <v>10.199999999999999</v>
      </c>
      <c r="W14">
        <v>12</v>
      </c>
      <c r="X14">
        <v>13.7</v>
      </c>
      <c r="Y14">
        <v>18.5</v>
      </c>
      <c r="Z14">
        <v>18.600000000000001</v>
      </c>
      <c r="AA14">
        <v>21.5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26.9</v>
      </c>
      <c r="E15">
        <v>39.4</v>
      </c>
      <c r="H15">
        <v>28.2</v>
      </c>
      <c r="I15">
        <v>20.6</v>
      </c>
      <c r="J15">
        <v>14.6</v>
      </c>
      <c r="K15">
        <v>6.9</v>
      </c>
      <c r="L15">
        <v>10.3</v>
      </c>
      <c r="M15">
        <v>12.9</v>
      </c>
      <c r="N15">
        <v>13.5</v>
      </c>
      <c r="O15">
        <v>10.7</v>
      </c>
      <c r="P15">
        <v>8</v>
      </c>
      <c r="Q15">
        <v>7.3</v>
      </c>
      <c r="R15">
        <v>13.8</v>
      </c>
      <c r="S15">
        <v>15</v>
      </c>
      <c r="T15">
        <v>10.9</v>
      </c>
      <c r="U15">
        <v>7.6</v>
      </c>
      <c r="V15">
        <v>8.6999999999999993</v>
      </c>
      <c r="W15">
        <v>13.6</v>
      </c>
      <c r="X15">
        <v>15.6</v>
      </c>
      <c r="Y15">
        <v>20.399999999999999</v>
      </c>
      <c r="Z15">
        <v>20.3</v>
      </c>
      <c r="AA15">
        <v>23.1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22.6</v>
      </c>
      <c r="E16">
        <v>30.4</v>
      </c>
      <c r="H16">
        <v>24.6</v>
      </c>
      <c r="I16">
        <v>20.7</v>
      </c>
      <c r="J16">
        <v>12</v>
      </c>
      <c r="K16">
        <v>11.8</v>
      </c>
      <c r="L16">
        <v>13.7</v>
      </c>
      <c r="M16">
        <v>14.4</v>
      </c>
      <c r="N16">
        <v>13.5</v>
      </c>
      <c r="O16">
        <v>12.7</v>
      </c>
      <c r="P16">
        <v>11.2</v>
      </c>
      <c r="Q16">
        <v>10.9</v>
      </c>
      <c r="R16">
        <v>12.6</v>
      </c>
      <c r="S16">
        <v>14.6</v>
      </c>
      <c r="T16">
        <v>11.8</v>
      </c>
      <c r="U16">
        <v>12.4</v>
      </c>
      <c r="V16">
        <v>11.9</v>
      </c>
      <c r="W16">
        <v>16</v>
      </c>
      <c r="X16">
        <v>16</v>
      </c>
      <c r="Y16">
        <v>20.3</v>
      </c>
      <c r="Z16">
        <v>18.399999999999999</v>
      </c>
      <c r="AA16">
        <v>19.399999999999999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29.6</v>
      </c>
      <c r="E17">
        <v>40.1</v>
      </c>
      <c r="H17">
        <v>28.9</v>
      </c>
      <c r="I17">
        <v>20.399999999999999</v>
      </c>
      <c r="J17">
        <v>12.6</v>
      </c>
      <c r="K17">
        <v>7.3</v>
      </c>
      <c r="L17">
        <v>13.5</v>
      </c>
      <c r="M17">
        <v>13.4</v>
      </c>
      <c r="N17">
        <v>12.6</v>
      </c>
      <c r="O17">
        <v>10.5</v>
      </c>
      <c r="P17">
        <v>8.6</v>
      </c>
      <c r="Q17">
        <v>5.2</v>
      </c>
      <c r="R17">
        <v>11.6</v>
      </c>
      <c r="S17">
        <v>12</v>
      </c>
      <c r="T17">
        <v>9.1</v>
      </c>
      <c r="U17">
        <v>9.4</v>
      </c>
      <c r="V17">
        <v>12.7</v>
      </c>
      <c r="W17">
        <v>12.1</v>
      </c>
      <c r="X17">
        <v>15</v>
      </c>
      <c r="Y17">
        <v>15.3</v>
      </c>
      <c r="Z17">
        <v>17.100000000000001</v>
      </c>
      <c r="AA17">
        <v>19.899999999999999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27.9</v>
      </c>
      <c r="E18">
        <v>26.9</v>
      </c>
      <c r="H18">
        <v>33.299999999999997</v>
      </c>
      <c r="I18">
        <v>27</v>
      </c>
      <c r="J18">
        <v>21.7</v>
      </c>
      <c r="K18">
        <v>19.5</v>
      </c>
      <c r="L18">
        <v>17.8</v>
      </c>
      <c r="M18">
        <v>16</v>
      </c>
      <c r="N18">
        <v>14.7</v>
      </c>
      <c r="O18">
        <v>11.9</v>
      </c>
      <c r="P18">
        <v>11</v>
      </c>
      <c r="Q18">
        <v>12.2</v>
      </c>
      <c r="R18">
        <v>12.8</v>
      </c>
      <c r="S18">
        <v>14.2</v>
      </c>
      <c r="T18">
        <v>13.8</v>
      </c>
      <c r="U18">
        <v>14.4</v>
      </c>
      <c r="V18">
        <v>16.5</v>
      </c>
      <c r="W18">
        <v>14.5</v>
      </c>
      <c r="X18">
        <v>12.1</v>
      </c>
      <c r="Y18">
        <v>17.7</v>
      </c>
      <c r="Z18">
        <v>20.6</v>
      </c>
      <c r="AA18">
        <v>23.5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20.7</v>
      </c>
      <c r="H19">
        <v>25.6</v>
      </c>
      <c r="I19">
        <v>26.7</v>
      </c>
      <c r="J19">
        <v>26.7</v>
      </c>
      <c r="K19">
        <v>24.6</v>
      </c>
      <c r="L19">
        <v>20.3</v>
      </c>
      <c r="M19">
        <v>17.3</v>
      </c>
      <c r="N19">
        <v>15.1</v>
      </c>
      <c r="O19">
        <v>15.1</v>
      </c>
      <c r="P19">
        <v>14.2</v>
      </c>
      <c r="Q19">
        <v>13.3</v>
      </c>
      <c r="R19">
        <v>14.5</v>
      </c>
      <c r="S19">
        <v>17.600000000000001</v>
      </c>
      <c r="T19">
        <v>19</v>
      </c>
      <c r="U19">
        <v>17.7</v>
      </c>
      <c r="V19">
        <v>16.8</v>
      </c>
      <c r="W19">
        <v>15.8</v>
      </c>
      <c r="X19">
        <v>18.5</v>
      </c>
      <c r="Y19">
        <v>17.8</v>
      </c>
      <c r="Z19">
        <v>23.7</v>
      </c>
      <c r="AA19">
        <v>25.1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24.6</v>
      </c>
      <c r="E20">
        <v>29.5</v>
      </c>
      <c r="H20">
        <v>25.7</v>
      </c>
      <c r="I20">
        <v>19.600000000000001</v>
      </c>
      <c r="J20">
        <v>13.6</v>
      </c>
      <c r="K20">
        <v>9.3000000000000007</v>
      </c>
      <c r="L20">
        <v>13.2</v>
      </c>
      <c r="M20">
        <v>15.3</v>
      </c>
      <c r="N20">
        <v>13.7</v>
      </c>
      <c r="O20">
        <v>13.1</v>
      </c>
      <c r="P20">
        <v>9.8000000000000007</v>
      </c>
      <c r="Q20">
        <v>9.6</v>
      </c>
      <c r="R20">
        <v>12.9</v>
      </c>
      <c r="S20">
        <v>15.7</v>
      </c>
      <c r="T20">
        <v>13.2</v>
      </c>
      <c r="U20">
        <v>11</v>
      </c>
      <c r="V20">
        <v>10.6</v>
      </c>
      <c r="W20">
        <v>13.1</v>
      </c>
      <c r="X20">
        <v>14.5</v>
      </c>
      <c r="Y20">
        <v>18.7</v>
      </c>
      <c r="Z20">
        <v>19.3</v>
      </c>
      <c r="AA20">
        <v>20.6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25</v>
      </c>
      <c r="E21">
        <v>36.299999999999997</v>
      </c>
      <c r="H21">
        <v>27.8</v>
      </c>
      <c r="I21">
        <v>20.5</v>
      </c>
      <c r="J21">
        <v>11.8</v>
      </c>
      <c r="K21">
        <v>6.8</v>
      </c>
      <c r="L21">
        <v>12.3</v>
      </c>
      <c r="M21">
        <v>14.1</v>
      </c>
      <c r="N21">
        <v>13.6</v>
      </c>
      <c r="O21">
        <v>12.8</v>
      </c>
      <c r="P21">
        <v>12</v>
      </c>
      <c r="Q21">
        <v>11</v>
      </c>
      <c r="R21">
        <v>13.3</v>
      </c>
      <c r="S21">
        <v>13.6</v>
      </c>
      <c r="T21">
        <v>10.6</v>
      </c>
      <c r="U21">
        <v>9.8000000000000007</v>
      </c>
      <c r="V21">
        <v>9.1</v>
      </c>
      <c r="W21">
        <v>10.1</v>
      </c>
      <c r="X21">
        <v>14.3</v>
      </c>
      <c r="Y21">
        <v>19.5</v>
      </c>
      <c r="Z21">
        <v>21.7</v>
      </c>
      <c r="AA21">
        <v>22.3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13.1</v>
      </c>
      <c r="E22">
        <v>29.6</v>
      </c>
      <c r="H22">
        <v>30.9</v>
      </c>
      <c r="I22">
        <v>22.7</v>
      </c>
      <c r="J22">
        <v>12.3</v>
      </c>
      <c r="K22">
        <v>9.5</v>
      </c>
      <c r="L22">
        <v>13.7</v>
      </c>
      <c r="M22">
        <v>14.4</v>
      </c>
      <c r="N22">
        <v>14</v>
      </c>
      <c r="O22">
        <v>14.1</v>
      </c>
      <c r="P22">
        <v>11.5</v>
      </c>
      <c r="Q22">
        <v>11.4</v>
      </c>
      <c r="R22">
        <v>14.2</v>
      </c>
      <c r="S22">
        <v>13.9</v>
      </c>
      <c r="T22">
        <v>10.9</v>
      </c>
      <c r="U22">
        <v>10</v>
      </c>
      <c r="V22">
        <v>8</v>
      </c>
      <c r="W22">
        <v>7.4</v>
      </c>
      <c r="X22">
        <v>15.5</v>
      </c>
      <c r="Y22">
        <v>21.9</v>
      </c>
      <c r="Z22">
        <v>18.5</v>
      </c>
      <c r="AA22">
        <v>26.6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28.2</v>
      </c>
      <c r="E23">
        <v>27.7</v>
      </c>
      <c r="H23">
        <v>26.4</v>
      </c>
      <c r="I23">
        <v>23.3</v>
      </c>
      <c r="J23">
        <v>13.8</v>
      </c>
      <c r="K23">
        <v>9.5</v>
      </c>
      <c r="L23">
        <v>13.3</v>
      </c>
      <c r="M23">
        <v>13.7</v>
      </c>
      <c r="N23">
        <v>13.1</v>
      </c>
      <c r="O23">
        <v>13.9</v>
      </c>
      <c r="P23">
        <v>12.4</v>
      </c>
      <c r="Q23">
        <v>12.7</v>
      </c>
      <c r="R23">
        <v>12.8</v>
      </c>
      <c r="S23">
        <v>15.7</v>
      </c>
      <c r="T23">
        <v>13.1</v>
      </c>
      <c r="U23">
        <v>10</v>
      </c>
      <c r="V23">
        <v>8.4</v>
      </c>
      <c r="W23">
        <v>11.8</v>
      </c>
      <c r="X23">
        <v>13.8</v>
      </c>
      <c r="Y23">
        <v>17.3</v>
      </c>
      <c r="Z23">
        <v>26.4</v>
      </c>
      <c r="AA23">
        <v>23.6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26</v>
      </c>
      <c r="E24">
        <v>25.4</v>
      </c>
      <c r="H24">
        <v>25.5</v>
      </c>
      <c r="I24">
        <v>19.5</v>
      </c>
      <c r="J24">
        <v>11.5</v>
      </c>
      <c r="K24">
        <v>7.6</v>
      </c>
      <c r="L24">
        <v>12.6</v>
      </c>
      <c r="M24">
        <v>12.7</v>
      </c>
      <c r="N24">
        <v>11.5</v>
      </c>
      <c r="O24">
        <v>10.5</v>
      </c>
      <c r="P24">
        <v>9.1</v>
      </c>
      <c r="Q24">
        <v>4.7</v>
      </c>
      <c r="R24">
        <v>13.8</v>
      </c>
      <c r="S24">
        <v>14.5</v>
      </c>
      <c r="T24">
        <v>12.3</v>
      </c>
      <c r="U24">
        <v>7.9</v>
      </c>
      <c r="V24">
        <v>9.1999999999999993</v>
      </c>
      <c r="W24">
        <v>11.8</v>
      </c>
      <c r="X24">
        <v>13.1</v>
      </c>
      <c r="Y24">
        <v>20.399999999999999</v>
      </c>
      <c r="Z24">
        <v>21.3</v>
      </c>
      <c r="AA24">
        <v>18.600000000000001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26</v>
      </c>
      <c r="E25">
        <v>31.6</v>
      </c>
      <c r="H25">
        <v>29.3</v>
      </c>
      <c r="I25">
        <v>25</v>
      </c>
      <c r="J25">
        <v>22.4</v>
      </c>
      <c r="K25">
        <v>18.3</v>
      </c>
      <c r="L25">
        <v>14.9</v>
      </c>
      <c r="M25">
        <v>13.6</v>
      </c>
      <c r="N25">
        <v>11.3</v>
      </c>
      <c r="O25">
        <v>11.6</v>
      </c>
      <c r="P25">
        <v>12.4</v>
      </c>
      <c r="Q25">
        <v>12.6</v>
      </c>
      <c r="R25">
        <v>14.8</v>
      </c>
      <c r="T25">
        <v>12.1</v>
      </c>
      <c r="U25">
        <v>13.2</v>
      </c>
      <c r="W25">
        <v>16.600000000000001</v>
      </c>
      <c r="X25">
        <v>17.5</v>
      </c>
      <c r="Z25">
        <v>13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28.2</v>
      </c>
      <c r="E26">
        <v>25.3</v>
      </c>
      <c r="H26">
        <v>29.3</v>
      </c>
      <c r="I26">
        <v>24.6</v>
      </c>
      <c r="J26">
        <v>26</v>
      </c>
      <c r="K26">
        <v>21.8</v>
      </c>
      <c r="L26">
        <v>18.3</v>
      </c>
      <c r="M26">
        <v>18</v>
      </c>
      <c r="N26">
        <v>16.5</v>
      </c>
      <c r="O26">
        <v>12.4</v>
      </c>
      <c r="P26">
        <v>11.9</v>
      </c>
      <c r="Q26">
        <v>17</v>
      </c>
      <c r="R26">
        <v>16.600000000000001</v>
      </c>
      <c r="S26">
        <v>15.5</v>
      </c>
      <c r="T26">
        <v>18.399999999999999</v>
      </c>
      <c r="U26">
        <v>16.8</v>
      </c>
      <c r="V26">
        <v>17.5</v>
      </c>
      <c r="W26">
        <v>15.4</v>
      </c>
      <c r="X26">
        <v>16.7</v>
      </c>
      <c r="Y26">
        <v>17.399999999999999</v>
      </c>
      <c r="Z26">
        <v>23.3</v>
      </c>
      <c r="AA26">
        <v>27.2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26.9</v>
      </c>
      <c r="E27">
        <v>32.9</v>
      </c>
      <c r="H27">
        <v>27.7</v>
      </c>
      <c r="I27">
        <v>19.899999999999999</v>
      </c>
      <c r="J27">
        <v>12.4</v>
      </c>
      <c r="K27">
        <v>10.3</v>
      </c>
      <c r="L27">
        <v>13.7</v>
      </c>
      <c r="M27">
        <v>13.7</v>
      </c>
      <c r="N27">
        <v>16.399999999999999</v>
      </c>
      <c r="O27">
        <v>12.2</v>
      </c>
      <c r="P27">
        <v>11.9</v>
      </c>
      <c r="Q27">
        <v>10.5</v>
      </c>
      <c r="R27">
        <v>14.6</v>
      </c>
      <c r="S27">
        <v>14</v>
      </c>
      <c r="T27">
        <v>12.3</v>
      </c>
      <c r="U27">
        <v>8.3000000000000007</v>
      </c>
      <c r="V27">
        <v>9.1999999999999993</v>
      </c>
      <c r="W27">
        <v>12.3</v>
      </c>
      <c r="X27">
        <v>13.1</v>
      </c>
      <c r="Y27">
        <v>19</v>
      </c>
      <c r="Z27">
        <v>17.899999999999999</v>
      </c>
      <c r="AA27">
        <v>20.3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28</v>
      </c>
      <c r="E28">
        <v>30.2</v>
      </c>
      <c r="H28">
        <v>26.3</v>
      </c>
      <c r="I28">
        <v>21.3</v>
      </c>
      <c r="J28">
        <v>11.5</v>
      </c>
      <c r="K28">
        <v>8.6999999999999993</v>
      </c>
      <c r="L28">
        <v>12.7</v>
      </c>
      <c r="M28">
        <v>15.2</v>
      </c>
      <c r="N28">
        <v>15</v>
      </c>
      <c r="O28">
        <v>13.8</v>
      </c>
      <c r="P28">
        <v>10.199999999999999</v>
      </c>
      <c r="Q28">
        <v>10.4</v>
      </c>
      <c r="R28">
        <v>15.9</v>
      </c>
      <c r="S28">
        <v>15.6</v>
      </c>
      <c r="T28">
        <v>16.2</v>
      </c>
      <c r="U28">
        <v>15.1</v>
      </c>
      <c r="V28">
        <v>14.9</v>
      </c>
      <c r="W28">
        <v>16.600000000000001</v>
      </c>
      <c r="X28">
        <v>19.8</v>
      </c>
      <c r="Y28">
        <v>20.7</v>
      </c>
      <c r="Z28">
        <v>21.1</v>
      </c>
      <c r="AA28">
        <v>26.9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32.9</v>
      </c>
      <c r="E29">
        <v>39.4</v>
      </c>
      <c r="H29">
        <v>28.6</v>
      </c>
      <c r="I29">
        <v>24.8</v>
      </c>
      <c r="J29">
        <v>15.8</v>
      </c>
      <c r="K29">
        <v>13.4</v>
      </c>
      <c r="L29">
        <v>15.5</v>
      </c>
      <c r="M29">
        <v>14.9</v>
      </c>
      <c r="N29">
        <v>15.6</v>
      </c>
      <c r="O29">
        <v>14.1</v>
      </c>
      <c r="P29">
        <v>14.4</v>
      </c>
      <c r="Q29">
        <v>15.5</v>
      </c>
      <c r="R29">
        <v>16.2</v>
      </c>
      <c r="S29">
        <v>14.7</v>
      </c>
      <c r="T29">
        <v>10.1</v>
      </c>
      <c r="U29">
        <v>9.6999999999999993</v>
      </c>
      <c r="V29">
        <v>10.9</v>
      </c>
      <c r="W29">
        <v>10.7</v>
      </c>
      <c r="X29">
        <v>11.3</v>
      </c>
      <c r="Y29">
        <v>18.3</v>
      </c>
      <c r="Z29">
        <v>16.3</v>
      </c>
      <c r="AA29">
        <v>23.8</v>
      </c>
    </row>
    <row r="31" spans="1:27" x14ac:dyDescent="0.25">
      <c r="C31">
        <v>1</v>
      </c>
      <c r="D31">
        <f t="array" ref="D31">MEDIAN(IF($C$3:$C$29=$C31,D$3:D$29,""))</f>
        <v>24.65</v>
      </c>
      <c r="E31">
        <f t="array" ref="E31">MEDIAN(IF($C$3:$C$29=$C31,E$3:E$29,""))</f>
        <v>20.149999999999999</v>
      </c>
      <c r="F31">
        <f t="array" ref="F31">MEDIAN(IF($C$3:$C$29=$C31,F$3:F$29,""))</f>
        <v>0</v>
      </c>
      <c r="G31">
        <v>26</v>
      </c>
      <c r="H31">
        <f t="array" ref="H31">MEDIAN(IF($C$3:$C$29=$C31,H$3:H$29,""))</f>
        <v>26.65</v>
      </c>
      <c r="I31">
        <f t="array" ref="I31">MEDIAN(IF($C$3:$C$29=$C31,I$3:I$29,""))</f>
        <v>25.65</v>
      </c>
      <c r="J31">
        <f t="array" ref="J31">MEDIAN(IF($C$3:$C$29=$C31,J$3:J$29,""))</f>
        <v>24.95</v>
      </c>
      <c r="K31">
        <f t="array" ref="K31">MEDIAN(IF($C$3:$C$29=$C31,K$3:K$29,""))</f>
        <v>21.700000000000003</v>
      </c>
      <c r="L31">
        <f t="array" ref="L31">MEDIAN(IF($C$3:$C$29=$C31,L$3:L$29,""))</f>
        <v>20.700000000000003</v>
      </c>
      <c r="M31">
        <f t="array" ref="M31">MEDIAN(IF($C$3:$C$29=$C31,M$3:M$29,""))</f>
        <v>17.7</v>
      </c>
      <c r="N31">
        <f t="array" ref="N31">MEDIAN(IF($C$3:$C$29=$C31,N$3:N$29,""))</f>
        <v>15.05</v>
      </c>
      <c r="O31">
        <f t="array" ref="O31">MEDIAN(IF($C$3:$C$29=$C31,O$3:O$29,""))</f>
        <v>13.75</v>
      </c>
      <c r="P31">
        <f t="array" ref="P31">MEDIAN(IF($C$3:$C$29=$C31,P$3:P$29,""))</f>
        <v>12.15</v>
      </c>
      <c r="Q31">
        <f t="array" ref="Q31">MEDIAN(IF($C$3:$C$29=$C31,Q$3:Q$29,""))</f>
        <v>14.9</v>
      </c>
      <c r="R31">
        <f t="array" ref="R31">MEDIAN(IF($C$3:$C$29=$C31,R$3:R$29,""))</f>
        <v>15.55</v>
      </c>
      <c r="S31">
        <f t="array" ref="S31">MEDIAN(IF($C$3:$C$29=$C31,S$3:S$29,""))</f>
        <v>16.55</v>
      </c>
      <c r="T31">
        <f t="array" ref="T31">MEDIAN(IF($C$3:$C$29=$C31,T$3:T$29,""))</f>
        <v>18.5</v>
      </c>
      <c r="U31">
        <f t="array" ref="U31">MEDIAN(IF($C$3:$C$29=$C31,U$3:U$29,""))</f>
        <v>16.649999999999999</v>
      </c>
      <c r="V31">
        <f t="array" ref="V31">MEDIAN(IF($C$3:$C$29=$C31,V$3:V$29,""))</f>
        <v>17.149999999999999</v>
      </c>
      <c r="W31">
        <f t="array" ref="W31">MEDIAN(IF($C$3:$C$29=$C31,W$3:W$29,""))</f>
        <v>15.600000000000001</v>
      </c>
      <c r="X31">
        <f t="array" ref="X31">MEDIAN(IF($C$3:$C$29=$C31,X$3:X$29,""))</f>
        <v>17.95</v>
      </c>
      <c r="Y31">
        <f t="array" ref="Y31">MEDIAN(IF($C$3:$C$29=$C31,Y$3:Y$29,""))</f>
        <v>17.25</v>
      </c>
      <c r="Z31">
        <f t="array" ref="Z31">MEDIAN(IF($C$3:$C$29=$C31,Z$3:Z$29,""))</f>
        <v>21.9</v>
      </c>
      <c r="AA31">
        <f t="array" ref="AA31">MEDIAN(IF($C$3:$C$29=$C31,AA$3:AA$29,""))</f>
        <v>26.15</v>
      </c>
    </row>
    <row r="32" spans="1:27" x14ac:dyDescent="0.25">
      <c r="C32">
        <v>2</v>
      </c>
      <c r="D32">
        <f t="array" ref="D32">MEDIAN(IF($C$3:$C$29=$C32,D$3:D$29,""))</f>
        <v>26</v>
      </c>
      <c r="E32">
        <f t="array" ref="E32">MEDIAN(IF($C$3:$C$29=$C32,E$3:E$29,""))</f>
        <v>30.85</v>
      </c>
      <c r="F32">
        <f t="array" ref="F32">MEDIAN(IF($C$3:$C$29=$C32,F$3:F$29,""))</f>
        <v>0</v>
      </c>
      <c r="G32">
        <v>26</v>
      </c>
      <c r="H32">
        <f t="array" ref="H32">MEDIAN(IF($C$3:$C$29=$C32,H$3:H$29,""))</f>
        <v>31.1</v>
      </c>
      <c r="I32">
        <f t="array" ref="I32">MEDIAN(IF($C$3:$C$29=$C32,I$3:I$29,""))</f>
        <v>24.9</v>
      </c>
      <c r="J32">
        <f t="array" ref="J32">MEDIAN(IF($C$3:$C$29=$C32,J$3:J$29,""))</f>
        <v>21.7</v>
      </c>
      <c r="K32">
        <f t="array" ref="K32">MEDIAN(IF($C$3:$C$29=$C32,K$3:K$29,""))</f>
        <v>19.5</v>
      </c>
      <c r="L32">
        <f t="array" ref="L32">MEDIAN(IF($C$3:$C$29=$C32,L$3:L$29,""))</f>
        <v>16.899999999999999</v>
      </c>
      <c r="M32">
        <f t="array" ref="M32">MEDIAN(IF($C$3:$C$29=$C32,M$3:M$29,""))</f>
        <v>13.649999999999999</v>
      </c>
      <c r="N32">
        <f t="array" ref="N32">MEDIAN(IF($C$3:$C$29=$C32,N$3:N$29,""))</f>
        <v>11.65</v>
      </c>
      <c r="O32">
        <f t="array" ref="O32">MEDIAN(IF($C$3:$C$29=$C32,O$3:O$29,""))</f>
        <v>11.3</v>
      </c>
      <c r="P32">
        <f t="array" ref="P32">MEDIAN(IF($C$3:$C$29=$C32,P$3:P$29,""))</f>
        <v>11.3</v>
      </c>
      <c r="Q32">
        <f t="array" ref="Q32">MEDIAN(IF($C$3:$C$29=$C32,Q$3:Q$29,""))</f>
        <v>11.85</v>
      </c>
      <c r="R32">
        <f t="array" ref="R32">MEDIAN(IF($C$3:$C$29=$C32,R$3:R$29,""))</f>
        <v>13.65</v>
      </c>
      <c r="S32">
        <f t="array" ref="S32">MEDIAN(IF($C$3:$C$29=$C32,S$3:S$29,""))</f>
        <v>12.35</v>
      </c>
      <c r="T32">
        <f t="array" ref="T32">MEDIAN(IF($C$3:$C$29=$C32,T$3:T$29,""))</f>
        <v>12.55</v>
      </c>
      <c r="U32">
        <f t="array" ref="U32">MEDIAN(IF($C$3:$C$29=$C32,U$3:U$29,""))</f>
        <v>13.8</v>
      </c>
      <c r="V32">
        <f t="array" ref="V32">MEDIAN(IF($C$3:$C$29=$C32,V$3:V$29,""))</f>
        <v>11.75</v>
      </c>
      <c r="W32">
        <f t="array" ref="W32">MEDIAN(IF($C$3:$C$29=$C32,W$3:W$29,""))</f>
        <v>13.45</v>
      </c>
      <c r="X32">
        <f t="array" ref="X32">MEDIAN(IF($C$3:$C$29=$C32,X$3:X$29,""))</f>
        <v>13.3</v>
      </c>
      <c r="Y32">
        <f t="array" ref="Y32">MEDIAN(IF($C$3:$C$29=$C32,Y$3:Y$29,""))</f>
        <v>15.649999999999999</v>
      </c>
      <c r="Z32">
        <f t="array" ref="Z32">MEDIAN(IF($C$3:$C$29=$C32,Z$3:Z$29,""))</f>
        <v>19.25</v>
      </c>
      <c r="AA32">
        <f t="array" ref="AA32">MEDIAN(IF($C$3:$C$29=$C32,AA$3:AA$29,""))</f>
        <v>21.3</v>
      </c>
    </row>
    <row r="33" spans="3:27" x14ac:dyDescent="0.25">
      <c r="C33">
        <v>3</v>
      </c>
      <c r="D33">
        <f t="array" ref="D33">MEDIAN(IF($C$3:$C$29=$C33,D$3:D$29,""))</f>
        <v>25.75</v>
      </c>
      <c r="E33">
        <f t="array" ref="E33">MEDIAN(IF($C$3:$C$29=$C33,E$3:E$29,""))</f>
        <v>31.2</v>
      </c>
      <c r="F33">
        <f t="array" ref="F33">MEDIAN(IF($C$3:$C$29=$C33,F$3:F$29,""))</f>
        <v>0</v>
      </c>
      <c r="G33">
        <v>26</v>
      </c>
      <c r="H33">
        <f t="array" ref="H33">MEDIAN(IF($C$3:$C$29=$C33,H$3:H$29,""))</f>
        <v>26.6</v>
      </c>
      <c r="I33">
        <f t="array" ref="I33">MEDIAN(IF($C$3:$C$29=$C33,I$3:I$29,""))</f>
        <v>20.549999999999997</v>
      </c>
      <c r="J33">
        <f t="array" ref="J33">MEDIAN(IF($C$3:$C$29=$C33,J$3:J$29,""))</f>
        <v>12.2</v>
      </c>
      <c r="K33">
        <f t="array" ref="K33">MEDIAN(IF($C$3:$C$29=$C33,K$3:K$29,""))</f>
        <v>9.8000000000000007</v>
      </c>
      <c r="L33">
        <f t="array" ref="L33">MEDIAN(IF($C$3:$C$29=$C33,L$3:L$29,""))</f>
        <v>13.649999999999999</v>
      </c>
      <c r="M33">
        <f t="array" ref="M33">MEDIAN(IF($C$3:$C$29=$C33,M$3:M$29,""))</f>
        <v>13.149999999999999</v>
      </c>
      <c r="N33">
        <f t="array" ref="N33">MEDIAN(IF($C$3:$C$29=$C33,N$3:N$29,""))</f>
        <v>13.35</v>
      </c>
      <c r="O33">
        <f t="array" ref="O33">MEDIAN(IF($C$3:$C$29=$C33,O$3:O$29,""))</f>
        <v>11.649999999999999</v>
      </c>
      <c r="P33">
        <f t="array" ref="P33">MEDIAN(IF($C$3:$C$29=$C33,P$3:P$29,""))</f>
        <v>9.0500000000000007</v>
      </c>
      <c r="Q33">
        <f t="array" ref="Q33">MEDIAN(IF($C$3:$C$29=$C33,Q$3:Q$29,""))</f>
        <v>9.5500000000000007</v>
      </c>
      <c r="R33">
        <f t="array" ref="R33">MEDIAN(IF($C$3:$C$29=$C33,R$3:R$29,""))</f>
        <v>12.95</v>
      </c>
      <c r="S33">
        <f t="array" ref="S33">MEDIAN(IF($C$3:$C$29=$C33,S$3:S$29,""))</f>
        <v>13.05</v>
      </c>
      <c r="T33">
        <f t="array" ref="T33">MEDIAN(IF($C$3:$C$29=$C33,T$3:T$29,""))</f>
        <v>12</v>
      </c>
      <c r="U33">
        <f t="array" ref="U33">MEDIAN(IF($C$3:$C$29=$C33,U$3:U$29,""))</f>
        <v>9.5</v>
      </c>
      <c r="V33">
        <f t="array" ref="V33">MEDIAN(IF($C$3:$C$29=$C33,V$3:V$29,""))</f>
        <v>10.3</v>
      </c>
      <c r="W33">
        <f t="array" ref="W33">MEDIAN(IF($C$3:$C$29=$C33,W$3:W$29,""))</f>
        <v>12.7</v>
      </c>
      <c r="X33">
        <f t="array" ref="X33">MEDIAN(IF($C$3:$C$29=$C33,X$3:X$29,""))</f>
        <v>15.35</v>
      </c>
      <c r="Y33">
        <f t="array" ref="Y33">MEDIAN(IF($C$3:$C$29=$C33,Y$3:Y$29,""))</f>
        <v>19</v>
      </c>
      <c r="Z33">
        <f t="array" ref="Z33">MEDIAN(IF($C$3:$C$29=$C33,Z$3:Z$29,""))</f>
        <v>19.05</v>
      </c>
      <c r="AA33">
        <f t="array" ref="AA33">MEDIAN(IF($C$3:$C$29=$C33,AA$3:AA$29,""))</f>
        <v>20.450000000000003</v>
      </c>
    </row>
    <row r="34" spans="3:27" x14ac:dyDescent="0.25">
      <c r="C34">
        <v>4</v>
      </c>
      <c r="D34">
        <f t="array" ref="D34">MEDIAN(IF($C$3:$C$29=$C34,D$3:D$29,""))</f>
        <v>26.75</v>
      </c>
      <c r="E34">
        <f t="array" ref="E34">MEDIAN(IF($C$3:$C$29=$C34,E$3:E$29,""))</f>
        <v>31.75</v>
      </c>
      <c r="F34">
        <f t="array" ref="F34">MEDIAN(IF($C$3:$C$29=$C34,F$3:F$29,""))</f>
        <v>0</v>
      </c>
      <c r="G34">
        <v>26</v>
      </c>
      <c r="H34">
        <f t="array" ref="H34">MEDIAN(IF($C$3:$C$29=$C34,H$3:H$29,""))</f>
        <v>26.4</v>
      </c>
      <c r="I34">
        <f t="array" ref="I34">MEDIAN(IF($C$3:$C$29=$C34,I$3:I$29,""))</f>
        <v>21.65</v>
      </c>
      <c r="J34">
        <f t="array" ref="J34">MEDIAN(IF($C$3:$C$29=$C34,J$3:J$29,""))</f>
        <v>12.05</v>
      </c>
      <c r="K34">
        <f t="array" ref="K34">MEDIAN(IF($C$3:$C$29=$C34,K$3:K$29,""))</f>
        <v>9</v>
      </c>
      <c r="L34">
        <f t="array" ref="L34">MEDIAN(IF($C$3:$C$29=$C34,L$3:L$29,""))</f>
        <v>13.05</v>
      </c>
      <c r="M34">
        <f t="array" ref="M34">MEDIAN(IF($C$3:$C$29=$C34,M$3:M$29,""))</f>
        <v>13.85</v>
      </c>
      <c r="N34">
        <f t="array" ref="N34">MEDIAN(IF($C$3:$C$29=$C34,N$3:N$29,""))</f>
        <v>13.399999999999999</v>
      </c>
      <c r="O34">
        <f t="array" ref="O34">MEDIAN(IF($C$3:$C$29=$C34,O$3:O$29,""))</f>
        <v>12.7</v>
      </c>
      <c r="P34">
        <f t="array" ref="P34">MEDIAN(IF($C$3:$C$29=$C34,P$3:P$29,""))</f>
        <v>9.6999999999999993</v>
      </c>
      <c r="Q34">
        <f t="array" ref="Q34">MEDIAN(IF($C$3:$C$29=$C34,Q$3:Q$29,""))</f>
        <v>9.9499999999999993</v>
      </c>
      <c r="R34">
        <f t="array" ref="R34">MEDIAN(IF($C$3:$C$29=$C34,R$3:R$29,""))</f>
        <v>13.4</v>
      </c>
      <c r="S34">
        <f t="array" ref="S34">MEDIAN(IF($C$3:$C$29=$C34,S$3:S$29,""))</f>
        <v>13.8</v>
      </c>
      <c r="T34">
        <f t="array" ref="T34">MEDIAN(IF($C$3:$C$29=$C34,T$3:T$29,""))</f>
        <v>11.649999999999999</v>
      </c>
      <c r="U34">
        <f t="array" ref="U34">MEDIAN(IF($C$3:$C$29=$C34,U$3:U$29,""))</f>
        <v>9.4</v>
      </c>
      <c r="V34">
        <f t="array" ref="V34">MEDIAN(IF($C$3:$C$29=$C34,V$3:V$29,""))</f>
        <v>10.7</v>
      </c>
      <c r="W34">
        <f t="array" ref="W34">MEDIAN(IF($C$3:$C$29=$C34,W$3:W$29,""))</f>
        <v>11.35</v>
      </c>
      <c r="X34">
        <f t="array" ref="X34">MEDIAN(IF($C$3:$C$29=$C34,X$3:X$29,""))</f>
        <v>14.850000000000001</v>
      </c>
      <c r="Y34">
        <f t="array" ref="Y34">MEDIAN(IF($C$3:$C$29=$C34,Y$3:Y$29,""))</f>
        <v>19</v>
      </c>
      <c r="Z34">
        <f t="array" ref="Z34">MEDIAN(IF($C$3:$C$29=$C34,Z$3:Z$29,""))</f>
        <v>20.75</v>
      </c>
      <c r="AA34">
        <f t="array" ref="AA34">MEDIAN(IF($C$3:$C$29=$C34,AA$3:AA$29,""))</f>
        <v>23.25</v>
      </c>
    </row>
    <row r="35" spans="3:27" x14ac:dyDescent="0.25">
      <c r="C35">
        <v>5</v>
      </c>
      <c r="D35">
        <f t="array" ref="D35">MEDIAN(IF($C$3:$C$29=$C35,D$3:D$29,""))</f>
        <v>29.299999999999997</v>
      </c>
      <c r="E35">
        <f t="array" ref="E35">MEDIAN(IF($C$3:$C$29=$C35,E$3:E$29,""))</f>
        <v>34.950000000000003</v>
      </c>
      <c r="F35">
        <f t="array" ref="F35">MEDIAN(IF($C$3:$C$29=$C35,F$3:F$29,""))</f>
        <v>0</v>
      </c>
      <c r="G35">
        <v>26</v>
      </c>
      <c r="H35">
        <f t="array" ref="H35">MEDIAN(IF($C$3:$C$29=$C35,H$3:H$29,""))</f>
        <v>28.4</v>
      </c>
      <c r="I35">
        <f t="array" ref="I35">MEDIAN(IF($C$3:$C$29=$C35,I$3:I$29,""))</f>
        <v>22.15</v>
      </c>
      <c r="J35">
        <f t="array" ref="J35">MEDIAN(IF($C$3:$C$29=$C35,J$3:J$29,""))</f>
        <v>13.45</v>
      </c>
      <c r="K35">
        <f t="array" ref="K35">MEDIAN(IF($C$3:$C$29=$C35,K$3:K$29,""))</f>
        <v>8.5</v>
      </c>
      <c r="L35">
        <f t="array" ref="L35">MEDIAN(IF($C$3:$C$29=$C35,L$3:L$29,""))</f>
        <v>14.35</v>
      </c>
      <c r="M35">
        <f t="array" ref="M35">MEDIAN(IF($C$3:$C$29=$C35,M$3:M$29,""))</f>
        <v>13.65</v>
      </c>
      <c r="N35">
        <f t="array" ref="N35">MEDIAN(IF($C$3:$C$29=$C35,N$3:N$29,""))</f>
        <v>13.75</v>
      </c>
      <c r="O35">
        <f t="array" ref="O35">MEDIAN(IF($C$3:$C$29=$C35,O$3:O$29,""))</f>
        <v>12.399999999999999</v>
      </c>
      <c r="P35">
        <f t="array" ref="P35">MEDIAN(IF($C$3:$C$29=$C35,P$3:P$29,""))</f>
        <v>9.75</v>
      </c>
      <c r="Q35">
        <f t="array" ref="Q35">MEDIAN(IF($C$3:$C$29=$C35,Q$3:Q$29,""))</f>
        <v>9.35</v>
      </c>
      <c r="R35">
        <f t="array" ref="R35">MEDIAN(IF($C$3:$C$29=$C35,R$3:R$29,""))</f>
        <v>14</v>
      </c>
      <c r="S35">
        <f t="array" ref="S35">MEDIAN(IF($C$3:$C$29=$C35,S$3:S$29,""))</f>
        <v>14.3</v>
      </c>
      <c r="T35">
        <f t="array" ref="T35">MEDIAN(IF($C$3:$C$29=$C35,T$3:T$29,""))</f>
        <v>10.9</v>
      </c>
      <c r="U35">
        <f t="array" ref="U35">MEDIAN(IF($C$3:$C$29=$C35,U$3:U$29,""))</f>
        <v>9</v>
      </c>
      <c r="V35">
        <f t="array" ref="V35">MEDIAN(IF($C$3:$C$29=$C35,V$3:V$29,""))</f>
        <v>8.85</v>
      </c>
      <c r="W35">
        <f t="array" ref="W35">MEDIAN(IF($C$3:$C$29=$C35,W$3:W$29,""))</f>
        <v>12.149999999999999</v>
      </c>
      <c r="X35">
        <f t="array" ref="X35">MEDIAN(IF($C$3:$C$29=$C35,X$3:X$29,""))</f>
        <v>13.9</v>
      </c>
      <c r="Y35">
        <f t="array" ref="Y35">MEDIAN(IF($C$3:$C$29=$C35,Y$3:Y$29,""))</f>
        <v>19.45</v>
      </c>
      <c r="Z35">
        <f t="array" ref="Z35">MEDIAN(IF($C$3:$C$29=$C35,Z$3:Z$29,""))</f>
        <v>19.2</v>
      </c>
      <c r="AA35">
        <f t="array" ref="AA35">MEDIAN(IF($C$3:$C$29=$C35,AA$3:AA$29,""))</f>
        <v>23.450000000000003</v>
      </c>
    </row>
    <row r="36" spans="3:27" x14ac:dyDescent="0.25">
      <c r="C36">
        <v>6</v>
      </c>
      <c r="D36">
        <f t="array" ref="D36">MEDIAN(IF($C$3:$C$29=$C36,D$3:D$29,""))</f>
        <v>23.5</v>
      </c>
      <c r="E36">
        <f t="array" ref="E36">MEDIAN(IF($C$3:$C$29=$C36,E$3:E$29,""))</f>
        <v>27.7</v>
      </c>
      <c r="F36">
        <f t="array" ref="F36">MEDIAN(IF($C$3:$C$29=$C36,F$3:F$29,""))</f>
        <v>0</v>
      </c>
      <c r="G36">
        <v>26</v>
      </c>
      <c r="H36">
        <f t="array" ref="H36">MEDIAN(IF($C$3:$C$29=$C36,H$3:H$29,""))</f>
        <v>26.4</v>
      </c>
      <c r="I36">
        <f t="array" ref="I36">MEDIAN(IF($C$3:$C$29=$C36,I$3:I$29,""))</f>
        <v>21.9</v>
      </c>
      <c r="J36">
        <f t="array" ref="J36">MEDIAN(IF($C$3:$C$29=$C36,J$3:J$29,""))</f>
        <v>12</v>
      </c>
      <c r="K36">
        <f t="array" ref="K36">MEDIAN(IF($C$3:$C$29=$C36,K$3:K$29,""))</f>
        <v>11.6</v>
      </c>
      <c r="L36">
        <f t="array" ref="L36">MEDIAN(IF($C$3:$C$29=$C36,L$3:L$29,""))</f>
        <v>13.3</v>
      </c>
      <c r="M36">
        <f t="array" ref="M36">MEDIAN(IF($C$3:$C$29=$C36,M$3:M$29,""))</f>
        <v>13.8</v>
      </c>
      <c r="N36">
        <f t="array" ref="N36">MEDIAN(IF($C$3:$C$29=$C36,N$3:N$29,""))</f>
        <v>13.1</v>
      </c>
      <c r="O36">
        <f t="array" ref="O36">MEDIAN(IF($C$3:$C$29=$C36,O$3:O$29,""))</f>
        <v>12.7</v>
      </c>
      <c r="P36">
        <f t="array" ref="P36">MEDIAN(IF($C$3:$C$29=$C36,P$3:P$29,""))</f>
        <v>11.2</v>
      </c>
      <c r="Q36">
        <f t="array" ref="Q36">MEDIAN(IF($C$3:$C$29=$C36,Q$3:Q$29,""))</f>
        <v>10.9</v>
      </c>
      <c r="R36">
        <f t="array" ref="R36">MEDIAN(IF($C$3:$C$29=$C36,R$3:R$29,""))</f>
        <v>12.8</v>
      </c>
      <c r="S36">
        <f t="array" ref="S36">MEDIAN(IF($C$3:$C$29=$C36,S$3:S$29,""))</f>
        <v>14.6</v>
      </c>
      <c r="T36">
        <f t="array" ref="T36">MEDIAN(IF($C$3:$C$29=$C36,T$3:T$29,""))</f>
        <v>12.8</v>
      </c>
      <c r="U36">
        <f t="array" ref="U36">MEDIAN(IF($C$3:$C$29=$C36,U$3:U$29,""))</f>
        <v>10</v>
      </c>
      <c r="V36">
        <f t="array" ref="V36">MEDIAN(IF($C$3:$C$29=$C36,V$3:V$29,""))</f>
        <v>11.7</v>
      </c>
      <c r="W36">
        <f t="array" ref="W36">MEDIAN(IF($C$3:$C$29=$C36,W$3:W$29,""))</f>
        <v>11.8</v>
      </c>
      <c r="X36">
        <f t="array" ref="X36">MEDIAN(IF($C$3:$C$29=$C36,X$3:X$29,""))</f>
        <v>16</v>
      </c>
      <c r="Y36">
        <f t="array" ref="Y36">MEDIAN(IF($C$3:$C$29=$C36,Y$3:Y$29,""))</f>
        <v>17.3</v>
      </c>
      <c r="Z36">
        <f t="array" ref="Z36">MEDIAN(IF($C$3:$C$29=$C36,Z$3:Z$29,""))</f>
        <v>20</v>
      </c>
      <c r="AA36">
        <f t="array" ref="AA36">MEDIAN(IF($C$3:$C$29=$C36,AA$3:AA$29,""))</f>
        <v>21</v>
      </c>
    </row>
    <row r="37" spans="3:27" x14ac:dyDescent="0.25">
      <c r="C37">
        <v>7</v>
      </c>
      <c r="D37">
        <f t="array" ref="D37">MEDIAN(IF($C$3:$C$29=$C37,D$3:D$29,""))</f>
        <v>27</v>
      </c>
      <c r="E37">
        <f t="array" ref="E37">MEDIAN(IF($C$3:$C$29=$C37,E$3:E$29,""))</f>
        <v>27.15</v>
      </c>
      <c r="F37">
        <f t="array" ref="F37">MEDIAN(IF($C$3:$C$29=$C37,F$3:F$29,""))</f>
        <v>0</v>
      </c>
      <c r="G37">
        <v>26</v>
      </c>
      <c r="H37">
        <f t="array" ref="H37">MEDIAN(IF($C$3:$C$29=$C37,H$3:H$29,""))</f>
        <v>26.35</v>
      </c>
      <c r="I37">
        <f t="array" ref="I37">MEDIAN(IF($C$3:$C$29=$C37,I$3:I$29,""))</f>
        <v>21.2</v>
      </c>
      <c r="J37">
        <f t="array" ref="J37">MEDIAN(IF($C$3:$C$29=$C37,J$3:J$29,""))</f>
        <v>12.55</v>
      </c>
      <c r="K37">
        <f t="array" ref="K37">MEDIAN(IF($C$3:$C$29=$C37,K$3:K$29,""))</f>
        <v>7.4499999999999993</v>
      </c>
      <c r="L37">
        <f t="array" ref="L37">MEDIAN(IF($C$3:$C$29=$C37,L$3:L$29,""))</f>
        <v>13.05</v>
      </c>
      <c r="M37">
        <f t="array" ref="M37">MEDIAN(IF($C$3:$C$29=$C37,M$3:M$29,""))</f>
        <v>11.8</v>
      </c>
      <c r="N37">
        <f t="array" ref="N37">MEDIAN(IF($C$3:$C$29=$C37,N$3:N$29,""))</f>
        <v>11.35</v>
      </c>
      <c r="O37">
        <f t="array" ref="O37">MEDIAN(IF($C$3:$C$29=$C37,O$3:O$29,""))</f>
        <v>8.5</v>
      </c>
      <c r="P37">
        <f t="array" ref="P37">MEDIAN(IF($C$3:$C$29=$C37,P$3:P$29,""))</f>
        <v>7.05</v>
      </c>
      <c r="Q37">
        <f t="array" ref="Q37">MEDIAN(IF($C$3:$C$29=$C37,Q$3:Q$29,""))</f>
        <v>4.95</v>
      </c>
      <c r="R37">
        <f t="array" ref="R37">MEDIAN(IF($C$3:$C$29=$C37,R$3:R$29,""))</f>
        <v>11.9</v>
      </c>
      <c r="S37">
        <f t="array" ref="S37">MEDIAN(IF($C$3:$C$29=$C37,S$3:S$29,""))</f>
        <v>11.65</v>
      </c>
      <c r="T37">
        <f t="array" ref="T37">MEDIAN(IF($C$3:$C$29=$C37,T$3:T$29,""))</f>
        <v>9.9499999999999993</v>
      </c>
      <c r="U37">
        <f t="array" ref="U37">MEDIAN(IF($C$3:$C$29=$C37,U$3:U$29,""))</f>
        <v>8.4499999999999993</v>
      </c>
      <c r="V37">
        <f t="array" ref="V37">MEDIAN(IF($C$3:$C$29=$C37,V$3:V$29,""))</f>
        <v>9</v>
      </c>
      <c r="W37">
        <f t="array" ref="W37">MEDIAN(IF($C$3:$C$29=$C37,W$3:W$29,""))</f>
        <v>13.05</v>
      </c>
      <c r="X37">
        <f t="array" ref="X37">MEDIAN(IF($C$3:$C$29=$C37,X$3:X$29,""))</f>
        <v>12.85</v>
      </c>
      <c r="Y37">
        <f t="array" ref="Y37">MEDIAN(IF($C$3:$C$29=$C37,Y$3:Y$29,""))</f>
        <v>14.65</v>
      </c>
      <c r="Z37">
        <f t="array" ref="Z37">MEDIAN(IF($C$3:$C$29=$C37,Z$3:Z$29,""))</f>
        <v>17.899999999999999</v>
      </c>
      <c r="AA37">
        <f t="array" ref="AA37">MEDIAN(IF($C$3:$C$29=$C37,AA$3:AA$29,""))</f>
        <v>21.9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AA37"/>
  <sheetViews>
    <sheetView workbookViewId="0">
      <selection activeCell="G31" sqref="G31:G37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24.9</v>
      </c>
      <c r="E3">
        <v>30.6</v>
      </c>
      <c r="H3">
        <v>25.7</v>
      </c>
      <c r="I3">
        <v>16.8</v>
      </c>
      <c r="J3">
        <v>12.7</v>
      </c>
      <c r="K3">
        <v>7.2</v>
      </c>
      <c r="L3">
        <v>8.1999999999999993</v>
      </c>
      <c r="M3">
        <v>9</v>
      </c>
      <c r="N3">
        <v>7</v>
      </c>
      <c r="O3">
        <v>10.4</v>
      </c>
      <c r="P3">
        <v>8.3000000000000007</v>
      </c>
      <c r="Q3">
        <v>7.6</v>
      </c>
      <c r="R3">
        <v>12.7</v>
      </c>
      <c r="S3">
        <v>12.7</v>
      </c>
      <c r="T3">
        <v>9.6</v>
      </c>
      <c r="U3">
        <v>8.9</v>
      </c>
      <c r="V3">
        <v>8.9</v>
      </c>
      <c r="W3">
        <v>9.4</v>
      </c>
      <c r="X3">
        <v>13.6</v>
      </c>
      <c r="Y3">
        <v>11.3</v>
      </c>
      <c r="Z3">
        <v>18.3</v>
      </c>
      <c r="AA3">
        <v>23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22.2</v>
      </c>
      <c r="E4">
        <v>25.5</v>
      </c>
      <c r="H4">
        <v>28.5</v>
      </c>
      <c r="I4">
        <v>25.1</v>
      </c>
      <c r="J4">
        <v>21.3</v>
      </c>
      <c r="K4">
        <v>16.600000000000001</v>
      </c>
      <c r="L4">
        <v>13.7</v>
      </c>
      <c r="M4">
        <v>12.1</v>
      </c>
      <c r="N4">
        <v>12.1</v>
      </c>
      <c r="O4">
        <v>12</v>
      </c>
      <c r="P4">
        <v>13.2</v>
      </c>
      <c r="Q4">
        <v>12.1</v>
      </c>
      <c r="R4">
        <v>12.1</v>
      </c>
      <c r="S4">
        <v>11.1</v>
      </c>
      <c r="T4">
        <v>13.7</v>
      </c>
      <c r="U4">
        <v>10.199999999999999</v>
      </c>
      <c r="V4">
        <v>14.3</v>
      </c>
      <c r="W4">
        <v>15.2</v>
      </c>
      <c r="X4">
        <v>11.9</v>
      </c>
      <c r="Y4">
        <v>15</v>
      </c>
      <c r="Z4">
        <v>19.600000000000001</v>
      </c>
      <c r="AA4">
        <v>23.6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29.3</v>
      </c>
      <c r="E5">
        <v>19.600000000000001</v>
      </c>
      <c r="F5">
        <v>25.4</v>
      </c>
      <c r="H5">
        <v>29.3</v>
      </c>
      <c r="I5">
        <v>28.4</v>
      </c>
      <c r="J5">
        <v>25.8</v>
      </c>
      <c r="K5">
        <v>23.2</v>
      </c>
      <c r="L5">
        <v>23.6</v>
      </c>
      <c r="M5">
        <v>20.399999999999999</v>
      </c>
      <c r="N5">
        <v>14.7</v>
      </c>
      <c r="O5">
        <v>14.8</v>
      </c>
      <c r="P5">
        <v>7</v>
      </c>
      <c r="Q5">
        <v>5.9</v>
      </c>
      <c r="R5">
        <v>15.2</v>
      </c>
      <c r="S5">
        <v>17.100000000000001</v>
      </c>
      <c r="T5">
        <v>16.100000000000001</v>
      </c>
      <c r="U5">
        <v>14.2</v>
      </c>
      <c r="V5">
        <v>13.7</v>
      </c>
      <c r="W5">
        <v>14.5</v>
      </c>
      <c r="X5">
        <v>16.8</v>
      </c>
      <c r="Y5">
        <v>15.6</v>
      </c>
      <c r="Z5">
        <v>18.100000000000001</v>
      </c>
      <c r="AA5">
        <v>25.3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23.8</v>
      </c>
      <c r="E6">
        <v>30.9</v>
      </c>
      <c r="H6">
        <v>23.4</v>
      </c>
      <c r="I6">
        <v>16.899999999999999</v>
      </c>
      <c r="J6">
        <v>10.3</v>
      </c>
      <c r="K6">
        <v>10.3</v>
      </c>
      <c r="L6">
        <v>10.199999999999999</v>
      </c>
      <c r="M6">
        <v>10.199999999999999</v>
      </c>
      <c r="N6">
        <v>12.3</v>
      </c>
      <c r="O6">
        <v>12.3</v>
      </c>
      <c r="P6">
        <v>9</v>
      </c>
      <c r="Q6">
        <v>10.6</v>
      </c>
      <c r="R6">
        <v>11.3</v>
      </c>
      <c r="S6">
        <v>13.6</v>
      </c>
      <c r="T6">
        <v>11.6</v>
      </c>
      <c r="U6">
        <v>8.4</v>
      </c>
      <c r="V6">
        <v>9.1999999999999993</v>
      </c>
      <c r="W6">
        <v>14.5</v>
      </c>
      <c r="X6">
        <v>14.9</v>
      </c>
      <c r="Y6">
        <v>19.7</v>
      </c>
      <c r="Z6">
        <v>17.8</v>
      </c>
      <c r="AA6">
        <v>21.9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26.8</v>
      </c>
      <c r="E7">
        <v>26</v>
      </c>
      <c r="H7">
        <v>25.5</v>
      </c>
      <c r="I7">
        <v>17.600000000000001</v>
      </c>
      <c r="J7">
        <v>10.8</v>
      </c>
      <c r="K7">
        <v>9.1</v>
      </c>
      <c r="L7">
        <v>13.6</v>
      </c>
      <c r="M7">
        <v>10.7</v>
      </c>
      <c r="N7">
        <v>10.4</v>
      </c>
      <c r="O7">
        <v>10.199999999999999</v>
      </c>
      <c r="P7">
        <v>6.8</v>
      </c>
      <c r="Q7">
        <v>9.6</v>
      </c>
      <c r="R7">
        <v>12.7</v>
      </c>
      <c r="S7">
        <v>10.3</v>
      </c>
      <c r="T7">
        <v>9.6999999999999993</v>
      </c>
      <c r="U7">
        <v>8</v>
      </c>
      <c r="V7">
        <v>10.199999999999999</v>
      </c>
      <c r="W7">
        <v>10</v>
      </c>
      <c r="X7">
        <v>13.2</v>
      </c>
      <c r="Y7">
        <v>15.5</v>
      </c>
      <c r="Z7">
        <v>16.8</v>
      </c>
      <c r="AA7">
        <v>18.399999999999999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24.9</v>
      </c>
      <c r="E8">
        <v>25.3</v>
      </c>
      <c r="H8">
        <v>23.4</v>
      </c>
      <c r="I8">
        <v>20.399999999999999</v>
      </c>
      <c r="J8">
        <v>10.8</v>
      </c>
      <c r="K8">
        <v>8.3000000000000007</v>
      </c>
      <c r="L8">
        <v>10.6</v>
      </c>
      <c r="M8">
        <v>6.9</v>
      </c>
      <c r="N8">
        <v>9</v>
      </c>
      <c r="O8">
        <v>12.4</v>
      </c>
      <c r="P8">
        <v>9.1</v>
      </c>
      <c r="Q8">
        <v>9</v>
      </c>
      <c r="R8">
        <v>12.8</v>
      </c>
      <c r="S8">
        <v>12.9</v>
      </c>
      <c r="T8">
        <v>11.7</v>
      </c>
      <c r="U8">
        <v>9.4</v>
      </c>
      <c r="V8">
        <v>7.6</v>
      </c>
      <c r="W8">
        <v>11.2</v>
      </c>
      <c r="X8">
        <v>15.7</v>
      </c>
      <c r="Y8">
        <v>14.5</v>
      </c>
      <c r="Z8">
        <v>17.5</v>
      </c>
      <c r="AA8">
        <v>17.3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23.1</v>
      </c>
      <c r="E9">
        <v>21.3</v>
      </c>
      <c r="H9">
        <v>21.7</v>
      </c>
      <c r="I9">
        <v>16</v>
      </c>
      <c r="J9">
        <v>11</v>
      </c>
      <c r="K9">
        <v>10.5</v>
      </c>
      <c r="L9">
        <v>10.5</v>
      </c>
      <c r="M9">
        <v>12.3</v>
      </c>
      <c r="N9">
        <v>13.3</v>
      </c>
      <c r="O9">
        <v>8.8000000000000007</v>
      </c>
      <c r="P9">
        <v>9.4</v>
      </c>
      <c r="Q9">
        <v>7</v>
      </c>
      <c r="R9">
        <v>12.7</v>
      </c>
      <c r="S9">
        <v>10.9</v>
      </c>
      <c r="T9">
        <v>11.1</v>
      </c>
      <c r="U9">
        <v>9</v>
      </c>
      <c r="V9">
        <v>10.4</v>
      </c>
      <c r="W9">
        <v>10.7</v>
      </c>
      <c r="X9">
        <v>15.9</v>
      </c>
      <c r="Y9">
        <v>14.3</v>
      </c>
      <c r="Z9">
        <v>18.2</v>
      </c>
      <c r="AA9">
        <v>21.9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24.1</v>
      </c>
      <c r="E10">
        <v>20.8</v>
      </c>
      <c r="H10">
        <v>21.5</v>
      </c>
      <c r="I10">
        <v>16.399999999999999</v>
      </c>
      <c r="J10">
        <v>10</v>
      </c>
      <c r="K10">
        <v>6.8</v>
      </c>
      <c r="L10">
        <v>9.1999999999999993</v>
      </c>
      <c r="M10">
        <v>10.3</v>
      </c>
      <c r="N10">
        <v>10.4</v>
      </c>
      <c r="O10">
        <v>8.5</v>
      </c>
      <c r="P10">
        <v>7.3</v>
      </c>
      <c r="Q10">
        <v>7.1</v>
      </c>
      <c r="R10">
        <v>10.8</v>
      </c>
      <c r="S10">
        <v>10.6</v>
      </c>
      <c r="T10">
        <v>7.5</v>
      </c>
      <c r="U10">
        <v>7.3</v>
      </c>
      <c r="V10">
        <v>8.4</v>
      </c>
      <c r="W10">
        <v>11.9</v>
      </c>
      <c r="X10">
        <v>10.199999999999999</v>
      </c>
      <c r="Y10">
        <v>13</v>
      </c>
      <c r="Z10">
        <v>15.5</v>
      </c>
      <c r="AA10">
        <v>22.3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26.8</v>
      </c>
      <c r="E11">
        <v>25.4</v>
      </c>
      <c r="H11">
        <v>28.6</v>
      </c>
      <c r="I11">
        <v>23.3</v>
      </c>
      <c r="J11">
        <v>21.9</v>
      </c>
      <c r="K11">
        <v>20.2</v>
      </c>
      <c r="L11">
        <v>14.9</v>
      </c>
      <c r="M11">
        <v>11.4</v>
      </c>
      <c r="N11">
        <v>10.5</v>
      </c>
      <c r="O11">
        <v>10.199999999999999</v>
      </c>
      <c r="P11">
        <v>11.2</v>
      </c>
      <c r="Q11">
        <v>11.7</v>
      </c>
      <c r="R11">
        <v>13</v>
      </c>
      <c r="S11">
        <v>11.1</v>
      </c>
      <c r="T11">
        <v>13.3</v>
      </c>
      <c r="U11">
        <v>15.8</v>
      </c>
      <c r="V11">
        <v>13</v>
      </c>
      <c r="W11">
        <v>13.9</v>
      </c>
      <c r="X11">
        <v>10.8</v>
      </c>
      <c r="Y11">
        <v>15.1</v>
      </c>
      <c r="Z11">
        <v>17.5</v>
      </c>
      <c r="AA11">
        <v>18.8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22.5</v>
      </c>
      <c r="E12">
        <v>19.8</v>
      </c>
      <c r="H12">
        <v>23.8</v>
      </c>
      <c r="I12">
        <v>21.8</v>
      </c>
      <c r="J12">
        <v>22.8</v>
      </c>
      <c r="K12">
        <v>19.2</v>
      </c>
      <c r="L12">
        <v>21.5</v>
      </c>
      <c r="M12">
        <v>15.4</v>
      </c>
      <c r="N12">
        <v>13</v>
      </c>
      <c r="O12">
        <v>15.6</v>
      </c>
      <c r="P12">
        <v>10.5</v>
      </c>
      <c r="Q12">
        <v>14.8</v>
      </c>
      <c r="R12">
        <v>16.2</v>
      </c>
      <c r="S12">
        <v>18.5</v>
      </c>
      <c r="T12">
        <v>16</v>
      </c>
      <c r="U12">
        <v>17.100000000000001</v>
      </c>
      <c r="V12">
        <v>15.5</v>
      </c>
      <c r="W12">
        <v>13.6</v>
      </c>
      <c r="X12">
        <v>15.3</v>
      </c>
      <c r="Y12">
        <v>16.899999999999999</v>
      </c>
      <c r="Z12">
        <v>23.2</v>
      </c>
      <c r="AA12">
        <v>22.7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29.4</v>
      </c>
      <c r="E13">
        <v>28.7</v>
      </c>
      <c r="H13">
        <v>22.5</v>
      </c>
      <c r="I13">
        <v>17.2</v>
      </c>
      <c r="J13">
        <v>9.6</v>
      </c>
      <c r="K13">
        <v>9.1</v>
      </c>
      <c r="L13">
        <v>9.1999999999999993</v>
      </c>
      <c r="M13">
        <v>11.3</v>
      </c>
      <c r="N13">
        <v>13.6</v>
      </c>
      <c r="O13">
        <v>10.9</v>
      </c>
      <c r="P13">
        <v>10.199999999999999</v>
      </c>
      <c r="Q13">
        <v>9.4</v>
      </c>
      <c r="R13">
        <v>14.2</v>
      </c>
      <c r="S13">
        <v>12.8</v>
      </c>
      <c r="T13">
        <v>8.3000000000000007</v>
      </c>
      <c r="U13">
        <v>8.8000000000000007</v>
      </c>
      <c r="V13">
        <v>8.4</v>
      </c>
      <c r="W13">
        <v>11.3</v>
      </c>
      <c r="X13">
        <v>17.100000000000001</v>
      </c>
      <c r="Y13">
        <v>18.399999999999999</v>
      </c>
      <c r="Z13">
        <v>20.2</v>
      </c>
      <c r="AA13">
        <v>16.5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32.200000000000003</v>
      </c>
      <c r="E14">
        <v>29.1</v>
      </c>
      <c r="H14">
        <v>30.7</v>
      </c>
      <c r="I14">
        <v>17.899999999999999</v>
      </c>
      <c r="J14">
        <v>10.6</v>
      </c>
      <c r="K14">
        <v>8.8000000000000007</v>
      </c>
      <c r="L14">
        <v>10.3</v>
      </c>
      <c r="M14">
        <v>10.9</v>
      </c>
      <c r="N14">
        <v>12</v>
      </c>
      <c r="O14">
        <v>14.5</v>
      </c>
      <c r="P14">
        <v>10.5</v>
      </c>
      <c r="Q14">
        <v>10.199999999999999</v>
      </c>
      <c r="R14">
        <v>13.3</v>
      </c>
      <c r="S14">
        <v>15.7</v>
      </c>
      <c r="T14">
        <v>10.6</v>
      </c>
      <c r="U14">
        <v>9</v>
      </c>
      <c r="V14">
        <v>8.3000000000000007</v>
      </c>
      <c r="W14">
        <v>11.2</v>
      </c>
      <c r="X14">
        <v>13.6</v>
      </c>
      <c r="Y14">
        <v>16.899999999999999</v>
      </c>
      <c r="Z14">
        <v>23.8</v>
      </c>
      <c r="AA14">
        <v>16.399999999999999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26.1</v>
      </c>
      <c r="E15">
        <v>32.9</v>
      </c>
      <c r="H15">
        <v>27.4</v>
      </c>
      <c r="I15">
        <v>16.7</v>
      </c>
      <c r="J15">
        <v>11.3</v>
      </c>
      <c r="K15">
        <v>8.1999999999999993</v>
      </c>
      <c r="L15">
        <v>10.4</v>
      </c>
      <c r="M15">
        <v>12.2</v>
      </c>
      <c r="N15">
        <v>12.7</v>
      </c>
      <c r="O15">
        <v>11.4</v>
      </c>
      <c r="P15">
        <v>10</v>
      </c>
      <c r="Q15">
        <v>8.5</v>
      </c>
      <c r="R15">
        <v>12.5</v>
      </c>
      <c r="S15">
        <v>14.7</v>
      </c>
      <c r="T15">
        <v>9.4</v>
      </c>
      <c r="U15">
        <v>7.9</v>
      </c>
      <c r="V15">
        <v>9.3000000000000007</v>
      </c>
      <c r="W15">
        <v>11.5</v>
      </c>
      <c r="X15">
        <v>14.2</v>
      </c>
      <c r="Y15">
        <v>17.399999999999999</v>
      </c>
      <c r="Z15">
        <v>20</v>
      </c>
      <c r="AA15">
        <v>20.8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24.4</v>
      </c>
      <c r="E16">
        <v>25</v>
      </c>
      <c r="H16">
        <v>22.9</v>
      </c>
      <c r="I16">
        <v>15.7</v>
      </c>
      <c r="J16">
        <v>11.8</v>
      </c>
      <c r="K16">
        <v>10</v>
      </c>
      <c r="L16">
        <v>11.9</v>
      </c>
      <c r="M16">
        <v>12.8</v>
      </c>
      <c r="N16">
        <v>13.6</v>
      </c>
      <c r="O16">
        <v>12.4</v>
      </c>
      <c r="P16">
        <v>12</v>
      </c>
      <c r="Q16">
        <v>10.7</v>
      </c>
      <c r="R16">
        <v>12.1</v>
      </c>
      <c r="S16">
        <v>14.1</v>
      </c>
      <c r="T16">
        <v>9.9</v>
      </c>
      <c r="U16">
        <v>9.3000000000000007</v>
      </c>
      <c r="V16">
        <v>9.6999999999999993</v>
      </c>
      <c r="W16">
        <v>13.6</v>
      </c>
      <c r="X16">
        <v>13.4</v>
      </c>
      <c r="Y16">
        <v>19.5</v>
      </c>
      <c r="Z16">
        <v>17.600000000000001</v>
      </c>
      <c r="AA16">
        <v>17.3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25.4</v>
      </c>
      <c r="E17">
        <v>32.299999999999997</v>
      </c>
      <c r="H17">
        <v>23.9</v>
      </c>
      <c r="I17">
        <v>16.600000000000001</v>
      </c>
      <c r="J17">
        <v>10.9</v>
      </c>
      <c r="K17">
        <v>7.6</v>
      </c>
      <c r="L17">
        <v>10.8</v>
      </c>
      <c r="M17">
        <v>13.3</v>
      </c>
      <c r="N17">
        <v>10.7</v>
      </c>
      <c r="O17">
        <v>10.5</v>
      </c>
      <c r="P17">
        <v>8.3000000000000007</v>
      </c>
      <c r="Q17">
        <v>6.9</v>
      </c>
      <c r="R17">
        <v>9.4</v>
      </c>
      <c r="S17">
        <v>11.5</v>
      </c>
      <c r="T17">
        <v>7.9</v>
      </c>
      <c r="U17">
        <v>7.8</v>
      </c>
      <c r="V17">
        <v>10.6</v>
      </c>
      <c r="W17">
        <v>10.3</v>
      </c>
      <c r="X17">
        <v>12.9</v>
      </c>
      <c r="Y17">
        <v>11</v>
      </c>
      <c r="Z17">
        <v>15.6</v>
      </c>
      <c r="AA17">
        <v>16.8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25.5</v>
      </c>
      <c r="E18">
        <v>21.4</v>
      </c>
      <c r="H18">
        <v>35.6</v>
      </c>
      <c r="I18">
        <v>20.399999999999999</v>
      </c>
      <c r="J18">
        <v>17.7</v>
      </c>
      <c r="K18">
        <v>14.4</v>
      </c>
      <c r="L18">
        <v>14.5</v>
      </c>
      <c r="M18">
        <v>9.3000000000000007</v>
      </c>
      <c r="N18">
        <v>11.9</v>
      </c>
      <c r="O18">
        <v>10.7</v>
      </c>
      <c r="P18">
        <v>9.4</v>
      </c>
      <c r="Q18">
        <v>11.8</v>
      </c>
      <c r="R18">
        <v>9.1999999999999993</v>
      </c>
      <c r="S18">
        <v>13.1</v>
      </c>
      <c r="T18">
        <v>13.9</v>
      </c>
      <c r="U18">
        <v>11.3</v>
      </c>
      <c r="V18">
        <v>11.4</v>
      </c>
      <c r="W18">
        <v>10.9</v>
      </c>
      <c r="X18">
        <v>11.8</v>
      </c>
      <c r="Y18">
        <v>14.2</v>
      </c>
      <c r="Z18">
        <v>17.2</v>
      </c>
      <c r="AA18">
        <v>18.7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20.7</v>
      </c>
      <c r="H19">
        <v>26.3</v>
      </c>
      <c r="I19">
        <v>23.2</v>
      </c>
      <c r="J19">
        <v>26.4</v>
      </c>
      <c r="K19">
        <v>19.899999999999999</v>
      </c>
      <c r="L19">
        <v>17.600000000000001</v>
      </c>
      <c r="M19">
        <v>17.8</v>
      </c>
      <c r="N19">
        <v>15.4</v>
      </c>
      <c r="O19">
        <v>14</v>
      </c>
      <c r="P19">
        <v>13.9</v>
      </c>
      <c r="Q19">
        <v>12.2</v>
      </c>
      <c r="R19">
        <v>15.3</v>
      </c>
      <c r="S19">
        <v>16.399999999999999</v>
      </c>
      <c r="T19">
        <v>16.899999999999999</v>
      </c>
      <c r="U19">
        <v>14.1</v>
      </c>
      <c r="V19">
        <v>15.6</v>
      </c>
      <c r="W19">
        <v>14.3</v>
      </c>
      <c r="X19">
        <v>16.3</v>
      </c>
      <c r="Y19">
        <v>14.5</v>
      </c>
      <c r="Z19">
        <v>19</v>
      </c>
      <c r="AA19">
        <v>23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23.3</v>
      </c>
      <c r="E20">
        <v>27.1</v>
      </c>
      <c r="H20">
        <v>26.4</v>
      </c>
      <c r="I20">
        <v>18.600000000000001</v>
      </c>
      <c r="J20">
        <v>12.1</v>
      </c>
      <c r="K20">
        <v>8.4</v>
      </c>
      <c r="L20">
        <v>11.2</v>
      </c>
      <c r="M20">
        <v>12.7</v>
      </c>
      <c r="N20">
        <v>12.5</v>
      </c>
      <c r="O20">
        <v>12.1</v>
      </c>
      <c r="P20">
        <v>10.5</v>
      </c>
      <c r="Q20">
        <v>9.3000000000000007</v>
      </c>
      <c r="R20">
        <v>12.4</v>
      </c>
      <c r="S20">
        <v>14.6</v>
      </c>
      <c r="T20">
        <v>10.8</v>
      </c>
      <c r="U20">
        <v>9.6</v>
      </c>
      <c r="V20">
        <v>10.1</v>
      </c>
      <c r="W20">
        <v>10.4</v>
      </c>
      <c r="X20">
        <v>14.3</v>
      </c>
      <c r="Y20">
        <v>17</v>
      </c>
      <c r="Z20">
        <v>18.600000000000001</v>
      </c>
      <c r="AA20">
        <v>23.6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23.9</v>
      </c>
      <c r="E21">
        <v>37.200000000000003</v>
      </c>
      <c r="H21">
        <v>23.4</v>
      </c>
      <c r="I21">
        <v>20.8</v>
      </c>
      <c r="J21">
        <v>11</v>
      </c>
      <c r="K21">
        <v>7.3</v>
      </c>
      <c r="L21">
        <v>7.8</v>
      </c>
      <c r="M21">
        <v>12.1</v>
      </c>
      <c r="N21">
        <v>12.6</v>
      </c>
      <c r="O21">
        <v>13.2</v>
      </c>
      <c r="P21">
        <v>12</v>
      </c>
      <c r="Q21">
        <v>11.3</v>
      </c>
      <c r="R21">
        <v>12.7</v>
      </c>
      <c r="S21">
        <v>13.7</v>
      </c>
      <c r="T21">
        <v>10.4</v>
      </c>
      <c r="U21">
        <v>10.3</v>
      </c>
      <c r="V21">
        <v>8.6</v>
      </c>
      <c r="W21">
        <v>9.3000000000000007</v>
      </c>
      <c r="X21">
        <v>14</v>
      </c>
      <c r="Y21">
        <v>18.7</v>
      </c>
      <c r="Z21">
        <v>19.2</v>
      </c>
      <c r="AA21">
        <v>21.6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25.2</v>
      </c>
      <c r="E22">
        <v>23.1</v>
      </c>
      <c r="H22">
        <v>29.9</v>
      </c>
      <c r="I22">
        <v>22.1</v>
      </c>
      <c r="J22">
        <v>10.4</v>
      </c>
      <c r="K22">
        <v>8.9</v>
      </c>
      <c r="L22">
        <v>12.2</v>
      </c>
      <c r="M22">
        <v>11.5</v>
      </c>
      <c r="N22">
        <v>12.7</v>
      </c>
      <c r="O22">
        <v>12.7</v>
      </c>
      <c r="P22">
        <v>11.4</v>
      </c>
      <c r="Q22">
        <v>10.9</v>
      </c>
      <c r="R22">
        <v>12.1</v>
      </c>
      <c r="S22">
        <v>14.4</v>
      </c>
      <c r="T22">
        <v>9.3000000000000007</v>
      </c>
      <c r="U22">
        <v>7.6</v>
      </c>
      <c r="V22">
        <v>7.8</v>
      </c>
      <c r="W22">
        <v>8</v>
      </c>
      <c r="X22">
        <v>13.4</v>
      </c>
      <c r="Y22">
        <v>18.7</v>
      </c>
      <c r="Z22">
        <v>16</v>
      </c>
      <c r="AA22">
        <v>21.1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24.9</v>
      </c>
      <c r="E23">
        <v>20.7</v>
      </c>
      <c r="H23">
        <v>24.8</v>
      </c>
      <c r="I23">
        <v>20</v>
      </c>
      <c r="J23">
        <v>12.2</v>
      </c>
      <c r="K23">
        <v>10.6</v>
      </c>
      <c r="L23">
        <v>11.8</v>
      </c>
      <c r="M23">
        <v>12.7</v>
      </c>
      <c r="N23">
        <v>11.1</v>
      </c>
      <c r="O23">
        <v>13</v>
      </c>
      <c r="P23">
        <v>11</v>
      </c>
      <c r="Q23">
        <v>10.199999999999999</v>
      </c>
      <c r="R23">
        <v>11.3</v>
      </c>
      <c r="S23">
        <v>14.4</v>
      </c>
      <c r="T23">
        <v>10.6</v>
      </c>
      <c r="U23">
        <v>9.6</v>
      </c>
      <c r="V23">
        <v>7.5</v>
      </c>
      <c r="W23">
        <v>10</v>
      </c>
      <c r="X23">
        <v>13.4</v>
      </c>
      <c r="Y23">
        <v>13.8</v>
      </c>
      <c r="Z23">
        <v>23.3</v>
      </c>
      <c r="AA23">
        <v>24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24.5</v>
      </c>
      <c r="E24">
        <v>19.899999999999999</v>
      </c>
      <c r="H24">
        <v>26.5</v>
      </c>
      <c r="I24">
        <v>21</v>
      </c>
      <c r="J24">
        <v>10.3</v>
      </c>
      <c r="K24">
        <v>6.3</v>
      </c>
      <c r="L24">
        <v>8.1</v>
      </c>
      <c r="M24">
        <v>10.5</v>
      </c>
      <c r="N24">
        <v>7.6</v>
      </c>
      <c r="O24">
        <v>10</v>
      </c>
      <c r="P24">
        <v>9.6999999999999993</v>
      </c>
      <c r="Q24">
        <v>6.7</v>
      </c>
      <c r="R24">
        <v>12.4</v>
      </c>
      <c r="S24">
        <v>12.9</v>
      </c>
      <c r="T24">
        <v>10.8</v>
      </c>
      <c r="U24">
        <v>7.6</v>
      </c>
      <c r="V24">
        <v>9</v>
      </c>
      <c r="W24">
        <v>9.6999999999999993</v>
      </c>
      <c r="X24">
        <v>12.4</v>
      </c>
      <c r="Y24">
        <v>18.8</v>
      </c>
      <c r="Z24">
        <v>19.5</v>
      </c>
      <c r="AA24">
        <v>19.8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20.2</v>
      </c>
      <c r="E25">
        <v>24.5</v>
      </c>
      <c r="H25">
        <v>26.2</v>
      </c>
      <c r="I25">
        <v>22.2</v>
      </c>
      <c r="J25">
        <v>20.2</v>
      </c>
      <c r="K25">
        <v>18.8</v>
      </c>
      <c r="L25">
        <v>12.2</v>
      </c>
      <c r="M25">
        <v>11.2</v>
      </c>
      <c r="N25">
        <v>10.3</v>
      </c>
      <c r="O25">
        <v>12.6</v>
      </c>
      <c r="P25">
        <v>13.5</v>
      </c>
      <c r="Q25">
        <v>12</v>
      </c>
      <c r="R25">
        <v>13.1</v>
      </c>
      <c r="T25">
        <v>16.7</v>
      </c>
      <c r="U25">
        <v>16.7</v>
      </c>
      <c r="V25">
        <v>13.7</v>
      </c>
      <c r="W25">
        <v>16.600000000000001</v>
      </c>
      <c r="X25">
        <v>19.2</v>
      </c>
      <c r="Z25">
        <v>10.9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25</v>
      </c>
      <c r="E26">
        <v>22.1</v>
      </c>
      <c r="H26">
        <v>28.6</v>
      </c>
      <c r="I26">
        <v>24.2</v>
      </c>
      <c r="J26">
        <v>27.1</v>
      </c>
      <c r="K26">
        <v>20.3</v>
      </c>
      <c r="L26">
        <v>15.4</v>
      </c>
      <c r="M26">
        <v>16.600000000000001</v>
      </c>
      <c r="N26">
        <v>18.2</v>
      </c>
      <c r="O26">
        <v>11.9</v>
      </c>
      <c r="P26">
        <v>10.7</v>
      </c>
      <c r="Q26">
        <v>14</v>
      </c>
      <c r="R26">
        <v>14.7</v>
      </c>
      <c r="S26">
        <v>12.9</v>
      </c>
      <c r="T26">
        <v>13.3</v>
      </c>
      <c r="U26">
        <v>15.7</v>
      </c>
      <c r="V26">
        <v>14.5</v>
      </c>
      <c r="W26">
        <v>16.2</v>
      </c>
      <c r="X26">
        <v>14.2</v>
      </c>
      <c r="Y26">
        <v>17</v>
      </c>
      <c r="Z26">
        <v>21.9</v>
      </c>
      <c r="AA26">
        <v>24.3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24.2</v>
      </c>
      <c r="E27">
        <v>26.2</v>
      </c>
      <c r="H27">
        <v>26.7</v>
      </c>
      <c r="I27">
        <v>22.1</v>
      </c>
      <c r="J27">
        <v>10.6</v>
      </c>
      <c r="K27">
        <v>9.6</v>
      </c>
      <c r="L27">
        <v>11.6</v>
      </c>
      <c r="M27">
        <v>13.2</v>
      </c>
      <c r="N27">
        <v>13.3</v>
      </c>
      <c r="O27">
        <v>11.1</v>
      </c>
      <c r="P27">
        <v>12.1</v>
      </c>
      <c r="Q27">
        <v>11.8</v>
      </c>
      <c r="R27">
        <v>15</v>
      </c>
      <c r="S27">
        <v>13.1</v>
      </c>
      <c r="T27">
        <v>12.6</v>
      </c>
      <c r="U27">
        <v>8</v>
      </c>
      <c r="V27">
        <v>8.9</v>
      </c>
      <c r="W27">
        <v>10.7</v>
      </c>
      <c r="X27">
        <v>12.4</v>
      </c>
      <c r="Y27">
        <v>17.899999999999999</v>
      </c>
      <c r="Z27">
        <v>18.5</v>
      </c>
      <c r="AA27">
        <v>19.399999999999999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23.8</v>
      </c>
      <c r="E28">
        <v>23.8</v>
      </c>
      <c r="H28">
        <v>23</v>
      </c>
      <c r="I28">
        <v>20.100000000000001</v>
      </c>
      <c r="J28">
        <v>10.8</v>
      </c>
      <c r="K28">
        <v>8.6</v>
      </c>
      <c r="L28">
        <v>10.3</v>
      </c>
      <c r="M28">
        <v>13.7</v>
      </c>
      <c r="N28">
        <v>14.6</v>
      </c>
      <c r="O28">
        <v>14.1</v>
      </c>
      <c r="P28">
        <v>9.6999999999999993</v>
      </c>
      <c r="Q28">
        <v>8.6</v>
      </c>
      <c r="R28">
        <v>9.8000000000000007</v>
      </c>
      <c r="S28">
        <v>8.5</v>
      </c>
      <c r="T28">
        <v>8.9</v>
      </c>
      <c r="U28">
        <v>9.6</v>
      </c>
      <c r="V28">
        <v>8.4</v>
      </c>
      <c r="W28">
        <v>8.8000000000000007</v>
      </c>
      <c r="X28">
        <v>10.9</v>
      </c>
      <c r="Y28">
        <v>11.1</v>
      </c>
      <c r="Z28">
        <v>14.8</v>
      </c>
      <c r="AA28">
        <v>22.3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25</v>
      </c>
      <c r="E29">
        <v>39.1</v>
      </c>
      <c r="H29">
        <v>30.3</v>
      </c>
      <c r="I29">
        <v>23.2</v>
      </c>
      <c r="J29">
        <v>12.6</v>
      </c>
      <c r="K29">
        <v>13.8</v>
      </c>
      <c r="L29">
        <v>14.1</v>
      </c>
      <c r="M29">
        <v>14.9</v>
      </c>
      <c r="N29">
        <v>15.8</v>
      </c>
      <c r="O29">
        <v>14.8</v>
      </c>
      <c r="P29">
        <v>10.8</v>
      </c>
      <c r="Q29">
        <v>13</v>
      </c>
      <c r="R29">
        <v>14.7</v>
      </c>
      <c r="S29">
        <v>15.7</v>
      </c>
      <c r="T29">
        <v>9.5</v>
      </c>
      <c r="U29">
        <v>9.5</v>
      </c>
      <c r="V29">
        <v>12.9</v>
      </c>
      <c r="W29">
        <v>13.3</v>
      </c>
      <c r="X29">
        <v>12.5</v>
      </c>
      <c r="Y29">
        <v>15.3</v>
      </c>
      <c r="Z29">
        <v>15.1</v>
      </c>
      <c r="AA29">
        <v>23.7</v>
      </c>
    </row>
    <row r="31" spans="1:27" x14ac:dyDescent="0.25">
      <c r="C31">
        <v>1</v>
      </c>
      <c r="D31">
        <f t="array" ref="D31">MEDIAN(IF($C$3:$C$29=$C31,D$3:D$29,""))</f>
        <v>23.75</v>
      </c>
      <c r="E31">
        <f t="array" ref="E31">MEDIAN(IF($C$3:$C$29=$C31,E$3:E$29,""))</f>
        <v>19.700000000000003</v>
      </c>
      <c r="F31">
        <f t="array" ref="F31">MEDIAN(IF($C$3:$C$29=$C31,F$3:F$29,""))</f>
        <v>0</v>
      </c>
      <c r="G31">
        <v>26</v>
      </c>
      <c r="H31">
        <f t="array" ref="H31">MEDIAN(IF($C$3:$C$29=$C31,H$3:H$29,""))</f>
        <v>27.450000000000003</v>
      </c>
      <c r="I31">
        <f t="array" ref="I31">MEDIAN(IF($C$3:$C$29=$C31,I$3:I$29,""))</f>
        <v>23.7</v>
      </c>
      <c r="J31">
        <f t="array" ref="J31">MEDIAN(IF($C$3:$C$29=$C31,J$3:J$29,""))</f>
        <v>26.1</v>
      </c>
      <c r="K31">
        <f t="array" ref="K31">MEDIAN(IF($C$3:$C$29=$C31,K$3:K$29,""))</f>
        <v>20.100000000000001</v>
      </c>
      <c r="L31">
        <f t="array" ref="L31">MEDIAN(IF($C$3:$C$29=$C31,L$3:L$29,""))</f>
        <v>19.55</v>
      </c>
      <c r="M31">
        <f t="array" ref="M31">MEDIAN(IF($C$3:$C$29=$C31,M$3:M$29,""))</f>
        <v>17.200000000000003</v>
      </c>
      <c r="N31">
        <f t="array" ref="N31">MEDIAN(IF($C$3:$C$29=$C31,N$3:N$29,""))</f>
        <v>15.05</v>
      </c>
      <c r="O31">
        <f t="array" ref="O31">MEDIAN(IF($C$3:$C$29=$C31,O$3:O$29,""))</f>
        <v>14.4</v>
      </c>
      <c r="P31">
        <f t="array" ref="P31">MEDIAN(IF($C$3:$C$29=$C31,P$3:P$29,""))</f>
        <v>10.6</v>
      </c>
      <c r="Q31">
        <f t="array" ref="Q31">MEDIAN(IF($C$3:$C$29=$C31,Q$3:Q$29,""))</f>
        <v>13.1</v>
      </c>
      <c r="R31">
        <f t="array" ref="R31">MEDIAN(IF($C$3:$C$29=$C31,R$3:R$29,""))</f>
        <v>15.25</v>
      </c>
      <c r="S31">
        <f t="array" ref="S31">MEDIAN(IF($C$3:$C$29=$C31,S$3:S$29,""))</f>
        <v>16.75</v>
      </c>
      <c r="T31">
        <f t="array" ref="T31">MEDIAN(IF($C$3:$C$29=$C31,T$3:T$29,""))</f>
        <v>16.05</v>
      </c>
      <c r="U31">
        <f t="array" ref="U31">MEDIAN(IF($C$3:$C$29=$C31,U$3:U$29,""))</f>
        <v>14.95</v>
      </c>
      <c r="V31">
        <f t="array" ref="V31">MEDIAN(IF($C$3:$C$29=$C31,V$3:V$29,""))</f>
        <v>15</v>
      </c>
      <c r="W31">
        <f t="array" ref="W31">MEDIAN(IF($C$3:$C$29=$C31,W$3:W$29,""))</f>
        <v>14.4</v>
      </c>
      <c r="X31">
        <f t="array" ref="X31">MEDIAN(IF($C$3:$C$29=$C31,X$3:X$29,""))</f>
        <v>15.8</v>
      </c>
      <c r="Y31">
        <f t="array" ref="Y31">MEDIAN(IF($C$3:$C$29=$C31,Y$3:Y$29,""))</f>
        <v>16.25</v>
      </c>
      <c r="Z31">
        <f t="array" ref="Z31">MEDIAN(IF($C$3:$C$29=$C31,Z$3:Z$29,""))</f>
        <v>20.45</v>
      </c>
      <c r="AA31">
        <f t="array" ref="AA31">MEDIAN(IF($C$3:$C$29=$C31,AA$3:AA$29,""))</f>
        <v>23.65</v>
      </c>
    </row>
    <row r="32" spans="1:27" x14ac:dyDescent="0.25">
      <c r="C32">
        <v>2</v>
      </c>
      <c r="D32">
        <f t="array" ref="D32">MEDIAN(IF($C$3:$C$29=$C32,D$3:D$29,""))</f>
        <v>23.85</v>
      </c>
      <c r="E32">
        <f t="array" ref="E32">MEDIAN(IF($C$3:$C$29=$C32,E$3:E$29,""))</f>
        <v>24.95</v>
      </c>
      <c r="F32">
        <f t="array" ref="F32">MEDIAN(IF($C$3:$C$29=$C32,F$3:F$29,""))</f>
        <v>0</v>
      </c>
      <c r="G32">
        <v>26</v>
      </c>
      <c r="H32">
        <f t="array" ref="H32">MEDIAN(IF($C$3:$C$29=$C32,H$3:H$29,""))</f>
        <v>28.55</v>
      </c>
      <c r="I32">
        <f t="array" ref="I32">MEDIAN(IF($C$3:$C$29=$C32,I$3:I$29,""))</f>
        <v>22.75</v>
      </c>
      <c r="J32">
        <f t="array" ref="J32">MEDIAN(IF($C$3:$C$29=$C32,J$3:J$29,""))</f>
        <v>20.75</v>
      </c>
      <c r="K32">
        <f t="array" ref="K32">MEDIAN(IF($C$3:$C$29=$C32,K$3:K$29,""))</f>
        <v>17.700000000000003</v>
      </c>
      <c r="L32">
        <f t="array" ref="L32">MEDIAN(IF($C$3:$C$29=$C32,L$3:L$29,""))</f>
        <v>14.1</v>
      </c>
      <c r="M32">
        <f t="array" ref="M32">MEDIAN(IF($C$3:$C$29=$C32,M$3:M$29,""))</f>
        <v>11.3</v>
      </c>
      <c r="N32">
        <f t="array" ref="N32">MEDIAN(IF($C$3:$C$29=$C32,N$3:N$29,""))</f>
        <v>11.2</v>
      </c>
      <c r="O32">
        <f t="array" ref="O32">MEDIAN(IF($C$3:$C$29=$C32,O$3:O$29,""))</f>
        <v>11.35</v>
      </c>
      <c r="P32">
        <f t="array" ref="P32">MEDIAN(IF($C$3:$C$29=$C32,P$3:P$29,""))</f>
        <v>12.2</v>
      </c>
      <c r="Q32">
        <f t="array" ref="Q32">MEDIAN(IF($C$3:$C$29=$C32,Q$3:Q$29,""))</f>
        <v>11.9</v>
      </c>
      <c r="R32">
        <f t="array" ref="R32">MEDIAN(IF($C$3:$C$29=$C32,R$3:R$29,""))</f>
        <v>12.55</v>
      </c>
      <c r="S32">
        <f t="array" ref="S32">MEDIAN(IF($C$3:$C$29=$C32,S$3:S$29,""))</f>
        <v>11.1</v>
      </c>
      <c r="T32">
        <f t="array" ref="T32">MEDIAN(IF($C$3:$C$29=$C32,T$3:T$29,""))</f>
        <v>13.8</v>
      </c>
      <c r="U32">
        <f t="array" ref="U32">MEDIAN(IF($C$3:$C$29=$C32,U$3:U$29,""))</f>
        <v>13.55</v>
      </c>
      <c r="V32">
        <f t="array" ref="V32">MEDIAN(IF($C$3:$C$29=$C32,V$3:V$29,""))</f>
        <v>13.35</v>
      </c>
      <c r="W32">
        <f t="array" ref="W32">MEDIAN(IF($C$3:$C$29=$C32,W$3:W$29,""))</f>
        <v>14.55</v>
      </c>
      <c r="X32">
        <f t="array" ref="X32">MEDIAN(IF($C$3:$C$29=$C32,X$3:X$29,""))</f>
        <v>11.850000000000001</v>
      </c>
      <c r="Y32">
        <f t="array" ref="Y32">MEDIAN(IF($C$3:$C$29=$C32,Y$3:Y$29,""))</f>
        <v>14.6</v>
      </c>
      <c r="Z32">
        <f t="array" ref="Z32">MEDIAN(IF($C$3:$C$29=$C32,Z$3:Z$29,""))</f>
        <v>17.350000000000001</v>
      </c>
      <c r="AA32">
        <f t="array" ref="AA32">MEDIAN(IF($C$3:$C$29=$C32,AA$3:AA$29,""))</f>
        <v>18.75</v>
      </c>
    </row>
    <row r="33" spans="3:27" x14ac:dyDescent="0.25">
      <c r="C33">
        <v>3</v>
      </c>
      <c r="D33">
        <f t="array" ref="D33">MEDIAN(IF($C$3:$C$29=$C33,D$3:D$29,""))</f>
        <v>24</v>
      </c>
      <c r="E33">
        <f t="array" ref="E33">MEDIAN(IF($C$3:$C$29=$C33,E$3:E$29,""))</f>
        <v>27.9</v>
      </c>
      <c r="F33">
        <f t="array" ref="F33">MEDIAN(IF($C$3:$C$29=$C33,F$3:F$29,""))</f>
        <v>0</v>
      </c>
      <c r="G33">
        <v>26</v>
      </c>
      <c r="H33">
        <f t="array" ref="H33">MEDIAN(IF($C$3:$C$29=$C33,H$3:H$29,""))</f>
        <v>24.9</v>
      </c>
      <c r="I33">
        <f t="array" ref="I33">MEDIAN(IF($C$3:$C$29=$C33,I$3:I$29,""))</f>
        <v>17.899999999999999</v>
      </c>
      <c r="J33">
        <f t="array" ref="J33">MEDIAN(IF($C$3:$C$29=$C33,J$3:J$29,""))</f>
        <v>10.45</v>
      </c>
      <c r="K33">
        <f t="array" ref="K33">MEDIAN(IF($C$3:$C$29=$C33,K$3:K$29,""))</f>
        <v>9.35</v>
      </c>
      <c r="L33">
        <f t="array" ref="L33">MEDIAN(IF($C$3:$C$29=$C33,L$3:L$29,""))</f>
        <v>10.7</v>
      </c>
      <c r="M33">
        <f t="array" ref="M33">MEDIAN(IF($C$3:$C$29=$C33,M$3:M$29,""))</f>
        <v>12</v>
      </c>
      <c r="N33">
        <f t="array" ref="N33">MEDIAN(IF($C$3:$C$29=$C33,N$3:N$29,""))</f>
        <v>12.9</v>
      </c>
      <c r="O33">
        <f t="array" ref="O33">MEDIAN(IF($C$3:$C$29=$C33,O$3:O$29,""))</f>
        <v>11.6</v>
      </c>
      <c r="P33">
        <f t="array" ref="P33">MEDIAN(IF($C$3:$C$29=$C33,P$3:P$29,""))</f>
        <v>10.35</v>
      </c>
      <c r="Q33">
        <f t="array" ref="Q33">MEDIAN(IF($C$3:$C$29=$C33,Q$3:Q$29,""))</f>
        <v>10</v>
      </c>
      <c r="R33">
        <f t="array" ref="R33">MEDIAN(IF($C$3:$C$29=$C33,R$3:R$29,""))</f>
        <v>13.3</v>
      </c>
      <c r="S33">
        <f t="array" ref="S33">MEDIAN(IF($C$3:$C$29=$C33,S$3:S$29,""))</f>
        <v>13.35</v>
      </c>
      <c r="T33">
        <f t="array" ref="T33">MEDIAN(IF($C$3:$C$29=$C33,T$3:T$29,""))</f>
        <v>11.2</v>
      </c>
      <c r="U33">
        <f t="array" ref="U33">MEDIAN(IF($C$3:$C$29=$C33,U$3:U$29,""))</f>
        <v>8.6000000000000014</v>
      </c>
      <c r="V33">
        <f t="array" ref="V33">MEDIAN(IF($C$3:$C$29=$C33,V$3:V$29,""))</f>
        <v>9.0500000000000007</v>
      </c>
      <c r="W33">
        <f t="array" ref="W33">MEDIAN(IF($C$3:$C$29=$C33,W$3:W$29,""))</f>
        <v>11</v>
      </c>
      <c r="X33">
        <f t="array" ref="X33">MEDIAN(IF($C$3:$C$29=$C33,X$3:X$29,""))</f>
        <v>14.600000000000001</v>
      </c>
      <c r="Y33">
        <f t="array" ref="Y33">MEDIAN(IF($C$3:$C$29=$C33,Y$3:Y$29,""))</f>
        <v>18.149999999999999</v>
      </c>
      <c r="Z33">
        <f t="array" ref="Z33">MEDIAN(IF($C$3:$C$29=$C33,Z$3:Z$29,""))</f>
        <v>18.55</v>
      </c>
      <c r="AA33">
        <f t="array" ref="AA33">MEDIAN(IF($C$3:$C$29=$C33,AA$3:AA$29,""))</f>
        <v>20.65</v>
      </c>
    </row>
    <row r="34" spans="3:27" x14ac:dyDescent="0.25">
      <c r="C34">
        <v>4</v>
      </c>
      <c r="D34">
        <f t="array" ref="D34">MEDIAN(IF($C$3:$C$29=$C34,D$3:D$29,""))</f>
        <v>25.35</v>
      </c>
      <c r="E34">
        <f t="array" ref="E34">MEDIAN(IF($C$3:$C$29=$C34,E$3:E$29,""))</f>
        <v>27.55</v>
      </c>
      <c r="F34">
        <f t="array" ref="F34">MEDIAN(IF($C$3:$C$29=$C34,F$3:F$29,""))</f>
        <v>0</v>
      </c>
      <c r="G34">
        <v>26</v>
      </c>
      <c r="H34">
        <f t="array" ref="H34">MEDIAN(IF($C$3:$C$29=$C34,H$3:H$29,""))</f>
        <v>24.45</v>
      </c>
      <c r="I34">
        <f t="array" ref="I34">MEDIAN(IF($C$3:$C$29=$C34,I$3:I$29,""))</f>
        <v>19</v>
      </c>
      <c r="J34">
        <f t="array" ref="J34">MEDIAN(IF($C$3:$C$29=$C34,J$3:J$29,""))</f>
        <v>10.8</v>
      </c>
      <c r="K34">
        <f t="array" ref="K34">MEDIAN(IF($C$3:$C$29=$C34,K$3:K$29,""))</f>
        <v>8.6999999999999993</v>
      </c>
      <c r="L34">
        <f t="array" ref="L34">MEDIAN(IF($C$3:$C$29=$C34,L$3:L$29,""))</f>
        <v>10.3</v>
      </c>
      <c r="M34">
        <f t="array" ref="M34">MEDIAN(IF($C$3:$C$29=$C34,M$3:M$29,""))</f>
        <v>11.5</v>
      </c>
      <c r="N34">
        <f t="array" ref="N34">MEDIAN(IF($C$3:$C$29=$C34,N$3:N$29,""))</f>
        <v>12.3</v>
      </c>
      <c r="O34">
        <f t="array" ref="O34">MEDIAN(IF($C$3:$C$29=$C34,O$3:O$29,""))</f>
        <v>13.649999999999999</v>
      </c>
      <c r="P34">
        <f t="array" ref="P34">MEDIAN(IF($C$3:$C$29=$C34,P$3:P$29,""))</f>
        <v>10.1</v>
      </c>
      <c r="Q34">
        <f t="array" ref="Q34">MEDIAN(IF($C$3:$C$29=$C34,Q$3:Q$29,""))</f>
        <v>9.8999999999999986</v>
      </c>
      <c r="R34">
        <f t="array" ref="R34">MEDIAN(IF($C$3:$C$29=$C34,R$3:R$29,""))</f>
        <v>12.7</v>
      </c>
      <c r="S34">
        <f t="array" ref="S34">MEDIAN(IF($C$3:$C$29=$C34,S$3:S$29,""))</f>
        <v>12</v>
      </c>
      <c r="T34">
        <f t="array" ref="T34">MEDIAN(IF($C$3:$C$29=$C34,T$3:T$29,""))</f>
        <v>10.050000000000001</v>
      </c>
      <c r="U34">
        <f t="array" ref="U34">MEDIAN(IF($C$3:$C$29=$C34,U$3:U$29,""))</f>
        <v>9.3000000000000007</v>
      </c>
      <c r="V34">
        <f t="array" ref="V34">MEDIAN(IF($C$3:$C$29=$C34,V$3:V$29,""))</f>
        <v>8.5</v>
      </c>
      <c r="W34">
        <f t="array" ref="W34">MEDIAN(IF($C$3:$C$29=$C34,W$3:W$29,""))</f>
        <v>9.65</v>
      </c>
      <c r="X34">
        <f t="array" ref="X34">MEDIAN(IF($C$3:$C$29=$C34,X$3:X$29,""))</f>
        <v>13.399999999999999</v>
      </c>
      <c r="Y34">
        <f t="array" ref="Y34">MEDIAN(IF($C$3:$C$29=$C34,Y$3:Y$29,""))</f>
        <v>16.2</v>
      </c>
      <c r="Z34">
        <f t="array" ref="Z34">MEDIAN(IF($C$3:$C$29=$C34,Z$3:Z$29,""))</f>
        <v>18</v>
      </c>
      <c r="AA34">
        <f t="array" ref="AA34">MEDIAN(IF($C$3:$C$29=$C34,AA$3:AA$29,""))</f>
        <v>20</v>
      </c>
    </row>
    <row r="35" spans="3:27" x14ac:dyDescent="0.25">
      <c r="C35">
        <v>5</v>
      </c>
      <c r="D35">
        <f t="array" ref="D35">MEDIAN(IF($C$3:$C$29=$C35,D$3:D$29,""))</f>
        <v>25.1</v>
      </c>
      <c r="E35">
        <f t="array" ref="E35">MEDIAN(IF($C$3:$C$29=$C35,E$3:E$29,""))</f>
        <v>29.1</v>
      </c>
      <c r="F35">
        <f t="array" ref="F35">MEDIAN(IF($C$3:$C$29=$C35,F$3:F$29,""))</f>
        <v>0</v>
      </c>
      <c r="G35">
        <v>26</v>
      </c>
      <c r="H35">
        <f t="array" ref="H35">MEDIAN(IF($C$3:$C$29=$C35,H$3:H$29,""))</f>
        <v>28.65</v>
      </c>
      <c r="I35">
        <f t="array" ref="I35">MEDIAN(IF($C$3:$C$29=$C35,I$3:I$29,""))</f>
        <v>21.25</v>
      </c>
      <c r="J35">
        <f t="array" ref="J35">MEDIAN(IF($C$3:$C$29=$C35,J$3:J$29,""))</f>
        <v>11.05</v>
      </c>
      <c r="K35">
        <f t="array" ref="K35">MEDIAN(IF($C$3:$C$29=$C35,K$3:K$29,""))</f>
        <v>8.6000000000000014</v>
      </c>
      <c r="L35">
        <f t="array" ref="L35">MEDIAN(IF($C$3:$C$29=$C35,L$3:L$29,""))</f>
        <v>11.399999999999999</v>
      </c>
      <c r="M35">
        <f t="array" ref="M35">MEDIAN(IF($C$3:$C$29=$C35,M$3:M$29,""))</f>
        <v>11.85</v>
      </c>
      <c r="N35">
        <f t="array" ref="N35">MEDIAN(IF($C$3:$C$29=$C35,N$3:N$29,""))</f>
        <v>12.7</v>
      </c>
      <c r="O35">
        <f t="array" ref="O35">MEDIAN(IF($C$3:$C$29=$C35,O$3:O$29,""))</f>
        <v>12.55</v>
      </c>
      <c r="P35">
        <f t="array" ref="P35">MEDIAN(IF($C$3:$C$29=$C35,P$3:P$29,""))</f>
        <v>10.4</v>
      </c>
      <c r="Q35">
        <f t="array" ref="Q35">MEDIAN(IF($C$3:$C$29=$C35,Q$3:Q$29,""))</f>
        <v>9.9499999999999993</v>
      </c>
      <c r="R35">
        <f t="array" ref="R35">MEDIAN(IF($C$3:$C$29=$C35,R$3:R$29,""))</f>
        <v>12.65</v>
      </c>
      <c r="S35">
        <f t="array" ref="S35">MEDIAN(IF($C$3:$C$29=$C35,S$3:S$29,""))</f>
        <v>14.55</v>
      </c>
      <c r="T35">
        <f t="array" ref="T35">MEDIAN(IF($C$3:$C$29=$C35,T$3:T$29,""))</f>
        <v>9.4499999999999993</v>
      </c>
      <c r="U35">
        <f t="array" ref="U35">MEDIAN(IF($C$3:$C$29=$C35,U$3:U$29,""))</f>
        <v>8.65</v>
      </c>
      <c r="V35">
        <f t="array" ref="V35">MEDIAN(IF($C$3:$C$29=$C35,V$3:V$29,""))</f>
        <v>8.5500000000000007</v>
      </c>
      <c r="W35">
        <f t="array" ref="W35">MEDIAN(IF($C$3:$C$29=$C35,W$3:W$29,""))</f>
        <v>11.35</v>
      </c>
      <c r="X35">
        <f t="array" ref="X35">MEDIAN(IF($C$3:$C$29=$C35,X$3:X$29,""))</f>
        <v>13.8</v>
      </c>
      <c r="Y35">
        <f t="array" ref="Y35">MEDIAN(IF($C$3:$C$29=$C35,Y$3:Y$29,""))</f>
        <v>16.350000000000001</v>
      </c>
      <c r="Z35">
        <f t="array" ref="Z35">MEDIAN(IF($C$3:$C$29=$C35,Z$3:Z$29,""))</f>
        <v>16.75</v>
      </c>
      <c r="AA35">
        <f t="array" ref="AA35">MEDIAN(IF($C$3:$C$29=$C35,AA$3:AA$29,""))</f>
        <v>20.950000000000003</v>
      </c>
    </row>
    <row r="36" spans="3:27" x14ac:dyDescent="0.25">
      <c r="C36">
        <v>6</v>
      </c>
      <c r="D36">
        <f t="array" ref="D36">MEDIAN(IF($C$3:$C$29=$C36,D$3:D$29,""))</f>
        <v>24.4</v>
      </c>
      <c r="E36">
        <f t="array" ref="E36">MEDIAN(IF($C$3:$C$29=$C36,E$3:E$29,""))</f>
        <v>21.3</v>
      </c>
      <c r="F36">
        <f t="array" ref="F36">MEDIAN(IF($C$3:$C$29=$C36,F$3:F$29,""))</f>
        <v>0</v>
      </c>
      <c r="G36">
        <v>26</v>
      </c>
      <c r="H36">
        <f t="array" ref="H36">MEDIAN(IF($C$3:$C$29=$C36,H$3:H$29,""))</f>
        <v>22.9</v>
      </c>
      <c r="I36">
        <f t="array" ref="I36">MEDIAN(IF($C$3:$C$29=$C36,I$3:I$29,""))</f>
        <v>16</v>
      </c>
      <c r="J36">
        <f t="array" ref="J36">MEDIAN(IF($C$3:$C$29=$C36,J$3:J$29,""))</f>
        <v>11.8</v>
      </c>
      <c r="K36">
        <f t="array" ref="K36">MEDIAN(IF($C$3:$C$29=$C36,K$3:K$29,""))</f>
        <v>10.5</v>
      </c>
      <c r="L36">
        <f t="array" ref="L36">MEDIAN(IF($C$3:$C$29=$C36,L$3:L$29,""))</f>
        <v>11.8</v>
      </c>
      <c r="M36">
        <f t="array" ref="M36">MEDIAN(IF($C$3:$C$29=$C36,M$3:M$29,""))</f>
        <v>12.7</v>
      </c>
      <c r="N36">
        <f t="array" ref="N36">MEDIAN(IF($C$3:$C$29=$C36,N$3:N$29,""))</f>
        <v>13.3</v>
      </c>
      <c r="O36">
        <f t="array" ref="O36">MEDIAN(IF($C$3:$C$29=$C36,O$3:O$29,""))</f>
        <v>12.4</v>
      </c>
      <c r="P36">
        <f t="array" ref="P36">MEDIAN(IF($C$3:$C$29=$C36,P$3:P$29,""))</f>
        <v>11</v>
      </c>
      <c r="Q36">
        <f t="array" ref="Q36">MEDIAN(IF($C$3:$C$29=$C36,Q$3:Q$29,""))</f>
        <v>10.199999999999999</v>
      </c>
      <c r="R36">
        <f t="array" ref="R36">MEDIAN(IF($C$3:$C$29=$C36,R$3:R$29,""))</f>
        <v>12.1</v>
      </c>
      <c r="S36">
        <f t="array" ref="S36">MEDIAN(IF($C$3:$C$29=$C36,S$3:S$29,""))</f>
        <v>14.1</v>
      </c>
      <c r="T36">
        <f t="array" ref="T36">MEDIAN(IF($C$3:$C$29=$C36,T$3:T$29,""))</f>
        <v>10.6</v>
      </c>
      <c r="U36">
        <f t="array" ref="U36">MEDIAN(IF($C$3:$C$29=$C36,U$3:U$29,""))</f>
        <v>9.3000000000000007</v>
      </c>
      <c r="V36">
        <f t="array" ref="V36">MEDIAN(IF($C$3:$C$29=$C36,V$3:V$29,""))</f>
        <v>9.6999999999999993</v>
      </c>
      <c r="W36">
        <f t="array" ref="W36">MEDIAN(IF($C$3:$C$29=$C36,W$3:W$29,""))</f>
        <v>10.7</v>
      </c>
      <c r="X36">
        <f t="array" ref="X36">MEDIAN(IF($C$3:$C$29=$C36,X$3:X$29,""))</f>
        <v>13.4</v>
      </c>
      <c r="Y36">
        <f t="array" ref="Y36">MEDIAN(IF($C$3:$C$29=$C36,Y$3:Y$29,""))</f>
        <v>14.3</v>
      </c>
      <c r="Z36">
        <f t="array" ref="Z36">MEDIAN(IF($C$3:$C$29=$C36,Z$3:Z$29,""))</f>
        <v>18.2</v>
      </c>
      <c r="AA36">
        <f t="array" ref="AA36">MEDIAN(IF($C$3:$C$29=$C36,AA$3:AA$29,""))</f>
        <v>21.9</v>
      </c>
    </row>
    <row r="37" spans="3:27" x14ac:dyDescent="0.25">
      <c r="C37">
        <v>7</v>
      </c>
      <c r="D37">
        <f t="array" ref="D37">MEDIAN(IF($C$3:$C$29=$C37,D$3:D$29,""))</f>
        <v>24.7</v>
      </c>
      <c r="E37">
        <f t="array" ref="E37">MEDIAN(IF($C$3:$C$29=$C37,E$3:E$29,""))</f>
        <v>25.700000000000003</v>
      </c>
      <c r="F37">
        <f t="array" ref="F37">MEDIAN(IF($C$3:$C$29=$C37,F$3:F$29,""))</f>
        <v>0</v>
      </c>
      <c r="G37">
        <v>26</v>
      </c>
      <c r="H37">
        <f t="array" ref="H37">MEDIAN(IF($C$3:$C$29=$C37,H$3:H$29,""))</f>
        <v>24.799999999999997</v>
      </c>
      <c r="I37">
        <f t="array" ref="I37">MEDIAN(IF($C$3:$C$29=$C37,I$3:I$29,""))</f>
        <v>16.700000000000003</v>
      </c>
      <c r="J37">
        <f t="array" ref="J37">MEDIAN(IF($C$3:$C$29=$C37,J$3:J$29,""))</f>
        <v>10.600000000000001</v>
      </c>
      <c r="K37">
        <f t="array" ref="K37">MEDIAN(IF($C$3:$C$29=$C37,K$3:K$29,""))</f>
        <v>7</v>
      </c>
      <c r="L37">
        <f t="array" ref="L37">MEDIAN(IF($C$3:$C$29=$C37,L$3:L$29,""))</f>
        <v>8.6999999999999993</v>
      </c>
      <c r="M37">
        <f t="array" ref="M37">MEDIAN(IF($C$3:$C$29=$C37,M$3:M$29,""))</f>
        <v>10.4</v>
      </c>
      <c r="N37">
        <f t="array" ref="N37">MEDIAN(IF($C$3:$C$29=$C37,N$3:N$29,""))</f>
        <v>9</v>
      </c>
      <c r="O37">
        <f t="array" ref="O37">MEDIAN(IF($C$3:$C$29=$C37,O$3:O$29,""))</f>
        <v>10.199999999999999</v>
      </c>
      <c r="P37">
        <f t="array" ref="P37">MEDIAN(IF($C$3:$C$29=$C37,P$3:P$29,""))</f>
        <v>8.3000000000000007</v>
      </c>
      <c r="Q37">
        <f t="array" ref="Q37">MEDIAN(IF($C$3:$C$29=$C37,Q$3:Q$29,""))</f>
        <v>7</v>
      </c>
      <c r="R37">
        <f t="array" ref="R37">MEDIAN(IF($C$3:$C$29=$C37,R$3:R$29,""))</f>
        <v>11.600000000000001</v>
      </c>
      <c r="S37">
        <f t="array" ref="S37">MEDIAN(IF($C$3:$C$29=$C37,S$3:S$29,""))</f>
        <v>12.1</v>
      </c>
      <c r="T37">
        <f t="array" ref="T37">MEDIAN(IF($C$3:$C$29=$C37,T$3:T$29,""))</f>
        <v>8.75</v>
      </c>
      <c r="U37">
        <f t="array" ref="U37">MEDIAN(IF($C$3:$C$29=$C37,U$3:U$29,""))</f>
        <v>7.6999999999999993</v>
      </c>
      <c r="V37">
        <f t="array" ref="V37">MEDIAN(IF($C$3:$C$29=$C37,V$3:V$29,""))</f>
        <v>8.9499999999999993</v>
      </c>
      <c r="W37">
        <f t="array" ref="W37">MEDIAN(IF($C$3:$C$29=$C37,W$3:W$29,""))</f>
        <v>10</v>
      </c>
      <c r="X37">
        <f t="array" ref="X37">MEDIAN(IF($C$3:$C$29=$C37,X$3:X$29,""))</f>
        <v>12.65</v>
      </c>
      <c r="Y37">
        <f t="array" ref="Y37">MEDIAN(IF($C$3:$C$29=$C37,Y$3:Y$29,""))</f>
        <v>12.15</v>
      </c>
      <c r="Z37">
        <f t="array" ref="Z37">MEDIAN(IF($C$3:$C$29=$C37,Z$3:Z$29,""))</f>
        <v>16.95</v>
      </c>
      <c r="AA37">
        <f t="array" ref="AA37">MEDIAN(IF($C$3:$C$29=$C37,AA$3:AA$29,""))</f>
        <v>21.05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AA37"/>
  <sheetViews>
    <sheetView workbookViewId="0">
      <selection activeCell="G31" sqref="G31:G37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24.4</v>
      </c>
      <c r="E3">
        <v>39.299999999999997</v>
      </c>
      <c r="H3">
        <v>20.3</v>
      </c>
      <c r="I3">
        <v>14.2</v>
      </c>
      <c r="J3">
        <v>11.9</v>
      </c>
      <c r="K3">
        <v>5.8</v>
      </c>
      <c r="L3">
        <v>5.9</v>
      </c>
      <c r="M3">
        <v>7.2</v>
      </c>
      <c r="N3">
        <v>11.7</v>
      </c>
      <c r="O3">
        <v>11.6</v>
      </c>
      <c r="P3">
        <v>14.3</v>
      </c>
      <c r="Q3">
        <v>10.199999999999999</v>
      </c>
      <c r="R3">
        <v>13.1</v>
      </c>
      <c r="S3">
        <v>12.2</v>
      </c>
      <c r="T3">
        <v>9.3000000000000007</v>
      </c>
      <c r="U3">
        <v>10.199999999999999</v>
      </c>
      <c r="V3">
        <v>11.1</v>
      </c>
      <c r="W3">
        <v>8.6</v>
      </c>
      <c r="X3">
        <v>15.9</v>
      </c>
      <c r="Y3">
        <v>12.8</v>
      </c>
      <c r="Z3">
        <v>18.899999999999999</v>
      </c>
      <c r="AA3">
        <v>21.2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16.8</v>
      </c>
      <c r="E4">
        <v>16.7</v>
      </c>
      <c r="H4">
        <v>23.7</v>
      </c>
      <c r="I4">
        <v>24.5</v>
      </c>
      <c r="J4">
        <v>22.8</v>
      </c>
      <c r="K4">
        <v>15.8</v>
      </c>
      <c r="L4">
        <v>9.1999999999999993</v>
      </c>
      <c r="M4">
        <v>9.6999999999999993</v>
      </c>
      <c r="N4">
        <v>10.7</v>
      </c>
      <c r="O4">
        <v>14.1</v>
      </c>
      <c r="P4">
        <v>12.8</v>
      </c>
      <c r="Q4">
        <v>13.9</v>
      </c>
      <c r="R4">
        <v>13.6</v>
      </c>
      <c r="S4">
        <v>11.9</v>
      </c>
      <c r="T4">
        <v>13.5</v>
      </c>
      <c r="U4">
        <v>11.5</v>
      </c>
      <c r="V4">
        <v>13.9</v>
      </c>
      <c r="W4">
        <v>16.100000000000001</v>
      </c>
      <c r="X4">
        <v>14</v>
      </c>
      <c r="Y4">
        <v>18.899999999999999</v>
      </c>
      <c r="Z4">
        <v>17.399999999999999</v>
      </c>
      <c r="AA4">
        <v>20.2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25.5</v>
      </c>
      <c r="E5">
        <v>29.3</v>
      </c>
      <c r="F5">
        <v>21.4</v>
      </c>
      <c r="H5">
        <v>25.2</v>
      </c>
      <c r="I5">
        <v>23.9</v>
      </c>
      <c r="J5">
        <v>22.7</v>
      </c>
      <c r="K5">
        <v>20.6</v>
      </c>
      <c r="L5">
        <v>23.5</v>
      </c>
      <c r="M5">
        <v>19.5</v>
      </c>
      <c r="N5">
        <v>11.3</v>
      </c>
      <c r="O5">
        <v>13.9</v>
      </c>
      <c r="P5">
        <v>8.3000000000000007</v>
      </c>
      <c r="Q5">
        <v>6.2</v>
      </c>
      <c r="R5">
        <v>18.3</v>
      </c>
      <c r="S5">
        <v>19.100000000000001</v>
      </c>
      <c r="T5">
        <v>14.8</v>
      </c>
      <c r="U5">
        <v>15.2</v>
      </c>
      <c r="V5">
        <v>13.9</v>
      </c>
      <c r="W5">
        <v>16.5</v>
      </c>
      <c r="X5">
        <v>14.2</v>
      </c>
      <c r="Y5">
        <v>14.3</v>
      </c>
      <c r="Z5">
        <v>15.4</v>
      </c>
      <c r="AA5">
        <v>15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24</v>
      </c>
      <c r="E6">
        <v>31.9</v>
      </c>
      <c r="H6">
        <v>16.899999999999999</v>
      </c>
      <c r="I6">
        <v>13.8</v>
      </c>
      <c r="J6">
        <v>8.5</v>
      </c>
      <c r="K6">
        <v>8.6999999999999993</v>
      </c>
      <c r="L6">
        <v>7.1</v>
      </c>
      <c r="M6">
        <v>9</v>
      </c>
      <c r="N6">
        <v>15.6</v>
      </c>
      <c r="O6">
        <v>13.8</v>
      </c>
      <c r="P6">
        <v>13</v>
      </c>
      <c r="Q6">
        <v>12.6</v>
      </c>
      <c r="R6">
        <v>11.7</v>
      </c>
      <c r="S6">
        <v>15.1</v>
      </c>
      <c r="T6">
        <v>11.3</v>
      </c>
      <c r="U6">
        <v>9.6</v>
      </c>
      <c r="V6">
        <v>9.8000000000000007</v>
      </c>
      <c r="W6">
        <v>13.4</v>
      </c>
      <c r="X6">
        <v>15.3</v>
      </c>
      <c r="Y6">
        <v>21.3</v>
      </c>
      <c r="Z6">
        <v>21.3</v>
      </c>
      <c r="AA6">
        <v>17.899999999999999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20.6</v>
      </c>
      <c r="E7">
        <v>30.4</v>
      </c>
      <c r="H7">
        <v>27.1</v>
      </c>
      <c r="I7">
        <v>15.5</v>
      </c>
      <c r="J7">
        <v>9.4</v>
      </c>
      <c r="K7">
        <v>8.9</v>
      </c>
      <c r="L7">
        <v>13.6</v>
      </c>
      <c r="M7">
        <v>10.6</v>
      </c>
      <c r="N7">
        <v>12.1</v>
      </c>
      <c r="O7">
        <v>13.1</v>
      </c>
      <c r="P7">
        <v>11.3</v>
      </c>
      <c r="Q7">
        <v>12.5</v>
      </c>
      <c r="R7">
        <v>11.7</v>
      </c>
      <c r="S7">
        <v>12.3</v>
      </c>
      <c r="T7">
        <v>9.9</v>
      </c>
      <c r="U7">
        <v>10.6</v>
      </c>
      <c r="V7">
        <v>10.9</v>
      </c>
      <c r="W7">
        <v>11.1</v>
      </c>
      <c r="X7">
        <v>13</v>
      </c>
      <c r="Y7">
        <v>16.3</v>
      </c>
      <c r="Z7">
        <v>16.8</v>
      </c>
      <c r="AA7">
        <v>15.2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22.3</v>
      </c>
      <c r="E8">
        <v>25</v>
      </c>
      <c r="H8">
        <v>23.6</v>
      </c>
      <c r="I8">
        <v>18.7</v>
      </c>
      <c r="J8">
        <v>8.5</v>
      </c>
      <c r="K8">
        <v>7.9</v>
      </c>
      <c r="L8">
        <v>6.1</v>
      </c>
      <c r="M8">
        <v>3.7</v>
      </c>
      <c r="N8">
        <v>6.5</v>
      </c>
      <c r="O8">
        <v>9.6999999999999993</v>
      </c>
      <c r="P8">
        <v>10.9</v>
      </c>
      <c r="Q8">
        <v>10.5</v>
      </c>
      <c r="R8">
        <v>9.3000000000000007</v>
      </c>
      <c r="S8">
        <v>12.7</v>
      </c>
      <c r="T8">
        <v>11.5</v>
      </c>
      <c r="U8">
        <v>13.4</v>
      </c>
      <c r="V8">
        <v>10.3</v>
      </c>
      <c r="W8">
        <v>11.1</v>
      </c>
      <c r="X8">
        <v>14.3</v>
      </c>
      <c r="Y8">
        <v>14.6</v>
      </c>
      <c r="Z8">
        <v>14.9</v>
      </c>
      <c r="AA8">
        <v>16.899999999999999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25.5</v>
      </c>
      <c r="E9">
        <v>25.2</v>
      </c>
      <c r="H9">
        <v>21.9</v>
      </c>
      <c r="I9">
        <v>13.9</v>
      </c>
      <c r="J9">
        <v>9.6</v>
      </c>
      <c r="K9">
        <v>9.4</v>
      </c>
      <c r="L9">
        <v>7.8</v>
      </c>
      <c r="M9">
        <v>11.7</v>
      </c>
      <c r="N9">
        <v>14</v>
      </c>
      <c r="O9">
        <v>11.4</v>
      </c>
      <c r="P9">
        <v>11.6</v>
      </c>
      <c r="Q9">
        <v>11.2</v>
      </c>
      <c r="R9">
        <v>11.8</v>
      </c>
      <c r="S9">
        <v>11.4</v>
      </c>
      <c r="T9">
        <v>12.1</v>
      </c>
      <c r="U9">
        <v>11.4</v>
      </c>
      <c r="V9">
        <v>10</v>
      </c>
      <c r="W9">
        <v>12</v>
      </c>
      <c r="X9">
        <v>12.9</v>
      </c>
      <c r="Y9">
        <v>14.7</v>
      </c>
      <c r="Z9">
        <v>18.3</v>
      </c>
      <c r="AA9">
        <v>21.4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22.5</v>
      </c>
      <c r="E10">
        <v>20.2</v>
      </c>
      <c r="H10">
        <v>20.8</v>
      </c>
      <c r="I10">
        <v>13.7</v>
      </c>
      <c r="J10">
        <v>10.3</v>
      </c>
      <c r="K10">
        <v>6.2</v>
      </c>
      <c r="L10">
        <v>7.7</v>
      </c>
      <c r="M10">
        <v>9.9</v>
      </c>
      <c r="N10">
        <v>9.8000000000000007</v>
      </c>
      <c r="O10">
        <v>10.5</v>
      </c>
      <c r="P10">
        <v>11.4</v>
      </c>
      <c r="Q10">
        <v>9</v>
      </c>
      <c r="R10">
        <v>13.4</v>
      </c>
      <c r="S10">
        <v>10.5</v>
      </c>
      <c r="T10">
        <v>8.1999999999999993</v>
      </c>
      <c r="U10">
        <v>9.1999999999999993</v>
      </c>
      <c r="V10">
        <v>10.5</v>
      </c>
      <c r="W10">
        <v>9.1999999999999993</v>
      </c>
      <c r="X10">
        <v>12.7</v>
      </c>
      <c r="Y10">
        <v>14.4</v>
      </c>
      <c r="Z10">
        <v>15.8</v>
      </c>
      <c r="AA10">
        <v>23.3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25.9</v>
      </c>
      <c r="E11">
        <v>26.8</v>
      </c>
      <c r="H11">
        <v>28.4</v>
      </c>
      <c r="I11">
        <v>24.8</v>
      </c>
      <c r="J11">
        <v>19.8</v>
      </c>
      <c r="K11">
        <v>16.2</v>
      </c>
      <c r="L11">
        <v>7.8</v>
      </c>
      <c r="M11">
        <v>8.1999999999999993</v>
      </c>
      <c r="N11">
        <v>10</v>
      </c>
      <c r="O11">
        <v>8.9</v>
      </c>
      <c r="P11">
        <v>11.9</v>
      </c>
      <c r="Q11">
        <v>14.8</v>
      </c>
      <c r="R11">
        <v>13.3</v>
      </c>
      <c r="S11">
        <v>13.8</v>
      </c>
      <c r="T11">
        <v>14.9</v>
      </c>
      <c r="U11">
        <v>14.4</v>
      </c>
      <c r="V11">
        <v>12.8</v>
      </c>
      <c r="W11">
        <v>16</v>
      </c>
      <c r="X11">
        <v>9.4</v>
      </c>
      <c r="Y11">
        <v>15.4</v>
      </c>
      <c r="Z11">
        <v>16.600000000000001</v>
      </c>
      <c r="AA11">
        <v>20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23.1</v>
      </c>
      <c r="E12">
        <v>29.2</v>
      </c>
      <c r="H12">
        <v>23.2</v>
      </c>
      <c r="I12">
        <v>26.2</v>
      </c>
      <c r="J12">
        <v>22.8</v>
      </c>
      <c r="K12">
        <v>16.3</v>
      </c>
      <c r="L12">
        <v>17.600000000000001</v>
      </c>
      <c r="M12">
        <v>12.9</v>
      </c>
      <c r="N12">
        <v>16.100000000000001</v>
      </c>
      <c r="O12">
        <v>14.4</v>
      </c>
      <c r="P12">
        <v>10.5</v>
      </c>
      <c r="Q12">
        <v>10.199999999999999</v>
      </c>
      <c r="R12">
        <v>15.9</v>
      </c>
      <c r="S12">
        <v>17.899999999999999</v>
      </c>
      <c r="T12">
        <v>14.2</v>
      </c>
      <c r="U12">
        <v>19.600000000000001</v>
      </c>
      <c r="V12">
        <v>13.8</v>
      </c>
      <c r="W12">
        <v>12.2</v>
      </c>
      <c r="X12">
        <v>14.5</v>
      </c>
      <c r="Y12">
        <v>16</v>
      </c>
      <c r="Z12">
        <v>23</v>
      </c>
      <c r="AA12">
        <v>17.2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29.7</v>
      </c>
      <c r="E13">
        <v>22.7</v>
      </c>
      <c r="H13">
        <v>21.8</v>
      </c>
      <c r="I13">
        <v>15.3</v>
      </c>
      <c r="J13">
        <v>9.3000000000000007</v>
      </c>
      <c r="K13">
        <v>9</v>
      </c>
      <c r="L13">
        <v>7.5</v>
      </c>
      <c r="M13">
        <v>8.5</v>
      </c>
      <c r="N13">
        <v>13.7</v>
      </c>
      <c r="O13">
        <v>12.3</v>
      </c>
      <c r="P13">
        <v>10.4</v>
      </c>
      <c r="Q13">
        <v>12.2</v>
      </c>
      <c r="R13">
        <v>13.9</v>
      </c>
      <c r="S13">
        <v>14.3</v>
      </c>
      <c r="T13">
        <v>8.9</v>
      </c>
      <c r="U13">
        <v>13</v>
      </c>
      <c r="V13">
        <v>10</v>
      </c>
      <c r="W13">
        <v>15</v>
      </c>
      <c r="X13">
        <v>18.5</v>
      </c>
      <c r="Y13">
        <v>15.1</v>
      </c>
      <c r="Z13">
        <v>20</v>
      </c>
      <c r="AA13">
        <v>17.100000000000001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30</v>
      </c>
      <c r="E14">
        <v>26.7</v>
      </c>
      <c r="H14">
        <v>31.3</v>
      </c>
      <c r="I14">
        <v>15.2</v>
      </c>
      <c r="J14">
        <v>9.3000000000000007</v>
      </c>
      <c r="K14">
        <v>9.9</v>
      </c>
      <c r="L14">
        <v>7.4</v>
      </c>
      <c r="M14">
        <v>9.5</v>
      </c>
      <c r="N14">
        <v>12.8</v>
      </c>
      <c r="O14">
        <v>13.7</v>
      </c>
      <c r="P14">
        <v>14.5</v>
      </c>
      <c r="Q14">
        <v>11.9</v>
      </c>
      <c r="R14">
        <v>13</v>
      </c>
      <c r="S14">
        <v>14</v>
      </c>
      <c r="T14">
        <v>12.6</v>
      </c>
      <c r="U14">
        <v>10</v>
      </c>
      <c r="V14">
        <v>9.9</v>
      </c>
      <c r="W14">
        <v>11.2</v>
      </c>
      <c r="X14">
        <v>11.1</v>
      </c>
      <c r="Y14">
        <v>15.6</v>
      </c>
      <c r="Z14">
        <v>26.1</v>
      </c>
      <c r="AA14">
        <v>14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24.4</v>
      </c>
      <c r="E15">
        <v>28.4</v>
      </c>
      <c r="H15">
        <v>23.4</v>
      </c>
      <c r="I15">
        <v>13.9</v>
      </c>
      <c r="J15">
        <v>7.9</v>
      </c>
      <c r="K15">
        <v>8.3000000000000007</v>
      </c>
      <c r="L15">
        <v>6.3</v>
      </c>
      <c r="M15">
        <v>9.3000000000000007</v>
      </c>
      <c r="N15">
        <v>10.9</v>
      </c>
      <c r="O15">
        <v>14.8</v>
      </c>
      <c r="P15">
        <v>11.7</v>
      </c>
      <c r="Q15">
        <v>12.3</v>
      </c>
      <c r="R15">
        <v>12.4</v>
      </c>
      <c r="S15">
        <v>14.2</v>
      </c>
      <c r="T15">
        <v>10.5</v>
      </c>
      <c r="U15">
        <v>10</v>
      </c>
      <c r="V15">
        <v>11.3</v>
      </c>
      <c r="W15">
        <v>11.3</v>
      </c>
      <c r="X15">
        <v>12.6</v>
      </c>
      <c r="Y15">
        <v>15.2</v>
      </c>
      <c r="Z15">
        <v>17.100000000000001</v>
      </c>
      <c r="AA15">
        <v>17.7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20.5</v>
      </c>
      <c r="E16">
        <v>28.7</v>
      </c>
      <c r="H16">
        <v>20.2</v>
      </c>
      <c r="I16">
        <v>13.6</v>
      </c>
      <c r="J16">
        <v>11.1</v>
      </c>
      <c r="K16">
        <v>10</v>
      </c>
      <c r="L16">
        <v>7.3</v>
      </c>
      <c r="M16">
        <v>10.6</v>
      </c>
      <c r="N16">
        <v>11.9</v>
      </c>
      <c r="O16">
        <v>13.9</v>
      </c>
      <c r="P16">
        <v>13.1</v>
      </c>
      <c r="Q16">
        <v>13.5</v>
      </c>
      <c r="R16">
        <v>12.5</v>
      </c>
      <c r="S16">
        <v>12.8</v>
      </c>
      <c r="T16">
        <v>10.3</v>
      </c>
      <c r="U16">
        <v>9</v>
      </c>
      <c r="V16">
        <v>10.7</v>
      </c>
      <c r="W16">
        <v>10.9</v>
      </c>
      <c r="X16">
        <v>12.9</v>
      </c>
      <c r="Y16">
        <v>21.1</v>
      </c>
      <c r="Z16">
        <v>17.3</v>
      </c>
      <c r="AA16">
        <v>15.2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22.6</v>
      </c>
      <c r="E17">
        <v>27</v>
      </c>
      <c r="H17">
        <v>20.3</v>
      </c>
      <c r="I17">
        <v>12.2</v>
      </c>
      <c r="J17">
        <v>9.4</v>
      </c>
      <c r="K17">
        <v>7.9</v>
      </c>
      <c r="L17">
        <v>7</v>
      </c>
      <c r="M17">
        <v>10</v>
      </c>
      <c r="N17">
        <v>11.5</v>
      </c>
      <c r="O17">
        <v>11.8</v>
      </c>
      <c r="P17">
        <v>11.1</v>
      </c>
      <c r="Q17">
        <v>8.8000000000000007</v>
      </c>
      <c r="R17">
        <v>9.1999999999999993</v>
      </c>
      <c r="S17">
        <v>12.2</v>
      </c>
      <c r="T17">
        <v>9.9</v>
      </c>
      <c r="U17">
        <v>9.4</v>
      </c>
      <c r="V17">
        <v>9.8000000000000007</v>
      </c>
      <c r="W17">
        <v>9.6</v>
      </c>
      <c r="X17">
        <v>11.3</v>
      </c>
      <c r="Y17">
        <v>7.3</v>
      </c>
      <c r="Z17">
        <v>14.1</v>
      </c>
      <c r="AA17">
        <v>13.5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19.100000000000001</v>
      </c>
      <c r="E18">
        <v>20.100000000000001</v>
      </c>
      <c r="H18">
        <v>29.1</v>
      </c>
      <c r="I18">
        <v>12.3</v>
      </c>
      <c r="J18">
        <v>14.3</v>
      </c>
      <c r="K18">
        <v>8.6</v>
      </c>
      <c r="L18">
        <v>11.6</v>
      </c>
      <c r="M18">
        <v>5.4</v>
      </c>
      <c r="N18">
        <v>10.6</v>
      </c>
      <c r="O18">
        <v>8.5</v>
      </c>
      <c r="P18">
        <v>9.9</v>
      </c>
      <c r="Q18">
        <v>12</v>
      </c>
      <c r="R18">
        <v>11.2</v>
      </c>
      <c r="S18">
        <v>12.8</v>
      </c>
      <c r="T18">
        <v>14.4</v>
      </c>
      <c r="U18">
        <v>10.6</v>
      </c>
      <c r="V18">
        <v>11</v>
      </c>
      <c r="W18">
        <v>9.9</v>
      </c>
      <c r="X18">
        <v>10.4</v>
      </c>
      <c r="Y18">
        <v>14.7</v>
      </c>
      <c r="Z18">
        <v>16</v>
      </c>
      <c r="AA18">
        <v>18.399999999999999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23.7</v>
      </c>
      <c r="H19">
        <v>24.2</v>
      </c>
      <c r="I19">
        <v>22.5</v>
      </c>
      <c r="J19">
        <v>24.5</v>
      </c>
      <c r="K19">
        <v>16</v>
      </c>
      <c r="L19">
        <v>16.7</v>
      </c>
      <c r="M19">
        <v>13.2</v>
      </c>
      <c r="N19">
        <v>18</v>
      </c>
      <c r="O19">
        <v>14.3</v>
      </c>
      <c r="P19">
        <v>12.2</v>
      </c>
      <c r="Q19">
        <v>8.8000000000000007</v>
      </c>
      <c r="R19">
        <v>19.7</v>
      </c>
      <c r="S19">
        <v>16.2</v>
      </c>
      <c r="T19">
        <v>13</v>
      </c>
      <c r="U19">
        <v>13.2</v>
      </c>
      <c r="V19">
        <v>16.7</v>
      </c>
      <c r="W19">
        <v>14.6</v>
      </c>
      <c r="X19">
        <v>13.7</v>
      </c>
      <c r="Y19">
        <v>16.3</v>
      </c>
      <c r="Z19">
        <v>15.5</v>
      </c>
      <c r="AA19">
        <v>21.2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23</v>
      </c>
      <c r="E20">
        <v>26.4</v>
      </c>
      <c r="H20">
        <v>25.1</v>
      </c>
      <c r="I20">
        <v>18.7</v>
      </c>
      <c r="J20">
        <v>12.1</v>
      </c>
      <c r="K20">
        <v>7.2</v>
      </c>
      <c r="L20">
        <v>8.3000000000000007</v>
      </c>
      <c r="M20">
        <v>10.9</v>
      </c>
      <c r="N20">
        <v>12.6</v>
      </c>
      <c r="O20">
        <v>12.5</v>
      </c>
      <c r="P20">
        <v>12.8</v>
      </c>
      <c r="Q20">
        <v>11.2</v>
      </c>
      <c r="R20">
        <v>13</v>
      </c>
      <c r="S20">
        <v>15</v>
      </c>
      <c r="T20">
        <v>11.8</v>
      </c>
      <c r="U20">
        <v>9.4</v>
      </c>
      <c r="V20">
        <v>11.8</v>
      </c>
      <c r="W20">
        <v>10</v>
      </c>
      <c r="X20">
        <v>14.3</v>
      </c>
      <c r="Y20">
        <v>16.100000000000001</v>
      </c>
      <c r="Z20">
        <v>15.2</v>
      </c>
      <c r="AA20">
        <v>27.8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22.3</v>
      </c>
      <c r="E21">
        <v>22.2</v>
      </c>
      <c r="H21">
        <v>25.4</v>
      </c>
      <c r="I21">
        <v>23.8</v>
      </c>
      <c r="J21">
        <v>9.9</v>
      </c>
      <c r="K21">
        <v>7.8</v>
      </c>
      <c r="L21">
        <v>5.2</v>
      </c>
      <c r="M21">
        <v>12.1</v>
      </c>
      <c r="N21">
        <v>10.7</v>
      </c>
      <c r="O21">
        <v>13.3</v>
      </c>
      <c r="P21">
        <v>12.9</v>
      </c>
      <c r="Q21">
        <v>14.1</v>
      </c>
      <c r="R21">
        <v>13.7</v>
      </c>
      <c r="S21">
        <v>14.3</v>
      </c>
      <c r="T21">
        <v>12.5</v>
      </c>
      <c r="U21">
        <v>12.3</v>
      </c>
      <c r="V21">
        <v>9.4</v>
      </c>
      <c r="W21">
        <v>9.8000000000000007</v>
      </c>
      <c r="X21">
        <v>15.5</v>
      </c>
      <c r="Y21">
        <v>16.600000000000001</v>
      </c>
      <c r="Z21">
        <v>15.9</v>
      </c>
      <c r="AA21">
        <v>18.3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27.3</v>
      </c>
      <c r="E22">
        <v>16.3</v>
      </c>
      <c r="H22">
        <v>25.9</v>
      </c>
      <c r="I22">
        <v>17.3</v>
      </c>
      <c r="J22">
        <v>9.9</v>
      </c>
      <c r="K22">
        <v>9.4</v>
      </c>
      <c r="L22">
        <v>10.7</v>
      </c>
      <c r="M22">
        <v>8.5</v>
      </c>
      <c r="N22">
        <v>11.8</v>
      </c>
      <c r="O22">
        <v>10.9</v>
      </c>
      <c r="P22">
        <v>13.6</v>
      </c>
      <c r="Q22">
        <v>8.4</v>
      </c>
      <c r="R22">
        <v>11.8</v>
      </c>
      <c r="S22">
        <v>13.9</v>
      </c>
      <c r="T22">
        <v>10.5</v>
      </c>
      <c r="U22">
        <v>8.4</v>
      </c>
      <c r="V22">
        <v>10.4</v>
      </c>
      <c r="W22">
        <v>9.3000000000000007</v>
      </c>
      <c r="X22">
        <v>11.1</v>
      </c>
      <c r="Y22">
        <v>16.8</v>
      </c>
      <c r="Z22">
        <v>15.1</v>
      </c>
      <c r="AA22">
        <v>19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21.3</v>
      </c>
      <c r="E23">
        <v>17.399999999999999</v>
      </c>
      <c r="H23">
        <v>16.7</v>
      </c>
      <c r="I23">
        <v>16.100000000000001</v>
      </c>
      <c r="J23">
        <v>11.5</v>
      </c>
      <c r="K23">
        <v>10.7</v>
      </c>
      <c r="L23">
        <v>8.8000000000000007</v>
      </c>
      <c r="M23">
        <v>12.1</v>
      </c>
      <c r="N23">
        <v>8.9</v>
      </c>
      <c r="O23">
        <v>12.9</v>
      </c>
      <c r="P23">
        <v>12.1</v>
      </c>
      <c r="Q23">
        <v>8.9</v>
      </c>
      <c r="R23">
        <v>10.4</v>
      </c>
      <c r="S23">
        <v>13.5</v>
      </c>
      <c r="T23">
        <v>11</v>
      </c>
      <c r="U23">
        <v>10.7</v>
      </c>
      <c r="V23">
        <v>10</v>
      </c>
      <c r="W23">
        <v>9.4</v>
      </c>
      <c r="X23">
        <v>16.3</v>
      </c>
      <c r="Y23">
        <v>13.1</v>
      </c>
      <c r="Z23">
        <v>17.5</v>
      </c>
      <c r="AA23">
        <v>25.9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25.5</v>
      </c>
      <c r="E24">
        <v>20.399999999999999</v>
      </c>
      <c r="H24">
        <v>17.5</v>
      </c>
      <c r="I24">
        <v>22.4</v>
      </c>
      <c r="J24">
        <v>7.3</v>
      </c>
      <c r="K24">
        <v>6</v>
      </c>
      <c r="L24">
        <v>4.8</v>
      </c>
      <c r="M24">
        <v>8.6</v>
      </c>
      <c r="N24">
        <v>5.4</v>
      </c>
      <c r="O24">
        <v>12.8</v>
      </c>
      <c r="P24">
        <v>10.8</v>
      </c>
      <c r="Q24">
        <v>10.1</v>
      </c>
      <c r="R24">
        <v>9.5</v>
      </c>
      <c r="S24">
        <v>11.5</v>
      </c>
      <c r="T24">
        <v>11.1</v>
      </c>
      <c r="U24">
        <v>9.4</v>
      </c>
      <c r="V24">
        <v>10.4</v>
      </c>
      <c r="W24">
        <v>9</v>
      </c>
      <c r="X24">
        <v>13.7</v>
      </c>
      <c r="Y24">
        <v>16.7</v>
      </c>
      <c r="Z24">
        <v>16.600000000000001</v>
      </c>
      <c r="AA24">
        <v>21.7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17.899999999999999</v>
      </c>
      <c r="E25">
        <v>24.2</v>
      </c>
      <c r="H25">
        <v>23.5</v>
      </c>
      <c r="I25">
        <v>21.1</v>
      </c>
      <c r="J25">
        <v>15.7</v>
      </c>
      <c r="K25">
        <v>15.4</v>
      </c>
      <c r="L25">
        <v>7.3</v>
      </c>
      <c r="M25">
        <v>6.8</v>
      </c>
      <c r="N25">
        <v>9.6999999999999993</v>
      </c>
      <c r="O25">
        <v>11.8</v>
      </c>
      <c r="P25">
        <v>12.3</v>
      </c>
      <c r="Q25">
        <v>12.7</v>
      </c>
      <c r="R25">
        <v>13.3</v>
      </c>
      <c r="T25">
        <v>20.100000000000001</v>
      </c>
      <c r="U25">
        <v>22.7</v>
      </c>
      <c r="V25">
        <v>11.4</v>
      </c>
      <c r="W25">
        <v>16.600000000000001</v>
      </c>
      <c r="X25">
        <v>17.3</v>
      </c>
      <c r="Z25">
        <v>10.5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25.3</v>
      </c>
      <c r="E26">
        <v>23.6</v>
      </c>
      <c r="H26">
        <v>28.9</v>
      </c>
      <c r="I26">
        <v>22</v>
      </c>
      <c r="J26">
        <v>23.9</v>
      </c>
      <c r="K26">
        <v>17.7</v>
      </c>
      <c r="L26">
        <v>13.6</v>
      </c>
      <c r="M26">
        <v>15.7</v>
      </c>
      <c r="N26">
        <v>15.4</v>
      </c>
      <c r="O26">
        <v>10.9</v>
      </c>
      <c r="P26">
        <v>11.7</v>
      </c>
      <c r="Q26">
        <v>11.7</v>
      </c>
      <c r="R26">
        <v>17</v>
      </c>
      <c r="S26">
        <v>12.4</v>
      </c>
      <c r="T26">
        <v>12.6</v>
      </c>
      <c r="U26">
        <v>14.3</v>
      </c>
      <c r="V26">
        <v>13.4</v>
      </c>
      <c r="W26">
        <v>12</v>
      </c>
      <c r="X26">
        <v>12.8</v>
      </c>
      <c r="Y26">
        <v>16.399999999999999</v>
      </c>
      <c r="Z26">
        <v>16.2</v>
      </c>
      <c r="AA26">
        <v>21.6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25.6</v>
      </c>
      <c r="E27">
        <v>22.4</v>
      </c>
      <c r="H27">
        <v>22.7</v>
      </c>
      <c r="I27">
        <v>20.8</v>
      </c>
      <c r="J27">
        <v>9.1999999999999993</v>
      </c>
      <c r="K27">
        <v>10.4</v>
      </c>
      <c r="L27">
        <v>7.4</v>
      </c>
      <c r="M27">
        <v>12</v>
      </c>
      <c r="N27">
        <v>11.9</v>
      </c>
      <c r="O27">
        <v>9.9</v>
      </c>
      <c r="P27">
        <v>11.5</v>
      </c>
      <c r="Q27">
        <v>12.1</v>
      </c>
      <c r="R27">
        <v>11.8</v>
      </c>
      <c r="S27">
        <v>12.8</v>
      </c>
      <c r="T27">
        <v>13.3</v>
      </c>
      <c r="U27">
        <v>10</v>
      </c>
      <c r="V27">
        <v>10.6</v>
      </c>
      <c r="W27">
        <v>11.1</v>
      </c>
      <c r="X27">
        <v>13.3</v>
      </c>
      <c r="Y27">
        <v>16.100000000000001</v>
      </c>
      <c r="Z27">
        <v>18.7</v>
      </c>
      <c r="AA27">
        <v>18.600000000000001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22.9</v>
      </c>
      <c r="E28">
        <v>23</v>
      </c>
      <c r="H28">
        <v>23.2</v>
      </c>
      <c r="I28">
        <v>18</v>
      </c>
      <c r="J28">
        <v>7.3</v>
      </c>
      <c r="K28">
        <v>7.1</v>
      </c>
      <c r="L28">
        <v>7</v>
      </c>
      <c r="M28">
        <v>12.2</v>
      </c>
      <c r="N28">
        <v>11.9</v>
      </c>
      <c r="O28">
        <v>17.2</v>
      </c>
      <c r="P28">
        <v>10.1</v>
      </c>
      <c r="Q28">
        <v>7.3</v>
      </c>
      <c r="R28">
        <v>6.6</v>
      </c>
      <c r="S28">
        <v>6</v>
      </c>
      <c r="T28">
        <v>6</v>
      </c>
      <c r="U28">
        <v>5.9</v>
      </c>
      <c r="V28">
        <v>6.2</v>
      </c>
      <c r="W28">
        <v>6.5</v>
      </c>
      <c r="X28">
        <v>7.5</v>
      </c>
      <c r="Y28">
        <v>8.4</v>
      </c>
      <c r="Z28">
        <v>8.6999999999999993</v>
      </c>
      <c r="AA28">
        <v>19.899999999999999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21.4</v>
      </c>
      <c r="E29">
        <v>31.9</v>
      </c>
      <c r="H29">
        <v>26.4</v>
      </c>
      <c r="I29">
        <v>17.3</v>
      </c>
      <c r="J29">
        <v>7.5</v>
      </c>
      <c r="K29">
        <v>8.8000000000000007</v>
      </c>
      <c r="L29">
        <v>7.9</v>
      </c>
      <c r="M29">
        <v>10.1</v>
      </c>
      <c r="N29">
        <v>10</v>
      </c>
      <c r="O29">
        <v>12.1</v>
      </c>
      <c r="P29">
        <v>8.6999999999999993</v>
      </c>
      <c r="Q29">
        <v>9.9</v>
      </c>
      <c r="R29">
        <v>10</v>
      </c>
      <c r="S29">
        <v>13</v>
      </c>
      <c r="T29">
        <v>11.8</v>
      </c>
      <c r="U29">
        <v>11</v>
      </c>
      <c r="V29">
        <v>12.1</v>
      </c>
      <c r="W29">
        <v>12.3</v>
      </c>
      <c r="X29">
        <v>12.7</v>
      </c>
      <c r="Y29">
        <v>15.1</v>
      </c>
      <c r="Z29">
        <v>12.9</v>
      </c>
      <c r="AA29">
        <v>20.5</v>
      </c>
    </row>
    <row r="31" spans="1:27" x14ac:dyDescent="0.25">
      <c r="C31">
        <v>1</v>
      </c>
      <c r="D31">
        <f t="array" ref="D31">MEDIAN(IF($C$3:$C$29=$C31,D$3:D$29,""))</f>
        <v>24.5</v>
      </c>
      <c r="E31">
        <f t="array" ref="E31">MEDIAN(IF($C$3:$C$29=$C31,E$3:E$29,""))</f>
        <v>26.4</v>
      </c>
      <c r="F31">
        <f t="array" ref="F31">MEDIAN(IF($C$3:$C$29=$C31,F$3:F$29,""))</f>
        <v>0</v>
      </c>
      <c r="G31">
        <v>26</v>
      </c>
      <c r="H31">
        <f t="array" ref="H31">MEDIAN(IF($C$3:$C$29=$C31,H$3:H$29,""))</f>
        <v>24.7</v>
      </c>
      <c r="I31">
        <f t="array" ref="I31">MEDIAN(IF($C$3:$C$29=$C31,I$3:I$29,""))</f>
        <v>23.2</v>
      </c>
      <c r="J31">
        <f t="array" ref="J31">MEDIAN(IF($C$3:$C$29=$C31,J$3:J$29,""))</f>
        <v>23.35</v>
      </c>
      <c r="K31">
        <f t="array" ref="K31">MEDIAN(IF($C$3:$C$29=$C31,K$3:K$29,""))</f>
        <v>17</v>
      </c>
      <c r="L31">
        <f t="array" ref="L31">MEDIAN(IF($C$3:$C$29=$C31,L$3:L$29,""))</f>
        <v>17.149999999999999</v>
      </c>
      <c r="M31">
        <f t="array" ref="M31">MEDIAN(IF($C$3:$C$29=$C31,M$3:M$29,""))</f>
        <v>14.45</v>
      </c>
      <c r="N31">
        <f t="array" ref="N31">MEDIAN(IF($C$3:$C$29=$C31,N$3:N$29,""))</f>
        <v>15.75</v>
      </c>
      <c r="O31">
        <f t="array" ref="O31">MEDIAN(IF($C$3:$C$29=$C31,O$3:O$29,""))</f>
        <v>14.100000000000001</v>
      </c>
      <c r="P31">
        <f t="array" ref="P31">MEDIAN(IF($C$3:$C$29=$C31,P$3:P$29,""))</f>
        <v>11.1</v>
      </c>
      <c r="Q31">
        <f t="array" ref="Q31">MEDIAN(IF($C$3:$C$29=$C31,Q$3:Q$29,""))</f>
        <v>9.5</v>
      </c>
      <c r="R31">
        <f t="array" ref="R31">MEDIAN(IF($C$3:$C$29=$C31,R$3:R$29,""))</f>
        <v>17.649999999999999</v>
      </c>
      <c r="S31">
        <f t="array" ref="S31">MEDIAN(IF($C$3:$C$29=$C31,S$3:S$29,""))</f>
        <v>17.049999999999997</v>
      </c>
      <c r="T31">
        <f t="array" ref="T31">MEDIAN(IF($C$3:$C$29=$C31,T$3:T$29,""))</f>
        <v>13.6</v>
      </c>
      <c r="U31">
        <f t="array" ref="U31">MEDIAN(IF($C$3:$C$29=$C31,U$3:U$29,""))</f>
        <v>14.75</v>
      </c>
      <c r="V31">
        <f t="array" ref="V31">MEDIAN(IF($C$3:$C$29=$C31,V$3:V$29,""))</f>
        <v>13.850000000000001</v>
      </c>
      <c r="W31">
        <f t="array" ref="W31">MEDIAN(IF($C$3:$C$29=$C31,W$3:W$29,""))</f>
        <v>13.399999999999999</v>
      </c>
      <c r="X31">
        <f t="array" ref="X31">MEDIAN(IF($C$3:$C$29=$C31,X$3:X$29,""))</f>
        <v>13.95</v>
      </c>
      <c r="Y31">
        <f t="array" ref="Y31">MEDIAN(IF($C$3:$C$29=$C31,Y$3:Y$29,""))</f>
        <v>16.149999999999999</v>
      </c>
      <c r="Z31">
        <f t="array" ref="Z31">MEDIAN(IF($C$3:$C$29=$C31,Z$3:Z$29,""))</f>
        <v>15.85</v>
      </c>
      <c r="AA31">
        <f t="array" ref="AA31">MEDIAN(IF($C$3:$C$29=$C31,AA$3:AA$29,""))</f>
        <v>19.2</v>
      </c>
    </row>
    <row r="32" spans="1:27" x14ac:dyDescent="0.25">
      <c r="C32">
        <v>2</v>
      </c>
      <c r="D32">
        <f t="array" ref="D32">MEDIAN(IF($C$3:$C$29=$C32,D$3:D$29,""))</f>
        <v>18.5</v>
      </c>
      <c r="E32">
        <f t="array" ref="E32">MEDIAN(IF($C$3:$C$29=$C32,E$3:E$29,""))</f>
        <v>22.15</v>
      </c>
      <c r="F32">
        <f t="array" ref="F32">MEDIAN(IF($C$3:$C$29=$C32,F$3:F$29,""))</f>
        <v>0</v>
      </c>
      <c r="G32">
        <v>26</v>
      </c>
      <c r="H32">
        <f t="array" ref="H32">MEDIAN(IF($C$3:$C$29=$C32,H$3:H$29,""))</f>
        <v>26.049999999999997</v>
      </c>
      <c r="I32">
        <f t="array" ref="I32">MEDIAN(IF($C$3:$C$29=$C32,I$3:I$29,""))</f>
        <v>22.8</v>
      </c>
      <c r="J32">
        <f t="array" ref="J32">MEDIAN(IF($C$3:$C$29=$C32,J$3:J$29,""))</f>
        <v>17.75</v>
      </c>
      <c r="K32">
        <f t="array" ref="K32">MEDIAN(IF($C$3:$C$29=$C32,K$3:K$29,""))</f>
        <v>15.600000000000001</v>
      </c>
      <c r="L32">
        <f t="array" ref="L32">MEDIAN(IF($C$3:$C$29=$C32,L$3:L$29,""))</f>
        <v>8.5</v>
      </c>
      <c r="M32">
        <f t="array" ref="M32">MEDIAN(IF($C$3:$C$29=$C32,M$3:M$29,""))</f>
        <v>7.5</v>
      </c>
      <c r="N32">
        <f t="array" ref="N32">MEDIAN(IF($C$3:$C$29=$C32,N$3:N$29,""))</f>
        <v>10.3</v>
      </c>
      <c r="O32">
        <f t="array" ref="O32">MEDIAN(IF($C$3:$C$29=$C32,O$3:O$29,""))</f>
        <v>10.350000000000001</v>
      </c>
      <c r="P32">
        <f t="array" ref="P32">MEDIAN(IF($C$3:$C$29=$C32,P$3:P$29,""))</f>
        <v>12.100000000000001</v>
      </c>
      <c r="Q32">
        <f t="array" ref="Q32">MEDIAN(IF($C$3:$C$29=$C32,Q$3:Q$29,""))</f>
        <v>13.3</v>
      </c>
      <c r="R32">
        <f t="array" ref="R32">MEDIAN(IF($C$3:$C$29=$C32,R$3:R$29,""))</f>
        <v>13.3</v>
      </c>
      <c r="S32">
        <f t="array" ref="S32">MEDIAN(IF($C$3:$C$29=$C32,S$3:S$29,""))</f>
        <v>12.350000000000001</v>
      </c>
      <c r="T32">
        <f t="array" ref="T32">MEDIAN(IF($C$3:$C$29=$C32,T$3:T$29,""))</f>
        <v>14.65</v>
      </c>
      <c r="U32">
        <f t="array" ref="U32">MEDIAN(IF($C$3:$C$29=$C32,U$3:U$29,""))</f>
        <v>12.95</v>
      </c>
      <c r="V32">
        <f t="array" ref="V32">MEDIAN(IF($C$3:$C$29=$C32,V$3:V$29,""))</f>
        <v>12.100000000000001</v>
      </c>
      <c r="W32">
        <f t="array" ref="W32">MEDIAN(IF($C$3:$C$29=$C32,W$3:W$29,""))</f>
        <v>16.05</v>
      </c>
      <c r="X32">
        <f t="array" ref="X32">MEDIAN(IF($C$3:$C$29=$C32,X$3:X$29,""))</f>
        <v>12.2</v>
      </c>
      <c r="Y32">
        <f t="array" ref="Y32">MEDIAN(IF($C$3:$C$29=$C32,Y$3:Y$29,""))</f>
        <v>15.05</v>
      </c>
      <c r="Z32">
        <f t="array" ref="Z32">MEDIAN(IF($C$3:$C$29=$C32,Z$3:Z$29,""))</f>
        <v>16.3</v>
      </c>
      <c r="AA32">
        <f t="array" ref="AA32">MEDIAN(IF($C$3:$C$29=$C32,AA$3:AA$29,""))</f>
        <v>19.2</v>
      </c>
    </row>
    <row r="33" spans="3:27" x14ac:dyDescent="0.25">
      <c r="C33">
        <v>3</v>
      </c>
      <c r="D33">
        <f t="array" ref="D33">MEDIAN(IF($C$3:$C$29=$C33,D$3:D$29,""))</f>
        <v>24.8</v>
      </c>
      <c r="E33">
        <f t="array" ref="E33">MEDIAN(IF($C$3:$C$29=$C33,E$3:E$29,""))</f>
        <v>24.549999999999997</v>
      </c>
      <c r="F33">
        <f t="array" ref="F33">MEDIAN(IF($C$3:$C$29=$C33,F$3:F$29,""))</f>
        <v>0</v>
      </c>
      <c r="G33">
        <v>26</v>
      </c>
      <c r="H33">
        <f t="array" ref="H33">MEDIAN(IF($C$3:$C$29=$C33,H$3:H$29,""))</f>
        <v>22.25</v>
      </c>
      <c r="I33">
        <f t="array" ref="I33">MEDIAN(IF($C$3:$C$29=$C33,I$3:I$29,""))</f>
        <v>17</v>
      </c>
      <c r="J33">
        <f t="array" ref="J33">MEDIAN(IF($C$3:$C$29=$C33,J$3:J$29,""))</f>
        <v>9.25</v>
      </c>
      <c r="K33">
        <f t="array" ref="K33">MEDIAN(IF($C$3:$C$29=$C33,K$3:K$29,""))</f>
        <v>8.85</v>
      </c>
      <c r="L33">
        <f t="array" ref="L33">MEDIAN(IF($C$3:$C$29=$C33,L$3:L$29,""))</f>
        <v>7.45</v>
      </c>
      <c r="M33">
        <f t="array" ref="M33">MEDIAN(IF($C$3:$C$29=$C33,M$3:M$29,""))</f>
        <v>9.9499999999999993</v>
      </c>
      <c r="N33">
        <f t="array" ref="N33">MEDIAN(IF($C$3:$C$29=$C33,N$3:N$29,""))</f>
        <v>13.149999999999999</v>
      </c>
      <c r="O33">
        <f t="array" ref="O33">MEDIAN(IF($C$3:$C$29=$C33,O$3:O$29,""))</f>
        <v>12.4</v>
      </c>
      <c r="P33">
        <f t="array" ref="P33">MEDIAN(IF($C$3:$C$29=$C33,P$3:P$29,""))</f>
        <v>12.15</v>
      </c>
      <c r="Q33">
        <f t="array" ref="Q33">MEDIAN(IF($C$3:$C$29=$C33,Q$3:Q$29,""))</f>
        <v>12.149999999999999</v>
      </c>
      <c r="R33">
        <f t="array" ref="R33">MEDIAN(IF($C$3:$C$29=$C33,R$3:R$29,""))</f>
        <v>12.4</v>
      </c>
      <c r="S33">
        <f t="array" ref="S33">MEDIAN(IF($C$3:$C$29=$C33,S$3:S$29,""))</f>
        <v>14.65</v>
      </c>
      <c r="T33">
        <f t="array" ref="T33">MEDIAN(IF($C$3:$C$29=$C33,T$3:T$29,""))</f>
        <v>11.55</v>
      </c>
      <c r="U33">
        <f t="array" ref="U33">MEDIAN(IF($C$3:$C$29=$C33,U$3:U$29,""))</f>
        <v>9.8000000000000007</v>
      </c>
      <c r="V33">
        <f t="array" ref="V33">MEDIAN(IF($C$3:$C$29=$C33,V$3:V$29,""))</f>
        <v>10.3</v>
      </c>
      <c r="W33">
        <f t="array" ref="W33">MEDIAN(IF($C$3:$C$29=$C33,W$3:W$29,""))</f>
        <v>12.25</v>
      </c>
      <c r="X33">
        <f t="array" ref="X33">MEDIAN(IF($C$3:$C$29=$C33,X$3:X$29,""))</f>
        <v>14.8</v>
      </c>
      <c r="Y33">
        <f t="array" ref="Y33">MEDIAN(IF($C$3:$C$29=$C33,Y$3:Y$29,""))</f>
        <v>16.100000000000001</v>
      </c>
      <c r="Z33">
        <f t="array" ref="Z33">MEDIAN(IF($C$3:$C$29=$C33,Z$3:Z$29,""))</f>
        <v>19.350000000000001</v>
      </c>
      <c r="AA33">
        <f t="array" ref="AA33">MEDIAN(IF($C$3:$C$29=$C33,AA$3:AA$29,""))</f>
        <v>18.25</v>
      </c>
    </row>
    <row r="34" spans="3:27" x14ac:dyDescent="0.25">
      <c r="C34">
        <v>4</v>
      </c>
      <c r="D34">
        <f t="array" ref="D34">MEDIAN(IF($C$3:$C$29=$C34,D$3:D$29,""))</f>
        <v>22.6</v>
      </c>
      <c r="E34">
        <f t="array" ref="E34">MEDIAN(IF($C$3:$C$29=$C34,E$3:E$29,""))</f>
        <v>24.85</v>
      </c>
      <c r="F34">
        <f t="array" ref="F34">MEDIAN(IF($C$3:$C$29=$C34,F$3:F$29,""))</f>
        <v>0</v>
      </c>
      <c r="G34">
        <v>26</v>
      </c>
      <c r="H34">
        <f t="array" ref="H34">MEDIAN(IF($C$3:$C$29=$C34,H$3:H$29,""))</f>
        <v>26.25</v>
      </c>
      <c r="I34">
        <f t="array" ref="I34">MEDIAN(IF($C$3:$C$29=$C34,I$3:I$29,""))</f>
        <v>16.75</v>
      </c>
      <c r="J34">
        <f t="array" ref="J34">MEDIAN(IF($C$3:$C$29=$C34,J$3:J$29,""))</f>
        <v>9.3500000000000014</v>
      </c>
      <c r="K34">
        <f t="array" ref="K34">MEDIAN(IF($C$3:$C$29=$C34,K$3:K$29,""))</f>
        <v>8.35</v>
      </c>
      <c r="L34">
        <f t="array" ref="L34">MEDIAN(IF($C$3:$C$29=$C34,L$3:L$29,""))</f>
        <v>7.2</v>
      </c>
      <c r="M34">
        <f t="array" ref="M34">MEDIAN(IF($C$3:$C$29=$C34,M$3:M$29,""))</f>
        <v>11.35</v>
      </c>
      <c r="N34">
        <f t="array" ref="N34">MEDIAN(IF($C$3:$C$29=$C34,N$3:N$29,""))</f>
        <v>12</v>
      </c>
      <c r="O34">
        <f t="array" ref="O34">MEDIAN(IF($C$3:$C$29=$C34,O$3:O$29,""))</f>
        <v>13.5</v>
      </c>
      <c r="P34">
        <f t="array" ref="P34">MEDIAN(IF($C$3:$C$29=$C34,P$3:P$29,""))</f>
        <v>12.100000000000001</v>
      </c>
      <c r="Q34">
        <f t="array" ref="Q34">MEDIAN(IF($C$3:$C$29=$C34,Q$3:Q$29,""))</f>
        <v>12.2</v>
      </c>
      <c r="R34">
        <f t="array" ref="R34">MEDIAN(IF($C$3:$C$29=$C34,R$3:R$29,""))</f>
        <v>12.35</v>
      </c>
      <c r="S34">
        <f t="array" ref="S34">MEDIAN(IF($C$3:$C$29=$C34,S$3:S$29,""))</f>
        <v>13.15</v>
      </c>
      <c r="T34">
        <f t="array" ref="T34">MEDIAN(IF($C$3:$C$29=$C34,T$3:T$29,""))</f>
        <v>11.2</v>
      </c>
      <c r="U34">
        <f t="array" ref="U34">MEDIAN(IF($C$3:$C$29=$C34,U$3:U$29,""))</f>
        <v>10.3</v>
      </c>
      <c r="V34">
        <f t="array" ref="V34">MEDIAN(IF($C$3:$C$29=$C34,V$3:V$29,""))</f>
        <v>9.65</v>
      </c>
      <c r="W34">
        <f t="array" ref="W34">MEDIAN(IF($C$3:$C$29=$C34,W$3:W$29,""))</f>
        <v>10.45</v>
      </c>
      <c r="X34">
        <f t="array" ref="X34">MEDIAN(IF($C$3:$C$29=$C34,X$3:X$29,""))</f>
        <v>12.05</v>
      </c>
      <c r="Y34">
        <f t="array" ref="Y34">MEDIAN(IF($C$3:$C$29=$C34,Y$3:Y$29,""))</f>
        <v>15.95</v>
      </c>
      <c r="Z34">
        <f t="array" ref="Z34">MEDIAN(IF($C$3:$C$29=$C34,Z$3:Z$29,""))</f>
        <v>16.350000000000001</v>
      </c>
      <c r="AA34">
        <f t="array" ref="AA34">MEDIAN(IF($C$3:$C$29=$C34,AA$3:AA$29,""))</f>
        <v>16.75</v>
      </c>
    </row>
    <row r="35" spans="3:27" x14ac:dyDescent="0.25">
      <c r="C35">
        <v>5</v>
      </c>
      <c r="D35">
        <f t="array" ref="D35">MEDIAN(IF($C$3:$C$29=$C35,D$3:D$29,""))</f>
        <v>23.35</v>
      </c>
      <c r="E35">
        <f t="array" ref="E35">MEDIAN(IF($C$3:$C$29=$C35,E$3:E$29,""))</f>
        <v>26.7</v>
      </c>
      <c r="F35">
        <f t="array" ref="F35">MEDIAN(IF($C$3:$C$29=$C35,F$3:F$29,""))</f>
        <v>0</v>
      </c>
      <c r="G35">
        <v>26</v>
      </c>
      <c r="H35">
        <f t="array" ref="H35">MEDIAN(IF($C$3:$C$29=$C35,H$3:H$29,""))</f>
        <v>24.75</v>
      </c>
      <c r="I35">
        <f t="array" ref="I35">MEDIAN(IF($C$3:$C$29=$C35,I$3:I$29,""))</f>
        <v>17.3</v>
      </c>
      <c r="J35">
        <f t="array" ref="J35">MEDIAN(IF($C$3:$C$29=$C35,J$3:J$29,""))</f>
        <v>8.1999999999999993</v>
      </c>
      <c r="K35">
        <f t="array" ref="K35">MEDIAN(IF($C$3:$C$29=$C35,K$3:K$29,""))</f>
        <v>8.5500000000000007</v>
      </c>
      <c r="L35">
        <f t="array" ref="L35">MEDIAN(IF($C$3:$C$29=$C35,L$3:L$29,""))</f>
        <v>7.1</v>
      </c>
      <c r="M35">
        <f t="array" ref="M35">MEDIAN(IF($C$3:$C$29=$C35,M$3:M$29,""))</f>
        <v>8.9</v>
      </c>
      <c r="N35">
        <f t="array" ref="N35">MEDIAN(IF($C$3:$C$29=$C35,N$3:N$29,""))</f>
        <v>10.45</v>
      </c>
      <c r="O35">
        <f t="array" ref="O35">MEDIAN(IF($C$3:$C$29=$C35,O$3:O$29,""))</f>
        <v>11.5</v>
      </c>
      <c r="P35">
        <f t="array" ref="P35">MEDIAN(IF($C$3:$C$29=$C35,P$3:P$29,""))</f>
        <v>11.3</v>
      </c>
      <c r="Q35">
        <f t="array" ref="Q35">MEDIAN(IF($C$3:$C$29=$C35,Q$3:Q$29,""))</f>
        <v>10.199999999999999</v>
      </c>
      <c r="R35">
        <f t="array" ref="R35">MEDIAN(IF($C$3:$C$29=$C35,R$3:R$29,""))</f>
        <v>10.9</v>
      </c>
      <c r="S35">
        <f t="array" ref="S35">MEDIAN(IF($C$3:$C$29=$C35,S$3:S$29,""))</f>
        <v>13.45</v>
      </c>
      <c r="T35">
        <f t="array" ref="T35">MEDIAN(IF($C$3:$C$29=$C35,T$3:T$29,""))</f>
        <v>11</v>
      </c>
      <c r="U35">
        <f t="array" ref="U35">MEDIAN(IF($C$3:$C$29=$C35,U$3:U$29,""))</f>
        <v>10.5</v>
      </c>
      <c r="V35">
        <f t="array" ref="V35">MEDIAN(IF($C$3:$C$29=$C35,V$3:V$29,""))</f>
        <v>10.850000000000001</v>
      </c>
      <c r="W35">
        <f t="array" ref="W35">MEDIAN(IF($C$3:$C$29=$C35,W$3:W$29,""))</f>
        <v>11.2</v>
      </c>
      <c r="X35">
        <f t="array" ref="X35">MEDIAN(IF($C$3:$C$29=$C35,X$3:X$29,""))</f>
        <v>12.649999999999999</v>
      </c>
      <c r="Y35">
        <f t="array" ref="Y35">MEDIAN(IF($C$3:$C$29=$C35,Y$3:Y$29,""))</f>
        <v>15.149999999999999</v>
      </c>
      <c r="Z35">
        <f t="array" ref="Z35">MEDIAN(IF($C$3:$C$29=$C35,Z$3:Z$29,""))</f>
        <v>15</v>
      </c>
      <c r="AA35">
        <f t="array" ref="AA35">MEDIAN(IF($C$3:$C$29=$C35,AA$3:AA$29,""))</f>
        <v>18.350000000000001</v>
      </c>
    </row>
    <row r="36" spans="3:27" x14ac:dyDescent="0.25">
      <c r="C36">
        <v>6</v>
      </c>
      <c r="D36">
        <f t="array" ref="D36">MEDIAN(IF($C$3:$C$29=$C36,D$3:D$29,""))</f>
        <v>21.3</v>
      </c>
      <c r="E36">
        <f t="array" ref="E36">MEDIAN(IF($C$3:$C$29=$C36,E$3:E$29,""))</f>
        <v>25.2</v>
      </c>
      <c r="F36">
        <f t="array" ref="F36">MEDIAN(IF($C$3:$C$29=$C36,F$3:F$29,""))</f>
        <v>0</v>
      </c>
      <c r="G36">
        <v>26</v>
      </c>
      <c r="H36">
        <f t="array" ref="H36">MEDIAN(IF($C$3:$C$29=$C36,H$3:H$29,""))</f>
        <v>20.2</v>
      </c>
      <c r="I36">
        <f t="array" ref="I36">MEDIAN(IF($C$3:$C$29=$C36,I$3:I$29,""))</f>
        <v>13.9</v>
      </c>
      <c r="J36">
        <f t="array" ref="J36">MEDIAN(IF($C$3:$C$29=$C36,J$3:J$29,""))</f>
        <v>11.1</v>
      </c>
      <c r="K36">
        <f t="array" ref="K36">MEDIAN(IF($C$3:$C$29=$C36,K$3:K$29,""))</f>
        <v>10</v>
      </c>
      <c r="L36">
        <f t="array" ref="L36">MEDIAN(IF($C$3:$C$29=$C36,L$3:L$29,""))</f>
        <v>7.8</v>
      </c>
      <c r="M36">
        <f t="array" ref="M36">MEDIAN(IF($C$3:$C$29=$C36,M$3:M$29,""))</f>
        <v>11.7</v>
      </c>
      <c r="N36">
        <f t="array" ref="N36">MEDIAN(IF($C$3:$C$29=$C36,N$3:N$29,""))</f>
        <v>11.9</v>
      </c>
      <c r="O36">
        <f t="array" ref="O36">MEDIAN(IF($C$3:$C$29=$C36,O$3:O$29,""))</f>
        <v>12.9</v>
      </c>
      <c r="P36">
        <f t="array" ref="P36">MEDIAN(IF($C$3:$C$29=$C36,P$3:P$29,""))</f>
        <v>12.1</v>
      </c>
      <c r="Q36">
        <f t="array" ref="Q36">MEDIAN(IF($C$3:$C$29=$C36,Q$3:Q$29,""))</f>
        <v>11.2</v>
      </c>
      <c r="R36">
        <f t="array" ref="R36">MEDIAN(IF($C$3:$C$29=$C36,R$3:R$29,""))</f>
        <v>11.8</v>
      </c>
      <c r="S36">
        <f t="array" ref="S36">MEDIAN(IF($C$3:$C$29=$C36,S$3:S$29,""))</f>
        <v>12.8</v>
      </c>
      <c r="T36">
        <f t="array" ref="T36">MEDIAN(IF($C$3:$C$29=$C36,T$3:T$29,""))</f>
        <v>11</v>
      </c>
      <c r="U36">
        <f t="array" ref="U36">MEDIAN(IF($C$3:$C$29=$C36,U$3:U$29,""))</f>
        <v>10.7</v>
      </c>
      <c r="V36">
        <f t="array" ref="V36">MEDIAN(IF($C$3:$C$29=$C36,V$3:V$29,""))</f>
        <v>10</v>
      </c>
      <c r="W36">
        <f t="array" ref="W36">MEDIAN(IF($C$3:$C$29=$C36,W$3:W$29,""))</f>
        <v>10.9</v>
      </c>
      <c r="X36">
        <f t="array" ref="X36">MEDIAN(IF($C$3:$C$29=$C36,X$3:X$29,""))</f>
        <v>12.9</v>
      </c>
      <c r="Y36">
        <f t="array" ref="Y36">MEDIAN(IF($C$3:$C$29=$C36,Y$3:Y$29,""))</f>
        <v>14.7</v>
      </c>
      <c r="Z36">
        <f t="array" ref="Z36">MEDIAN(IF($C$3:$C$29=$C36,Z$3:Z$29,""))</f>
        <v>17.5</v>
      </c>
      <c r="AA36">
        <f t="array" ref="AA36">MEDIAN(IF($C$3:$C$29=$C36,AA$3:AA$29,""))</f>
        <v>21.4</v>
      </c>
    </row>
    <row r="37" spans="3:27" x14ac:dyDescent="0.25">
      <c r="C37">
        <v>7</v>
      </c>
      <c r="D37">
        <f t="array" ref="D37">MEDIAN(IF($C$3:$C$29=$C37,D$3:D$29,""))</f>
        <v>23.5</v>
      </c>
      <c r="E37">
        <f t="array" ref="E37">MEDIAN(IF($C$3:$C$29=$C37,E$3:E$29,""))</f>
        <v>23.7</v>
      </c>
      <c r="F37">
        <f t="array" ref="F37">MEDIAN(IF($C$3:$C$29=$C37,F$3:F$29,""))</f>
        <v>0</v>
      </c>
      <c r="G37">
        <v>26</v>
      </c>
      <c r="H37">
        <f t="array" ref="H37">MEDIAN(IF($C$3:$C$29=$C37,H$3:H$29,""))</f>
        <v>20.3</v>
      </c>
      <c r="I37">
        <f t="array" ref="I37">MEDIAN(IF($C$3:$C$29=$C37,I$3:I$29,""))</f>
        <v>13.95</v>
      </c>
      <c r="J37">
        <f t="array" ref="J37">MEDIAN(IF($C$3:$C$29=$C37,J$3:J$29,""))</f>
        <v>9.8500000000000014</v>
      </c>
      <c r="K37">
        <f t="array" ref="K37">MEDIAN(IF($C$3:$C$29=$C37,K$3:K$29,""))</f>
        <v>6.1</v>
      </c>
      <c r="L37">
        <f t="array" ref="L37">MEDIAN(IF($C$3:$C$29=$C37,L$3:L$29,""))</f>
        <v>6.45</v>
      </c>
      <c r="M37">
        <f t="array" ref="M37">MEDIAN(IF($C$3:$C$29=$C37,M$3:M$29,""))</f>
        <v>9.25</v>
      </c>
      <c r="N37">
        <f t="array" ref="N37">MEDIAN(IF($C$3:$C$29=$C37,N$3:N$29,""))</f>
        <v>10.65</v>
      </c>
      <c r="O37">
        <f t="array" ref="O37">MEDIAN(IF($C$3:$C$29=$C37,O$3:O$29,""))</f>
        <v>11.7</v>
      </c>
      <c r="P37">
        <f t="array" ref="P37">MEDIAN(IF($C$3:$C$29=$C37,P$3:P$29,""))</f>
        <v>11.25</v>
      </c>
      <c r="Q37">
        <f t="array" ref="Q37">MEDIAN(IF($C$3:$C$29=$C37,Q$3:Q$29,""))</f>
        <v>9.5500000000000007</v>
      </c>
      <c r="R37">
        <f t="array" ref="R37">MEDIAN(IF($C$3:$C$29=$C37,R$3:R$29,""))</f>
        <v>11.3</v>
      </c>
      <c r="S37">
        <f t="array" ref="S37">MEDIAN(IF($C$3:$C$29=$C37,S$3:S$29,""))</f>
        <v>11.85</v>
      </c>
      <c r="T37">
        <f t="array" ref="T37">MEDIAN(IF($C$3:$C$29=$C37,T$3:T$29,""))</f>
        <v>9.6000000000000014</v>
      </c>
      <c r="U37">
        <f t="array" ref="U37">MEDIAN(IF($C$3:$C$29=$C37,U$3:U$29,""))</f>
        <v>9.4</v>
      </c>
      <c r="V37">
        <f t="array" ref="V37">MEDIAN(IF($C$3:$C$29=$C37,V$3:V$29,""))</f>
        <v>10.45</v>
      </c>
      <c r="W37">
        <f t="array" ref="W37">MEDIAN(IF($C$3:$C$29=$C37,W$3:W$29,""))</f>
        <v>9.1</v>
      </c>
      <c r="X37">
        <f t="array" ref="X37">MEDIAN(IF($C$3:$C$29=$C37,X$3:X$29,""))</f>
        <v>13.2</v>
      </c>
      <c r="Y37">
        <f t="array" ref="Y37">MEDIAN(IF($C$3:$C$29=$C37,Y$3:Y$29,""))</f>
        <v>13.600000000000001</v>
      </c>
      <c r="Z37">
        <f t="array" ref="Z37">MEDIAN(IF($C$3:$C$29=$C37,Z$3:Z$29,""))</f>
        <v>16.200000000000003</v>
      </c>
      <c r="AA37">
        <f t="array" ref="AA37">MEDIAN(IF($C$3:$C$29=$C37,AA$3:AA$29,""))</f>
        <v>21.45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AA37"/>
  <sheetViews>
    <sheetView workbookViewId="0">
      <selection activeCell="G31" sqref="G31:G37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27.2</v>
      </c>
      <c r="E3">
        <v>32</v>
      </c>
      <c r="H3">
        <v>22.2</v>
      </c>
      <c r="I3">
        <v>17.100000000000001</v>
      </c>
      <c r="J3">
        <v>13.6</v>
      </c>
      <c r="K3">
        <v>6.5</v>
      </c>
      <c r="L3">
        <v>7.5</v>
      </c>
      <c r="M3">
        <v>7.3</v>
      </c>
      <c r="N3">
        <v>13.6</v>
      </c>
      <c r="O3">
        <v>12.7</v>
      </c>
      <c r="P3">
        <v>14.5</v>
      </c>
      <c r="Q3">
        <v>12.7</v>
      </c>
      <c r="R3">
        <v>13</v>
      </c>
      <c r="S3">
        <v>13.3</v>
      </c>
      <c r="T3">
        <v>12.7</v>
      </c>
      <c r="U3">
        <v>12.8</v>
      </c>
      <c r="V3">
        <v>10.5</v>
      </c>
      <c r="W3">
        <v>12.5</v>
      </c>
      <c r="X3">
        <v>15.2</v>
      </c>
      <c r="Y3">
        <v>14.9</v>
      </c>
      <c r="Z3">
        <v>19.2</v>
      </c>
      <c r="AA3">
        <v>23.6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19.7</v>
      </c>
      <c r="E4">
        <v>19</v>
      </c>
      <c r="H4">
        <v>24.8</v>
      </c>
      <c r="I4">
        <v>26.5</v>
      </c>
      <c r="J4">
        <v>24.8</v>
      </c>
      <c r="K4">
        <v>17.600000000000001</v>
      </c>
      <c r="L4">
        <v>10.6</v>
      </c>
      <c r="M4">
        <v>9.6999999999999993</v>
      </c>
      <c r="N4">
        <v>11.9</v>
      </c>
      <c r="O4">
        <v>15.1</v>
      </c>
      <c r="P4">
        <v>13.2</v>
      </c>
      <c r="Q4">
        <v>14.6</v>
      </c>
      <c r="R4">
        <v>15.6</v>
      </c>
      <c r="S4">
        <v>15.2</v>
      </c>
      <c r="T4">
        <v>15.7</v>
      </c>
      <c r="U4">
        <v>15.9</v>
      </c>
      <c r="V4">
        <v>15.8</v>
      </c>
      <c r="W4">
        <v>17.600000000000001</v>
      </c>
      <c r="X4">
        <v>15.4</v>
      </c>
      <c r="Y4">
        <v>20.7</v>
      </c>
      <c r="Z4">
        <v>18.3</v>
      </c>
      <c r="AA4">
        <v>18.8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26.1</v>
      </c>
      <c r="E5">
        <v>31.9</v>
      </c>
      <c r="F5">
        <v>23.1</v>
      </c>
      <c r="H5">
        <v>25.4</v>
      </c>
      <c r="I5">
        <v>24.6</v>
      </c>
      <c r="J5">
        <v>25.2</v>
      </c>
      <c r="K5">
        <v>20.100000000000001</v>
      </c>
      <c r="L5">
        <v>22</v>
      </c>
      <c r="M5">
        <v>19.100000000000001</v>
      </c>
      <c r="N5">
        <v>12.2</v>
      </c>
      <c r="O5">
        <v>14.5</v>
      </c>
      <c r="P5">
        <v>16.600000000000001</v>
      </c>
      <c r="Q5">
        <v>10.8</v>
      </c>
      <c r="R5">
        <v>18</v>
      </c>
      <c r="S5">
        <v>18.2</v>
      </c>
      <c r="T5">
        <v>16.399999999999999</v>
      </c>
      <c r="U5">
        <v>18.5</v>
      </c>
      <c r="V5">
        <v>15.1</v>
      </c>
      <c r="W5">
        <v>18</v>
      </c>
      <c r="X5">
        <v>15</v>
      </c>
      <c r="Y5">
        <v>15.8</v>
      </c>
      <c r="Z5">
        <v>17.5</v>
      </c>
      <c r="AA5">
        <v>14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23</v>
      </c>
      <c r="E6">
        <v>38.799999999999997</v>
      </c>
      <c r="H6">
        <v>16.399999999999999</v>
      </c>
      <c r="I6">
        <v>17.7</v>
      </c>
      <c r="J6">
        <v>10.4</v>
      </c>
      <c r="K6">
        <v>10.1</v>
      </c>
      <c r="L6">
        <v>8.8000000000000007</v>
      </c>
      <c r="M6">
        <v>10.8</v>
      </c>
      <c r="N6">
        <v>16.600000000000001</v>
      </c>
      <c r="O6">
        <v>14.4</v>
      </c>
      <c r="P6">
        <v>15.2</v>
      </c>
      <c r="Q6">
        <v>13.2</v>
      </c>
      <c r="R6">
        <v>15.9</v>
      </c>
      <c r="S6">
        <v>16.3</v>
      </c>
      <c r="T6">
        <v>12.9</v>
      </c>
      <c r="U6">
        <v>12.1</v>
      </c>
      <c r="V6">
        <v>11.9</v>
      </c>
      <c r="W6">
        <v>14.7</v>
      </c>
      <c r="X6">
        <v>17.600000000000001</v>
      </c>
      <c r="Y6">
        <v>20.3</v>
      </c>
      <c r="Z6">
        <v>22.6</v>
      </c>
      <c r="AA6">
        <v>19.399999999999999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19.3</v>
      </c>
      <c r="E7">
        <v>31.7</v>
      </c>
      <c r="H7">
        <v>27.5</v>
      </c>
      <c r="I7">
        <v>17.899999999999999</v>
      </c>
      <c r="J7">
        <v>11.3</v>
      </c>
      <c r="K7">
        <v>8.9</v>
      </c>
      <c r="L7">
        <v>16.3</v>
      </c>
      <c r="M7">
        <v>13.7</v>
      </c>
      <c r="N7">
        <v>15</v>
      </c>
      <c r="O7">
        <v>16</v>
      </c>
      <c r="P7">
        <v>17.3</v>
      </c>
      <c r="Q7">
        <v>14.2</v>
      </c>
      <c r="R7">
        <v>12.8</v>
      </c>
      <c r="S7">
        <v>16</v>
      </c>
      <c r="T7">
        <v>12.5</v>
      </c>
      <c r="U7">
        <v>15.3</v>
      </c>
      <c r="V7">
        <v>13.5</v>
      </c>
      <c r="W7">
        <v>13</v>
      </c>
      <c r="X7">
        <v>18.2</v>
      </c>
      <c r="Y7">
        <v>17.3</v>
      </c>
      <c r="Z7">
        <v>19.600000000000001</v>
      </c>
      <c r="AA7">
        <v>18.100000000000001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30.4</v>
      </c>
      <c r="E8">
        <v>30.5</v>
      </c>
      <c r="H8">
        <v>24.7</v>
      </c>
      <c r="I8">
        <v>19.100000000000001</v>
      </c>
      <c r="J8">
        <v>10.1</v>
      </c>
      <c r="K8">
        <v>9.9</v>
      </c>
      <c r="L8">
        <v>6.7</v>
      </c>
      <c r="M8">
        <v>4.5999999999999996</v>
      </c>
      <c r="N8">
        <v>7.2</v>
      </c>
      <c r="O8">
        <v>9.6</v>
      </c>
      <c r="P8">
        <v>13.7</v>
      </c>
      <c r="Q8">
        <v>12.3</v>
      </c>
      <c r="R8">
        <v>9.1999999999999993</v>
      </c>
      <c r="S8">
        <v>12.6</v>
      </c>
      <c r="T8">
        <v>12.8</v>
      </c>
      <c r="U8">
        <v>15</v>
      </c>
      <c r="V8">
        <v>13.4</v>
      </c>
      <c r="W8">
        <v>14.2</v>
      </c>
      <c r="X8">
        <v>15.4</v>
      </c>
      <c r="Y8">
        <v>17.7</v>
      </c>
      <c r="Z8">
        <v>18.8</v>
      </c>
      <c r="AA8">
        <v>23.6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29.6</v>
      </c>
      <c r="E9">
        <v>32.700000000000003</v>
      </c>
      <c r="H9">
        <v>20.7</v>
      </c>
      <c r="I9">
        <v>17.7</v>
      </c>
      <c r="J9">
        <v>10.3</v>
      </c>
      <c r="K9">
        <v>8.4</v>
      </c>
      <c r="L9">
        <v>8.9</v>
      </c>
      <c r="M9">
        <v>15.5</v>
      </c>
      <c r="N9">
        <v>14.2</v>
      </c>
      <c r="O9">
        <v>13.1</v>
      </c>
      <c r="P9">
        <v>13.5</v>
      </c>
      <c r="Q9">
        <v>14.1</v>
      </c>
      <c r="R9">
        <v>13.1</v>
      </c>
      <c r="S9">
        <v>14.6</v>
      </c>
      <c r="T9">
        <v>12.8</v>
      </c>
      <c r="U9">
        <v>13.3</v>
      </c>
      <c r="V9">
        <v>11.5</v>
      </c>
      <c r="W9">
        <v>13.7</v>
      </c>
      <c r="X9">
        <v>13.3</v>
      </c>
      <c r="Y9">
        <v>18.7</v>
      </c>
      <c r="Z9">
        <v>17.8</v>
      </c>
      <c r="AA9">
        <v>23.9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27</v>
      </c>
      <c r="E10">
        <v>22.9</v>
      </c>
      <c r="H10">
        <v>21.5</v>
      </c>
      <c r="I10">
        <v>17.399999999999999</v>
      </c>
      <c r="J10">
        <v>13.5</v>
      </c>
      <c r="K10">
        <v>5.7</v>
      </c>
      <c r="L10">
        <v>9.1999999999999993</v>
      </c>
      <c r="M10">
        <v>11.3</v>
      </c>
      <c r="N10">
        <v>9.4</v>
      </c>
      <c r="O10">
        <v>11.4</v>
      </c>
      <c r="P10">
        <v>13.9</v>
      </c>
      <c r="Q10">
        <v>9.1</v>
      </c>
      <c r="R10">
        <v>15.7</v>
      </c>
      <c r="S10">
        <v>12.4</v>
      </c>
      <c r="T10">
        <v>12.7</v>
      </c>
      <c r="U10">
        <v>13.7</v>
      </c>
      <c r="V10">
        <v>15.4</v>
      </c>
      <c r="W10">
        <v>11.4</v>
      </c>
      <c r="X10">
        <v>14.9</v>
      </c>
      <c r="Y10">
        <v>15.5</v>
      </c>
      <c r="Z10">
        <v>16.5</v>
      </c>
      <c r="AA10">
        <v>23.9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27.4</v>
      </c>
      <c r="E11">
        <v>25.7</v>
      </c>
      <c r="H11">
        <v>28.3</v>
      </c>
      <c r="I11">
        <v>25.2</v>
      </c>
      <c r="J11">
        <v>20.2</v>
      </c>
      <c r="K11">
        <v>14.6</v>
      </c>
      <c r="L11">
        <v>9</v>
      </c>
      <c r="M11">
        <v>8.8000000000000007</v>
      </c>
      <c r="N11">
        <v>11.5</v>
      </c>
      <c r="O11">
        <v>10.3</v>
      </c>
      <c r="P11">
        <v>10.7</v>
      </c>
      <c r="Q11">
        <v>12.2</v>
      </c>
      <c r="R11">
        <v>13.9</v>
      </c>
      <c r="S11">
        <v>16.5</v>
      </c>
      <c r="T11">
        <v>15.3</v>
      </c>
      <c r="U11">
        <v>15</v>
      </c>
      <c r="V11">
        <v>14.7</v>
      </c>
      <c r="W11">
        <v>12.2</v>
      </c>
      <c r="X11">
        <v>13.8</v>
      </c>
      <c r="Y11">
        <v>17.399999999999999</v>
      </c>
      <c r="Z11">
        <v>19.399999999999999</v>
      </c>
      <c r="AA11">
        <v>18.899999999999999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25.2</v>
      </c>
      <c r="E12">
        <v>30.2</v>
      </c>
      <c r="H12">
        <v>26.4</v>
      </c>
      <c r="I12">
        <v>30.7</v>
      </c>
      <c r="J12">
        <v>26.7</v>
      </c>
      <c r="K12">
        <v>20.100000000000001</v>
      </c>
      <c r="L12">
        <v>20.5</v>
      </c>
      <c r="M12">
        <v>15.3</v>
      </c>
      <c r="N12">
        <v>17.100000000000001</v>
      </c>
      <c r="O12">
        <v>15.9</v>
      </c>
      <c r="P12">
        <v>12.9</v>
      </c>
      <c r="Q12">
        <v>14</v>
      </c>
      <c r="R12">
        <v>15.4</v>
      </c>
      <c r="S12">
        <v>18.899999999999999</v>
      </c>
      <c r="T12">
        <v>16.3</v>
      </c>
      <c r="U12">
        <v>21.8</v>
      </c>
      <c r="V12">
        <v>17.100000000000001</v>
      </c>
      <c r="W12">
        <v>13.8</v>
      </c>
      <c r="X12">
        <v>17.100000000000001</v>
      </c>
      <c r="Y12">
        <v>20.3</v>
      </c>
      <c r="Z12">
        <v>21.1</v>
      </c>
      <c r="AA12">
        <v>19.100000000000001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29.8</v>
      </c>
      <c r="E13">
        <v>29.1</v>
      </c>
      <c r="H13">
        <v>27</v>
      </c>
      <c r="I13">
        <v>17.100000000000001</v>
      </c>
      <c r="J13">
        <v>11.2</v>
      </c>
      <c r="K13">
        <v>8.1</v>
      </c>
      <c r="L13">
        <v>9.6999999999999993</v>
      </c>
      <c r="M13">
        <v>9.8000000000000007</v>
      </c>
      <c r="N13">
        <v>13.6</v>
      </c>
      <c r="O13">
        <v>14.8</v>
      </c>
      <c r="P13">
        <v>11.6</v>
      </c>
      <c r="Q13">
        <v>14.3</v>
      </c>
      <c r="R13">
        <v>14.5</v>
      </c>
      <c r="S13">
        <v>16.3</v>
      </c>
      <c r="T13">
        <v>12.7</v>
      </c>
      <c r="U13">
        <v>14.8</v>
      </c>
      <c r="V13">
        <v>11.5</v>
      </c>
      <c r="W13">
        <v>17.2</v>
      </c>
      <c r="X13">
        <v>19.2</v>
      </c>
      <c r="Y13">
        <v>15.5</v>
      </c>
      <c r="Z13">
        <v>24.2</v>
      </c>
      <c r="AA13">
        <v>22.7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30.4</v>
      </c>
      <c r="E14">
        <v>26.6</v>
      </c>
      <c r="H14">
        <v>31.3</v>
      </c>
      <c r="I14">
        <v>15.9</v>
      </c>
      <c r="J14">
        <v>9.5</v>
      </c>
      <c r="K14">
        <v>10.3</v>
      </c>
      <c r="L14">
        <v>8.4</v>
      </c>
      <c r="M14">
        <v>12.3</v>
      </c>
      <c r="N14">
        <v>16</v>
      </c>
      <c r="O14">
        <v>15.2</v>
      </c>
      <c r="P14">
        <v>15.6</v>
      </c>
      <c r="Q14">
        <v>14.1</v>
      </c>
      <c r="R14">
        <v>14.6</v>
      </c>
      <c r="S14">
        <v>14.5</v>
      </c>
      <c r="T14">
        <v>15.1</v>
      </c>
      <c r="U14">
        <v>11.5</v>
      </c>
      <c r="V14">
        <v>12.8</v>
      </c>
      <c r="W14">
        <v>14.3</v>
      </c>
      <c r="X14">
        <v>11.9</v>
      </c>
      <c r="Y14">
        <v>17.2</v>
      </c>
      <c r="Z14">
        <v>22.8</v>
      </c>
      <c r="AA14">
        <v>17.7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25</v>
      </c>
      <c r="E15">
        <v>31.1</v>
      </c>
      <c r="H15">
        <v>27.3</v>
      </c>
      <c r="I15">
        <v>14.8</v>
      </c>
      <c r="J15">
        <v>8.9</v>
      </c>
      <c r="K15">
        <v>6.9</v>
      </c>
      <c r="L15">
        <v>6.5</v>
      </c>
      <c r="M15">
        <v>10.5</v>
      </c>
      <c r="N15">
        <v>11.8</v>
      </c>
      <c r="O15">
        <v>16.600000000000001</v>
      </c>
      <c r="P15">
        <v>15.8</v>
      </c>
      <c r="Q15">
        <v>14.7</v>
      </c>
      <c r="R15">
        <v>13.6</v>
      </c>
      <c r="S15">
        <v>15.9</v>
      </c>
      <c r="T15">
        <v>14.2</v>
      </c>
      <c r="U15">
        <v>13.1</v>
      </c>
      <c r="V15">
        <v>13.2</v>
      </c>
      <c r="W15">
        <v>14.4</v>
      </c>
      <c r="X15">
        <v>13.4</v>
      </c>
      <c r="Y15">
        <v>19.399999999999999</v>
      </c>
      <c r="Z15">
        <v>18.600000000000001</v>
      </c>
      <c r="AA15">
        <v>19.899999999999999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23.2</v>
      </c>
      <c r="E16">
        <v>27.9</v>
      </c>
      <c r="H16">
        <v>21.5</v>
      </c>
      <c r="I16">
        <v>16.5</v>
      </c>
      <c r="J16">
        <v>12.2</v>
      </c>
      <c r="K16">
        <v>11.4</v>
      </c>
      <c r="L16">
        <v>7.9</v>
      </c>
      <c r="M16">
        <v>14.5</v>
      </c>
      <c r="N16">
        <v>11.5</v>
      </c>
      <c r="O16">
        <v>15.7</v>
      </c>
      <c r="P16">
        <v>14.5</v>
      </c>
      <c r="Q16">
        <v>15.1</v>
      </c>
      <c r="R16">
        <v>13.8</v>
      </c>
      <c r="S16">
        <v>13.5</v>
      </c>
      <c r="T16">
        <v>14.5</v>
      </c>
      <c r="U16">
        <v>12.3</v>
      </c>
      <c r="V16">
        <v>13.5</v>
      </c>
      <c r="W16">
        <v>13</v>
      </c>
      <c r="X16">
        <v>15.1</v>
      </c>
      <c r="Y16">
        <v>23.9</v>
      </c>
      <c r="Z16">
        <v>18.7</v>
      </c>
      <c r="AA16">
        <v>18.399999999999999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25</v>
      </c>
      <c r="E17">
        <v>26.4</v>
      </c>
      <c r="H17">
        <v>24.6</v>
      </c>
      <c r="I17">
        <v>14.1</v>
      </c>
      <c r="J17">
        <v>11.6</v>
      </c>
      <c r="K17">
        <v>5.7</v>
      </c>
      <c r="L17">
        <v>7.4</v>
      </c>
      <c r="M17">
        <v>10.9</v>
      </c>
      <c r="N17">
        <v>14.7</v>
      </c>
      <c r="O17">
        <v>13.7</v>
      </c>
      <c r="P17">
        <v>14.6</v>
      </c>
      <c r="Q17">
        <v>10</v>
      </c>
      <c r="R17">
        <v>12.1</v>
      </c>
      <c r="S17">
        <v>13.6</v>
      </c>
      <c r="T17">
        <v>11.7</v>
      </c>
      <c r="U17">
        <v>11.8</v>
      </c>
      <c r="V17">
        <v>12.5</v>
      </c>
      <c r="W17">
        <v>13</v>
      </c>
      <c r="X17">
        <v>14</v>
      </c>
      <c r="Y17">
        <v>8.9</v>
      </c>
      <c r="Z17">
        <v>18.2</v>
      </c>
      <c r="AA17">
        <v>17.3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18</v>
      </c>
      <c r="E18">
        <v>26.9</v>
      </c>
      <c r="H18">
        <v>26.1</v>
      </c>
      <c r="I18">
        <v>14.9</v>
      </c>
      <c r="J18">
        <v>15.6</v>
      </c>
      <c r="K18">
        <v>9.5</v>
      </c>
      <c r="L18">
        <v>12.7</v>
      </c>
      <c r="M18">
        <v>6.9</v>
      </c>
      <c r="N18">
        <v>13.5</v>
      </c>
      <c r="O18">
        <v>10.3</v>
      </c>
      <c r="P18">
        <v>13.5</v>
      </c>
      <c r="Q18">
        <v>14.1</v>
      </c>
      <c r="R18">
        <v>15.1</v>
      </c>
      <c r="S18">
        <v>15.1</v>
      </c>
      <c r="T18">
        <v>13.3</v>
      </c>
      <c r="U18">
        <v>14.7</v>
      </c>
      <c r="V18">
        <v>15.3</v>
      </c>
      <c r="W18">
        <v>12</v>
      </c>
      <c r="X18">
        <v>11.7</v>
      </c>
      <c r="Y18">
        <v>22.5</v>
      </c>
      <c r="Z18">
        <v>18.100000000000001</v>
      </c>
      <c r="AA18">
        <v>19.7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27</v>
      </c>
      <c r="H19">
        <v>25.9</v>
      </c>
      <c r="I19">
        <v>26.7</v>
      </c>
      <c r="J19">
        <v>25.4</v>
      </c>
      <c r="K19">
        <v>19.100000000000001</v>
      </c>
      <c r="L19">
        <v>18</v>
      </c>
      <c r="M19">
        <v>13.4</v>
      </c>
      <c r="N19">
        <v>19.5</v>
      </c>
      <c r="O19">
        <v>17</v>
      </c>
      <c r="P19">
        <v>13.7</v>
      </c>
      <c r="Q19">
        <v>8.1</v>
      </c>
      <c r="R19">
        <v>20.100000000000001</v>
      </c>
      <c r="S19">
        <v>17.2</v>
      </c>
      <c r="T19">
        <v>15.4</v>
      </c>
      <c r="U19">
        <v>15.7</v>
      </c>
      <c r="V19">
        <v>19.100000000000001</v>
      </c>
      <c r="W19">
        <v>15.7</v>
      </c>
      <c r="X19">
        <v>15.9</v>
      </c>
      <c r="Y19">
        <v>23.6</v>
      </c>
      <c r="Z19">
        <v>17.100000000000001</v>
      </c>
      <c r="AA19">
        <v>23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27.1</v>
      </c>
      <c r="E20">
        <v>25.8</v>
      </c>
      <c r="H20">
        <v>26.6</v>
      </c>
      <c r="I20">
        <v>21.5</v>
      </c>
      <c r="J20">
        <v>13.2</v>
      </c>
      <c r="K20">
        <v>6.3</v>
      </c>
      <c r="L20">
        <v>9.3000000000000007</v>
      </c>
      <c r="M20">
        <v>13.1</v>
      </c>
      <c r="N20">
        <v>15</v>
      </c>
      <c r="O20">
        <v>13.5</v>
      </c>
      <c r="P20">
        <v>14.6</v>
      </c>
      <c r="Q20">
        <v>13.8</v>
      </c>
      <c r="R20">
        <v>14.2</v>
      </c>
      <c r="S20">
        <v>16.600000000000001</v>
      </c>
      <c r="T20">
        <v>15.4</v>
      </c>
      <c r="U20">
        <v>11.9</v>
      </c>
      <c r="V20">
        <v>14.1</v>
      </c>
      <c r="W20">
        <v>12.9</v>
      </c>
      <c r="X20">
        <v>14.2</v>
      </c>
      <c r="Y20">
        <v>19.8</v>
      </c>
      <c r="Z20">
        <v>16.100000000000001</v>
      </c>
      <c r="AA20">
        <v>26.5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23.9</v>
      </c>
      <c r="E21">
        <v>19.600000000000001</v>
      </c>
      <c r="H21">
        <v>23.6</v>
      </c>
      <c r="I21">
        <v>24</v>
      </c>
      <c r="J21">
        <v>9.4</v>
      </c>
      <c r="K21">
        <v>7.8</v>
      </c>
      <c r="L21">
        <v>7.1</v>
      </c>
      <c r="M21">
        <v>14.5</v>
      </c>
      <c r="N21">
        <v>10.5</v>
      </c>
      <c r="O21">
        <v>14.9</v>
      </c>
      <c r="P21">
        <v>13.6</v>
      </c>
      <c r="Q21">
        <v>14.2</v>
      </c>
      <c r="R21">
        <v>16.399999999999999</v>
      </c>
      <c r="S21">
        <v>14.7</v>
      </c>
      <c r="T21">
        <v>14.6</v>
      </c>
      <c r="U21">
        <v>13.8</v>
      </c>
      <c r="V21">
        <v>11.8</v>
      </c>
      <c r="W21">
        <v>12.6</v>
      </c>
      <c r="X21">
        <v>15.1</v>
      </c>
      <c r="Y21">
        <v>18.8</v>
      </c>
      <c r="Z21">
        <v>15.7</v>
      </c>
      <c r="AA21">
        <v>21.1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25.1</v>
      </c>
      <c r="E22">
        <v>19.399999999999999</v>
      </c>
      <c r="H22">
        <v>28.5</v>
      </c>
      <c r="I22">
        <v>18.8</v>
      </c>
      <c r="J22">
        <v>11.6</v>
      </c>
      <c r="K22">
        <v>10.4</v>
      </c>
      <c r="L22">
        <v>11.1</v>
      </c>
      <c r="M22">
        <v>10.5</v>
      </c>
      <c r="N22">
        <v>12.1</v>
      </c>
      <c r="O22">
        <v>13.3</v>
      </c>
      <c r="P22">
        <v>15.4</v>
      </c>
      <c r="Q22">
        <v>9.8000000000000007</v>
      </c>
      <c r="R22">
        <v>13.5</v>
      </c>
      <c r="S22">
        <v>14.6</v>
      </c>
      <c r="T22">
        <v>13.4</v>
      </c>
      <c r="U22">
        <v>14.6</v>
      </c>
      <c r="V22">
        <v>12.9</v>
      </c>
      <c r="W22">
        <v>12.9</v>
      </c>
      <c r="X22">
        <v>12.7</v>
      </c>
      <c r="Y22">
        <v>18.8</v>
      </c>
      <c r="Z22">
        <v>18.2</v>
      </c>
      <c r="AA22">
        <v>22.1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21.6</v>
      </c>
      <c r="E23">
        <v>23.9</v>
      </c>
      <c r="H23">
        <v>20</v>
      </c>
      <c r="I23">
        <v>16.8</v>
      </c>
      <c r="J23">
        <v>13.8</v>
      </c>
      <c r="K23">
        <v>12.6</v>
      </c>
      <c r="L23">
        <v>9.6999999999999993</v>
      </c>
      <c r="M23">
        <v>14.9</v>
      </c>
      <c r="N23">
        <v>10.3</v>
      </c>
      <c r="O23">
        <v>14.6</v>
      </c>
      <c r="P23">
        <v>14.8</v>
      </c>
      <c r="Q23">
        <v>11.4</v>
      </c>
      <c r="R23">
        <v>12.8</v>
      </c>
      <c r="S23">
        <v>16.7</v>
      </c>
      <c r="T23">
        <v>15</v>
      </c>
      <c r="U23">
        <v>12.1</v>
      </c>
      <c r="V23">
        <v>14.7</v>
      </c>
      <c r="W23">
        <v>10.6</v>
      </c>
      <c r="X23">
        <v>16.5</v>
      </c>
      <c r="Y23">
        <v>17.2</v>
      </c>
      <c r="Z23">
        <v>18.100000000000001</v>
      </c>
      <c r="AA23">
        <v>23.9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23.2</v>
      </c>
      <c r="E24">
        <v>27.5</v>
      </c>
      <c r="H24">
        <v>19.399999999999999</v>
      </c>
      <c r="I24">
        <v>21.2</v>
      </c>
      <c r="J24">
        <v>8.5</v>
      </c>
      <c r="K24">
        <v>8</v>
      </c>
      <c r="L24">
        <v>5.9</v>
      </c>
      <c r="M24">
        <v>10.1</v>
      </c>
      <c r="N24">
        <v>7.4</v>
      </c>
      <c r="O24">
        <v>16</v>
      </c>
      <c r="P24">
        <v>13</v>
      </c>
      <c r="Q24">
        <v>13.8</v>
      </c>
      <c r="R24">
        <v>10.1</v>
      </c>
      <c r="S24">
        <v>12.9</v>
      </c>
      <c r="T24">
        <v>15.1</v>
      </c>
      <c r="U24">
        <v>13</v>
      </c>
      <c r="V24">
        <v>13</v>
      </c>
      <c r="W24">
        <v>13</v>
      </c>
      <c r="X24">
        <v>15.6</v>
      </c>
      <c r="Y24">
        <v>18.2</v>
      </c>
      <c r="Z24">
        <v>16.399999999999999</v>
      </c>
      <c r="AA24">
        <v>25.9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22.7</v>
      </c>
      <c r="E25">
        <v>27.3</v>
      </c>
      <c r="H25">
        <v>27.4</v>
      </c>
      <c r="I25">
        <v>21.4</v>
      </c>
      <c r="J25">
        <v>17.399999999999999</v>
      </c>
      <c r="K25">
        <v>15.6</v>
      </c>
      <c r="L25">
        <v>8.1999999999999993</v>
      </c>
      <c r="M25">
        <v>7.9</v>
      </c>
      <c r="N25">
        <v>11.2</v>
      </c>
      <c r="O25">
        <v>12</v>
      </c>
      <c r="P25">
        <v>12.9</v>
      </c>
      <c r="Q25">
        <v>12.8</v>
      </c>
      <c r="R25">
        <v>21</v>
      </c>
      <c r="T25">
        <v>19.600000000000001</v>
      </c>
      <c r="U25">
        <v>15.8</v>
      </c>
      <c r="V25">
        <v>12</v>
      </c>
      <c r="W25">
        <v>16.600000000000001</v>
      </c>
      <c r="X25">
        <v>17</v>
      </c>
      <c r="Z25">
        <v>16.8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29.1</v>
      </c>
      <c r="E26">
        <v>27.4</v>
      </c>
      <c r="H26">
        <v>25.3</v>
      </c>
      <c r="I26">
        <v>24</v>
      </c>
      <c r="J26">
        <v>23.7</v>
      </c>
      <c r="K26">
        <v>17.600000000000001</v>
      </c>
      <c r="L26">
        <v>18.8</v>
      </c>
      <c r="M26">
        <v>17.600000000000001</v>
      </c>
      <c r="N26">
        <v>16.3</v>
      </c>
      <c r="O26">
        <v>11.9</v>
      </c>
      <c r="P26">
        <v>14.8</v>
      </c>
      <c r="Q26">
        <v>13.8</v>
      </c>
      <c r="R26">
        <v>17.7</v>
      </c>
      <c r="S26">
        <v>15.9</v>
      </c>
      <c r="T26">
        <v>19.3</v>
      </c>
      <c r="U26">
        <v>15.6</v>
      </c>
      <c r="V26">
        <v>16.600000000000001</v>
      </c>
      <c r="W26">
        <v>14.6</v>
      </c>
      <c r="X26">
        <v>13.8</v>
      </c>
      <c r="Y26">
        <v>18.3</v>
      </c>
      <c r="Z26">
        <v>18.5</v>
      </c>
      <c r="AA26">
        <v>22.3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22.4</v>
      </c>
      <c r="E27">
        <v>26.4</v>
      </c>
      <c r="H27">
        <v>24.5</v>
      </c>
      <c r="I27">
        <v>20.2</v>
      </c>
      <c r="J27">
        <v>10.1</v>
      </c>
      <c r="K27">
        <v>11</v>
      </c>
      <c r="L27">
        <v>7.8</v>
      </c>
      <c r="M27">
        <v>13</v>
      </c>
      <c r="N27">
        <v>14</v>
      </c>
      <c r="O27">
        <v>12.5</v>
      </c>
      <c r="P27">
        <v>13.3</v>
      </c>
      <c r="Q27">
        <v>14.5</v>
      </c>
      <c r="R27">
        <v>11.2</v>
      </c>
      <c r="S27">
        <v>15.7</v>
      </c>
      <c r="T27">
        <v>14.4</v>
      </c>
      <c r="U27">
        <v>12.7</v>
      </c>
      <c r="V27">
        <v>15.3</v>
      </c>
      <c r="W27">
        <v>17.3</v>
      </c>
      <c r="X27">
        <v>15.3</v>
      </c>
      <c r="Y27">
        <v>15.8</v>
      </c>
      <c r="Z27">
        <v>19</v>
      </c>
      <c r="AA27">
        <v>18.8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26.7</v>
      </c>
      <c r="E28">
        <v>27.3</v>
      </c>
      <c r="H28">
        <v>24.5</v>
      </c>
      <c r="I28">
        <v>18.2</v>
      </c>
      <c r="J28">
        <v>8</v>
      </c>
      <c r="K28">
        <v>7</v>
      </c>
      <c r="L28">
        <v>5.9</v>
      </c>
      <c r="M28">
        <v>13.5</v>
      </c>
      <c r="N28">
        <v>13.3</v>
      </c>
      <c r="O28">
        <v>17.8</v>
      </c>
      <c r="P28">
        <v>12.5</v>
      </c>
      <c r="Q28">
        <v>8.8000000000000007</v>
      </c>
      <c r="R28">
        <v>7.8</v>
      </c>
      <c r="S28">
        <v>8.3000000000000007</v>
      </c>
      <c r="T28">
        <v>8.6999999999999993</v>
      </c>
      <c r="U28">
        <v>7.1</v>
      </c>
      <c r="V28">
        <v>7.5</v>
      </c>
      <c r="W28">
        <v>8.1999999999999993</v>
      </c>
      <c r="X28">
        <v>11.1</v>
      </c>
      <c r="Y28">
        <v>11.3</v>
      </c>
      <c r="Z28">
        <v>11.1</v>
      </c>
      <c r="AA28">
        <v>20.7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24.3</v>
      </c>
      <c r="E29">
        <v>31.1</v>
      </c>
      <c r="H29">
        <v>23.3</v>
      </c>
      <c r="I29">
        <v>16.8</v>
      </c>
      <c r="J29">
        <v>7.9</v>
      </c>
      <c r="K29">
        <v>6.9</v>
      </c>
      <c r="L29">
        <v>7.5</v>
      </c>
      <c r="M29">
        <v>11.6</v>
      </c>
      <c r="N29">
        <v>9.8000000000000007</v>
      </c>
      <c r="O29">
        <v>14</v>
      </c>
      <c r="P29">
        <v>13</v>
      </c>
      <c r="Q29">
        <v>12.8</v>
      </c>
      <c r="R29">
        <v>11.6</v>
      </c>
      <c r="S29">
        <v>13.2</v>
      </c>
      <c r="T29">
        <v>15.1</v>
      </c>
      <c r="U29">
        <v>15.3</v>
      </c>
      <c r="V29">
        <v>13.3</v>
      </c>
      <c r="W29">
        <v>14.3</v>
      </c>
      <c r="X29">
        <v>13.6</v>
      </c>
      <c r="Y29">
        <v>19.399999999999999</v>
      </c>
      <c r="Z29">
        <v>14.8</v>
      </c>
      <c r="AA29">
        <v>21.5</v>
      </c>
    </row>
    <row r="31" spans="1:27" x14ac:dyDescent="0.25">
      <c r="C31">
        <v>1</v>
      </c>
      <c r="D31">
        <f t="array" ref="D31">MEDIAN(IF($C$3:$C$29=$C31,D$3:D$29,""))</f>
        <v>26.55</v>
      </c>
      <c r="E31">
        <f t="array" ref="E31">MEDIAN(IF($C$3:$C$29=$C31,E$3:E$29,""))</f>
        <v>28.799999999999997</v>
      </c>
      <c r="F31">
        <f t="array" ref="F31">MEDIAN(IF($C$3:$C$29=$C31,F$3:F$29,""))</f>
        <v>0</v>
      </c>
      <c r="G31">
        <v>26</v>
      </c>
      <c r="H31">
        <f t="array" ref="H31">MEDIAN(IF($C$3:$C$29=$C31,H$3:H$29,""))</f>
        <v>25.65</v>
      </c>
      <c r="I31">
        <f t="array" ref="I31">MEDIAN(IF($C$3:$C$29=$C31,I$3:I$29,""))</f>
        <v>25.65</v>
      </c>
      <c r="J31">
        <f t="array" ref="J31">MEDIAN(IF($C$3:$C$29=$C31,J$3:J$29,""))</f>
        <v>25.299999999999997</v>
      </c>
      <c r="K31">
        <f t="array" ref="K31">MEDIAN(IF($C$3:$C$29=$C31,K$3:K$29,""))</f>
        <v>19.600000000000001</v>
      </c>
      <c r="L31">
        <f t="array" ref="L31">MEDIAN(IF($C$3:$C$29=$C31,L$3:L$29,""))</f>
        <v>19.649999999999999</v>
      </c>
      <c r="M31">
        <f t="array" ref="M31">MEDIAN(IF($C$3:$C$29=$C31,M$3:M$29,""))</f>
        <v>16.450000000000003</v>
      </c>
      <c r="N31">
        <f t="array" ref="N31">MEDIAN(IF($C$3:$C$29=$C31,N$3:N$29,""))</f>
        <v>16.700000000000003</v>
      </c>
      <c r="O31">
        <f t="array" ref="O31">MEDIAN(IF($C$3:$C$29=$C31,O$3:O$29,""))</f>
        <v>15.2</v>
      </c>
      <c r="P31">
        <f t="array" ref="P31">MEDIAN(IF($C$3:$C$29=$C31,P$3:P$29,""))</f>
        <v>14.25</v>
      </c>
      <c r="Q31">
        <f t="array" ref="Q31">MEDIAN(IF($C$3:$C$29=$C31,Q$3:Q$29,""))</f>
        <v>12.3</v>
      </c>
      <c r="R31">
        <f t="array" ref="R31">MEDIAN(IF($C$3:$C$29=$C31,R$3:R$29,""))</f>
        <v>17.850000000000001</v>
      </c>
      <c r="S31">
        <f t="array" ref="S31">MEDIAN(IF($C$3:$C$29=$C31,S$3:S$29,""))</f>
        <v>17.7</v>
      </c>
      <c r="T31">
        <f t="array" ref="T31">MEDIAN(IF($C$3:$C$29=$C31,T$3:T$29,""))</f>
        <v>16.350000000000001</v>
      </c>
      <c r="U31">
        <f t="array" ref="U31">MEDIAN(IF($C$3:$C$29=$C31,U$3:U$29,""))</f>
        <v>17.100000000000001</v>
      </c>
      <c r="V31">
        <f t="array" ref="V31">MEDIAN(IF($C$3:$C$29=$C31,V$3:V$29,""))</f>
        <v>16.850000000000001</v>
      </c>
      <c r="W31">
        <f t="array" ref="W31">MEDIAN(IF($C$3:$C$29=$C31,W$3:W$29,""))</f>
        <v>15.149999999999999</v>
      </c>
      <c r="X31">
        <f t="array" ref="X31">MEDIAN(IF($C$3:$C$29=$C31,X$3:X$29,""))</f>
        <v>15.45</v>
      </c>
      <c r="Y31">
        <f t="array" ref="Y31">MEDIAN(IF($C$3:$C$29=$C31,Y$3:Y$29,""))</f>
        <v>19.3</v>
      </c>
      <c r="Z31">
        <f t="array" ref="Z31">MEDIAN(IF($C$3:$C$29=$C31,Z$3:Z$29,""))</f>
        <v>18</v>
      </c>
      <c r="AA31">
        <f t="array" ref="AA31">MEDIAN(IF($C$3:$C$29=$C31,AA$3:AA$29,""))</f>
        <v>20.700000000000003</v>
      </c>
    </row>
    <row r="32" spans="1:27" x14ac:dyDescent="0.25">
      <c r="C32">
        <v>2</v>
      </c>
      <c r="D32">
        <f t="array" ref="D32">MEDIAN(IF($C$3:$C$29=$C32,D$3:D$29,""))</f>
        <v>21.2</v>
      </c>
      <c r="E32">
        <f t="array" ref="E32">MEDIAN(IF($C$3:$C$29=$C32,E$3:E$29,""))</f>
        <v>26.299999999999997</v>
      </c>
      <c r="F32">
        <f t="array" ref="F32">MEDIAN(IF($C$3:$C$29=$C32,F$3:F$29,""))</f>
        <v>0</v>
      </c>
      <c r="G32">
        <v>26</v>
      </c>
      <c r="H32">
        <f t="array" ref="H32">MEDIAN(IF($C$3:$C$29=$C32,H$3:H$29,""))</f>
        <v>26.75</v>
      </c>
      <c r="I32">
        <f t="array" ref="I32">MEDIAN(IF($C$3:$C$29=$C32,I$3:I$29,""))</f>
        <v>23.299999999999997</v>
      </c>
      <c r="J32">
        <f t="array" ref="J32">MEDIAN(IF($C$3:$C$29=$C32,J$3:J$29,""))</f>
        <v>18.799999999999997</v>
      </c>
      <c r="K32">
        <f t="array" ref="K32">MEDIAN(IF($C$3:$C$29=$C32,K$3:K$29,""))</f>
        <v>15.1</v>
      </c>
      <c r="L32">
        <f t="array" ref="L32">MEDIAN(IF($C$3:$C$29=$C32,L$3:L$29,""))</f>
        <v>9.8000000000000007</v>
      </c>
      <c r="M32">
        <f t="array" ref="M32">MEDIAN(IF($C$3:$C$29=$C32,M$3:M$29,""))</f>
        <v>8.3500000000000014</v>
      </c>
      <c r="N32">
        <f t="array" ref="N32">MEDIAN(IF($C$3:$C$29=$C32,N$3:N$29,""))</f>
        <v>11.7</v>
      </c>
      <c r="O32">
        <f t="array" ref="O32">MEDIAN(IF($C$3:$C$29=$C32,O$3:O$29,""))</f>
        <v>11.15</v>
      </c>
      <c r="P32">
        <f t="array" ref="P32">MEDIAN(IF($C$3:$C$29=$C32,P$3:P$29,""))</f>
        <v>13.05</v>
      </c>
      <c r="Q32">
        <f t="array" ref="Q32">MEDIAN(IF($C$3:$C$29=$C32,Q$3:Q$29,""))</f>
        <v>13.45</v>
      </c>
      <c r="R32">
        <f t="array" ref="R32">MEDIAN(IF($C$3:$C$29=$C32,R$3:R$29,""))</f>
        <v>15.35</v>
      </c>
      <c r="S32">
        <f t="array" ref="S32">MEDIAN(IF($C$3:$C$29=$C32,S$3:S$29,""))</f>
        <v>15.149999999999999</v>
      </c>
      <c r="T32">
        <f t="array" ref="T32">MEDIAN(IF($C$3:$C$29=$C32,T$3:T$29,""))</f>
        <v>15.5</v>
      </c>
      <c r="U32">
        <f t="array" ref="U32">MEDIAN(IF($C$3:$C$29=$C32,U$3:U$29,""))</f>
        <v>15.4</v>
      </c>
      <c r="V32">
        <f t="array" ref="V32">MEDIAN(IF($C$3:$C$29=$C32,V$3:V$29,""))</f>
        <v>15</v>
      </c>
      <c r="W32">
        <f t="array" ref="W32">MEDIAN(IF($C$3:$C$29=$C32,W$3:W$29,""))</f>
        <v>14.4</v>
      </c>
      <c r="X32">
        <f t="array" ref="X32">MEDIAN(IF($C$3:$C$29=$C32,X$3:X$29,""))</f>
        <v>14.600000000000001</v>
      </c>
      <c r="Y32">
        <f t="array" ref="Y32">MEDIAN(IF($C$3:$C$29=$C32,Y$3:Y$29,""))</f>
        <v>19.049999999999997</v>
      </c>
      <c r="Z32">
        <f t="array" ref="Z32">MEDIAN(IF($C$3:$C$29=$C32,Z$3:Z$29,""))</f>
        <v>18.200000000000003</v>
      </c>
      <c r="AA32">
        <f t="array" ref="AA32">MEDIAN(IF($C$3:$C$29=$C32,AA$3:AA$29,""))</f>
        <v>18.850000000000001</v>
      </c>
    </row>
    <row r="33" spans="3:27" x14ac:dyDescent="0.25">
      <c r="C33">
        <v>3</v>
      </c>
      <c r="D33">
        <f t="array" ref="D33">MEDIAN(IF($C$3:$C$29=$C33,D$3:D$29,""))</f>
        <v>25.05</v>
      </c>
      <c r="E33">
        <f t="array" ref="E33">MEDIAN(IF($C$3:$C$29=$C33,E$3:E$29,""))</f>
        <v>27.75</v>
      </c>
      <c r="F33">
        <f t="array" ref="F33">MEDIAN(IF($C$3:$C$29=$C33,F$3:F$29,""))</f>
        <v>0</v>
      </c>
      <c r="G33">
        <v>26</v>
      </c>
      <c r="H33">
        <f t="array" ref="H33">MEDIAN(IF($C$3:$C$29=$C33,H$3:H$29,""))</f>
        <v>25.55</v>
      </c>
      <c r="I33">
        <f t="array" ref="I33">MEDIAN(IF($C$3:$C$29=$C33,I$3:I$29,""))</f>
        <v>18.95</v>
      </c>
      <c r="J33">
        <f t="array" ref="J33">MEDIAN(IF($C$3:$C$29=$C33,J$3:J$29,""))</f>
        <v>10.8</v>
      </c>
      <c r="K33">
        <f t="array" ref="K33">MEDIAN(IF($C$3:$C$29=$C33,K$3:K$29,""))</f>
        <v>9.1</v>
      </c>
      <c r="L33">
        <f t="array" ref="L33">MEDIAN(IF($C$3:$C$29=$C33,L$3:L$29,""))</f>
        <v>9.0500000000000007</v>
      </c>
      <c r="M33">
        <f t="array" ref="M33">MEDIAN(IF($C$3:$C$29=$C33,M$3:M$29,""))</f>
        <v>11.9</v>
      </c>
      <c r="N33">
        <f t="array" ref="N33">MEDIAN(IF($C$3:$C$29=$C33,N$3:N$29,""))</f>
        <v>14.5</v>
      </c>
      <c r="O33">
        <f t="array" ref="O33">MEDIAN(IF($C$3:$C$29=$C33,O$3:O$29,""))</f>
        <v>13.95</v>
      </c>
      <c r="P33">
        <f t="array" ref="P33">MEDIAN(IF($C$3:$C$29=$C33,P$3:P$29,""))</f>
        <v>13.95</v>
      </c>
      <c r="Q33">
        <f t="array" ref="Q33">MEDIAN(IF($C$3:$C$29=$C33,Q$3:Q$29,""))</f>
        <v>14.05</v>
      </c>
      <c r="R33">
        <f t="array" ref="R33">MEDIAN(IF($C$3:$C$29=$C33,R$3:R$29,""))</f>
        <v>14.35</v>
      </c>
      <c r="S33">
        <f t="array" ref="S33">MEDIAN(IF($C$3:$C$29=$C33,S$3:S$29,""))</f>
        <v>16.3</v>
      </c>
      <c r="T33">
        <f t="array" ref="T33">MEDIAN(IF($C$3:$C$29=$C33,T$3:T$29,""))</f>
        <v>13.65</v>
      </c>
      <c r="U33">
        <f t="array" ref="U33">MEDIAN(IF($C$3:$C$29=$C33,U$3:U$29,""))</f>
        <v>12.399999999999999</v>
      </c>
      <c r="V33">
        <f t="array" ref="V33">MEDIAN(IF($C$3:$C$29=$C33,V$3:V$29,""))</f>
        <v>13</v>
      </c>
      <c r="W33">
        <f t="array" ref="W33">MEDIAN(IF($C$3:$C$29=$C33,W$3:W$29,""))</f>
        <v>15.95</v>
      </c>
      <c r="X33">
        <f t="array" ref="X33">MEDIAN(IF($C$3:$C$29=$C33,X$3:X$29,""))</f>
        <v>16.450000000000003</v>
      </c>
      <c r="Y33">
        <f t="array" ref="Y33">MEDIAN(IF($C$3:$C$29=$C33,Y$3:Y$29,""))</f>
        <v>17.8</v>
      </c>
      <c r="Z33">
        <f t="array" ref="Z33">MEDIAN(IF($C$3:$C$29=$C33,Z$3:Z$29,""))</f>
        <v>20.8</v>
      </c>
      <c r="AA33">
        <f t="array" ref="AA33">MEDIAN(IF($C$3:$C$29=$C33,AA$3:AA$29,""))</f>
        <v>21.049999999999997</v>
      </c>
    </row>
    <row r="34" spans="3:27" x14ac:dyDescent="0.25">
      <c r="C34">
        <v>4</v>
      </c>
      <c r="D34">
        <f t="array" ref="D34">MEDIAN(IF($C$3:$C$29=$C34,D$3:D$29,""))</f>
        <v>25.299999999999997</v>
      </c>
      <c r="E34">
        <f t="array" ref="E34">MEDIAN(IF($C$3:$C$29=$C34,E$3:E$29,""))</f>
        <v>26.950000000000003</v>
      </c>
      <c r="F34">
        <f t="array" ref="F34">MEDIAN(IF($C$3:$C$29=$C34,F$3:F$29,""))</f>
        <v>0</v>
      </c>
      <c r="G34">
        <v>26</v>
      </c>
      <c r="H34">
        <f t="array" ref="H34">MEDIAN(IF($C$3:$C$29=$C34,H$3:H$29,""))</f>
        <v>26</v>
      </c>
      <c r="I34">
        <f t="array" ref="I34">MEDIAN(IF($C$3:$C$29=$C34,I$3:I$29,""))</f>
        <v>18.049999999999997</v>
      </c>
      <c r="J34">
        <f t="array" ref="J34">MEDIAN(IF($C$3:$C$29=$C34,J$3:J$29,""))</f>
        <v>9.4499999999999993</v>
      </c>
      <c r="K34">
        <f t="array" ref="K34">MEDIAN(IF($C$3:$C$29=$C34,K$3:K$29,""))</f>
        <v>8.35</v>
      </c>
      <c r="L34">
        <f t="array" ref="L34">MEDIAN(IF($C$3:$C$29=$C34,L$3:L$29,""))</f>
        <v>7.75</v>
      </c>
      <c r="M34">
        <f t="array" ref="M34">MEDIAN(IF($C$3:$C$29=$C34,M$3:M$29,""))</f>
        <v>13.6</v>
      </c>
      <c r="N34">
        <f t="array" ref="N34">MEDIAN(IF($C$3:$C$29=$C34,N$3:N$29,""))</f>
        <v>14.15</v>
      </c>
      <c r="O34">
        <f t="array" ref="O34">MEDIAN(IF($C$3:$C$29=$C34,O$3:O$29,""))</f>
        <v>15.6</v>
      </c>
      <c r="P34">
        <f t="array" ref="P34">MEDIAN(IF($C$3:$C$29=$C34,P$3:P$29,""))</f>
        <v>14.6</v>
      </c>
      <c r="Q34">
        <f t="array" ref="Q34">MEDIAN(IF($C$3:$C$29=$C34,Q$3:Q$29,""))</f>
        <v>14.149999999999999</v>
      </c>
      <c r="R34">
        <f t="array" ref="R34">MEDIAN(IF($C$3:$C$29=$C34,R$3:R$29,""))</f>
        <v>13.7</v>
      </c>
      <c r="S34">
        <f t="array" ref="S34">MEDIAN(IF($C$3:$C$29=$C34,S$3:S$29,""))</f>
        <v>14.6</v>
      </c>
      <c r="T34">
        <f t="array" ref="T34">MEDIAN(IF($C$3:$C$29=$C34,T$3:T$29,""))</f>
        <v>13.55</v>
      </c>
      <c r="U34">
        <f t="array" ref="U34">MEDIAN(IF($C$3:$C$29=$C34,U$3:U$29,""))</f>
        <v>12.65</v>
      </c>
      <c r="V34">
        <f t="array" ref="V34">MEDIAN(IF($C$3:$C$29=$C34,V$3:V$29,""))</f>
        <v>12.3</v>
      </c>
      <c r="W34">
        <f t="array" ref="W34">MEDIAN(IF($C$3:$C$29=$C34,W$3:W$29,""))</f>
        <v>12.8</v>
      </c>
      <c r="X34">
        <f t="array" ref="X34">MEDIAN(IF($C$3:$C$29=$C34,X$3:X$29,""))</f>
        <v>13.5</v>
      </c>
      <c r="Y34">
        <f t="array" ref="Y34">MEDIAN(IF($C$3:$C$29=$C34,Y$3:Y$29,""))</f>
        <v>17.25</v>
      </c>
      <c r="Z34">
        <f t="array" ref="Z34">MEDIAN(IF($C$3:$C$29=$C34,Z$3:Z$29,""))</f>
        <v>17.649999999999999</v>
      </c>
      <c r="AA34">
        <f t="array" ref="AA34">MEDIAN(IF($C$3:$C$29=$C34,AA$3:AA$29,""))</f>
        <v>19.399999999999999</v>
      </c>
    </row>
    <row r="35" spans="3:27" x14ac:dyDescent="0.25">
      <c r="C35">
        <v>5</v>
      </c>
      <c r="D35">
        <f t="array" ref="D35">MEDIAN(IF($C$3:$C$29=$C35,D$3:D$29,""))</f>
        <v>25.05</v>
      </c>
      <c r="E35">
        <f t="array" ref="E35">MEDIAN(IF($C$3:$C$29=$C35,E$3:E$29,""))</f>
        <v>30.8</v>
      </c>
      <c r="F35">
        <f t="array" ref="F35">MEDIAN(IF($C$3:$C$29=$C35,F$3:F$29,""))</f>
        <v>0</v>
      </c>
      <c r="G35">
        <v>26</v>
      </c>
      <c r="H35">
        <f t="array" ref="H35">MEDIAN(IF($C$3:$C$29=$C35,H$3:H$29,""))</f>
        <v>26</v>
      </c>
      <c r="I35">
        <f t="array" ref="I35">MEDIAN(IF($C$3:$C$29=$C35,I$3:I$29,""))</f>
        <v>17.8</v>
      </c>
      <c r="J35">
        <f t="array" ref="J35">MEDIAN(IF($C$3:$C$29=$C35,J$3:J$29,""))</f>
        <v>9.5</v>
      </c>
      <c r="K35">
        <f t="array" ref="K35">MEDIAN(IF($C$3:$C$29=$C35,K$3:K$29,""))</f>
        <v>8.4</v>
      </c>
      <c r="L35">
        <f t="array" ref="L35">MEDIAN(IF($C$3:$C$29=$C35,L$3:L$29,""))</f>
        <v>7.1</v>
      </c>
      <c r="M35">
        <f t="array" ref="M35">MEDIAN(IF($C$3:$C$29=$C35,M$3:M$29,""))</f>
        <v>10.5</v>
      </c>
      <c r="N35">
        <f t="array" ref="N35">MEDIAN(IF($C$3:$C$29=$C35,N$3:N$29,""))</f>
        <v>10.8</v>
      </c>
      <c r="O35">
        <f t="array" ref="O35">MEDIAN(IF($C$3:$C$29=$C35,O$3:O$29,""))</f>
        <v>13.65</v>
      </c>
      <c r="P35">
        <f t="array" ref="P35">MEDIAN(IF($C$3:$C$29=$C35,P$3:P$29,""))</f>
        <v>14.55</v>
      </c>
      <c r="Q35">
        <f t="array" ref="Q35">MEDIAN(IF($C$3:$C$29=$C35,Q$3:Q$29,""))</f>
        <v>12.55</v>
      </c>
      <c r="R35">
        <f t="array" ref="R35">MEDIAN(IF($C$3:$C$29=$C35,R$3:R$29,""))</f>
        <v>12.55</v>
      </c>
      <c r="S35">
        <f t="array" ref="S35">MEDIAN(IF($C$3:$C$29=$C35,S$3:S$29,""))</f>
        <v>13.899999999999999</v>
      </c>
      <c r="T35">
        <f t="array" ref="T35">MEDIAN(IF($C$3:$C$29=$C35,T$3:T$29,""))</f>
        <v>13.8</v>
      </c>
      <c r="U35">
        <f t="array" ref="U35">MEDIAN(IF($C$3:$C$29=$C35,U$3:U$29,""))</f>
        <v>14.8</v>
      </c>
      <c r="V35">
        <f t="array" ref="V35">MEDIAN(IF($C$3:$C$29=$C35,V$3:V$29,""))</f>
        <v>13.25</v>
      </c>
      <c r="W35">
        <f t="array" ref="W35">MEDIAN(IF($C$3:$C$29=$C35,W$3:W$29,""))</f>
        <v>14.25</v>
      </c>
      <c r="X35">
        <f t="array" ref="X35">MEDIAN(IF($C$3:$C$29=$C35,X$3:X$29,""))</f>
        <v>13.5</v>
      </c>
      <c r="Y35">
        <f t="array" ref="Y35">MEDIAN(IF($C$3:$C$29=$C35,Y$3:Y$29,""))</f>
        <v>19.100000000000001</v>
      </c>
      <c r="Z35">
        <f t="array" ref="Z35">MEDIAN(IF($C$3:$C$29=$C35,Z$3:Z$29,""))</f>
        <v>18.399999999999999</v>
      </c>
      <c r="AA35">
        <f t="array" ref="AA35">MEDIAN(IF($C$3:$C$29=$C35,AA$3:AA$29,""))</f>
        <v>21.8</v>
      </c>
    </row>
    <row r="36" spans="3:27" x14ac:dyDescent="0.25">
      <c r="C36">
        <v>6</v>
      </c>
      <c r="D36">
        <f t="array" ref="D36">MEDIAN(IF($C$3:$C$29=$C36,D$3:D$29,""))</f>
        <v>23.2</v>
      </c>
      <c r="E36">
        <f t="array" ref="E36">MEDIAN(IF($C$3:$C$29=$C36,E$3:E$29,""))</f>
        <v>27.9</v>
      </c>
      <c r="F36">
        <f t="array" ref="F36">MEDIAN(IF($C$3:$C$29=$C36,F$3:F$29,""))</f>
        <v>0</v>
      </c>
      <c r="G36">
        <v>26</v>
      </c>
      <c r="H36">
        <f t="array" ref="H36">MEDIAN(IF($C$3:$C$29=$C36,H$3:H$29,""))</f>
        <v>20.7</v>
      </c>
      <c r="I36">
        <f t="array" ref="I36">MEDIAN(IF($C$3:$C$29=$C36,I$3:I$29,""))</f>
        <v>16.8</v>
      </c>
      <c r="J36">
        <f t="array" ref="J36">MEDIAN(IF($C$3:$C$29=$C36,J$3:J$29,""))</f>
        <v>12.2</v>
      </c>
      <c r="K36">
        <f t="array" ref="K36">MEDIAN(IF($C$3:$C$29=$C36,K$3:K$29,""))</f>
        <v>11.4</v>
      </c>
      <c r="L36">
        <f t="array" ref="L36">MEDIAN(IF($C$3:$C$29=$C36,L$3:L$29,""))</f>
        <v>8.9</v>
      </c>
      <c r="M36">
        <f t="array" ref="M36">MEDIAN(IF($C$3:$C$29=$C36,M$3:M$29,""))</f>
        <v>14.9</v>
      </c>
      <c r="N36">
        <f t="array" ref="N36">MEDIAN(IF($C$3:$C$29=$C36,N$3:N$29,""))</f>
        <v>11.5</v>
      </c>
      <c r="O36">
        <f t="array" ref="O36">MEDIAN(IF($C$3:$C$29=$C36,O$3:O$29,""))</f>
        <v>14.6</v>
      </c>
      <c r="P36">
        <f t="array" ref="P36">MEDIAN(IF($C$3:$C$29=$C36,P$3:P$29,""))</f>
        <v>14.5</v>
      </c>
      <c r="Q36">
        <f t="array" ref="Q36">MEDIAN(IF($C$3:$C$29=$C36,Q$3:Q$29,""))</f>
        <v>14.1</v>
      </c>
      <c r="R36">
        <f t="array" ref="R36">MEDIAN(IF($C$3:$C$29=$C36,R$3:R$29,""))</f>
        <v>13.1</v>
      </c>
      <c r="S36">
        <f t="array" ref="S36">MEDIAN(IF($C$3:$C$29=$C36,S$3:S$29,""))</f>
        <v>14.6</v>
      </c>
      <c r="T36">
        <f t="array" ref="T36">MEDIAN(IF($C$3:$C$29=$C36,T$3:T$29,""))</f>
        <v>14.5</v>
      </c>
      <c r="U36">
        <f t="array" ref="U36">MEDIAN(IF($C$3:$C$29=$C36,U$3:U$29,""))</f>
        <v>12.3</v>
      </c>
      <c r="V36">
        <f t="array" ref="V36">MEDIAN(IF($C$3:$C$29=$C36,V$3:V$29,""))</f>
        <v>13.5</v>
      </c>
      <c r="W36">
        <f t="array" ref="W36">MEDIAN(IF($C$3:$C$29=$C36,W$3:W$29,""))</f>
        <v>13</v>
      </c>
      <c r="X36">
        <f t="array" ref="X36">MEDIAN(IF($C$3:$C$29=$C36,X$3:X$29,""))</f>
        <v>15.1</v>
      </c>
      <c r="Y36">
        <f t="array" ref="Y36">MEDIAN(IF($C$3:$C$29=$C36,Y$3:Y$29,""))</f>
        <v>18.7</v>
      </c>
      <c r="Z36">
        <f t="array" ref="Z36">MEDIAN(IF($C$3:$C$29=$C36,Z$3:Z$29,""))</f>
        <v>18.100000000000001</v>
      </c>
      <c r="AA36">
        <f t="array" ref="AA36">MEDIAN(IF($C$3:$C$29=$C36,AA$3:AA$29,""))</f>
        <v>23.9</v>
      </c>
    </row>
    <row r="37" spans="3:27" x14ac:dyDescent="0.25">
      <c r="C37">
        <v>7</v>
      </c>
      <c r="D37">
        <f t="array" ref="D37">MEDIAN(IF($C$3:$C$29=$C37,D$3:D$29,""))</f>
        <v>26</v>
      </c>
      <c r="E37">
        <f t="array" ref="E37">MEDIAN(IF($C$3:$C$29=$C37,E$3:E$29,""))</f>
        <v>26.95</v>
      </c>
      <c r="F37">
        <f t="array" ref="F37">MEDIAN(IF($C$3:$C$29=$C37,F$3:F$29,""))</f>
        <v>0</v>
      </c>
      <c r="G37">
        <v>26</v>
      </c>
      <c r="H37">
        <f t="array" ref="H37">MEDIAN(IF($C$3:$C$29=$C37,H$3:H$29,""))</f>
        <v>21.85</v>
      </c>
      <c r="I37">
        <f t="array" ref="I37">MEDIAN(IF($C$3:$C$29=$C37,I$3:I$29,""))</f>
        <v>17.25</v>
      </c>
      <c r="J37">
        <f t="array" ref="J37">MEDIAN(IF($C$3:$C$29=$C37,J$3:J$29,""))</f>
        <v>12.55</v>
      </c>
      <c r="K37">
        <f t="array" ref="K37">MEDIAN(IF($C$3:$C$29=$C37,K$3:K$29,""))</f>
        <v>6.1</v>
      </c>
      <c r="L37">
        <f t="array" ref="L37">MEDIAN(IF($C$3:$C$29=$C37,L$3:L$29,""))</f>
        <v>7.45</v>
      </c>
      <c r="M37">
        <f t="array" ref="M37">MEDIAN(IF($C$3:$C$29=$C37,M$3:M$29,""))</f>
        <v>10.5</v>
      </c>
      <c r="N37">
        <f t="array" ref="N37">MEDIAN(IF($C$3:$C$29=$C37,N$3:N$29,""))</f>
        <v>11.5</v>
      </c>
      <c r="O37">
        <f t="array" ref="O37">MEDIAN(IF($C$3:$C$29=$C37,O$3:O$29,""))</f>
        <v>13.2</v>
      </c>
      <c r="P37">
        <f t="array" ref="P37">MEDIAN(IF($C$3:$C$29=$C37,P$3:P$29,""))</f>
        <v>14.2</v>
      </c>
      <c r="Q37">
        <f t="array" ref="Q37">MEDIAN(IF($C$3:$C$29=$C37,Q$3:Q$29,""))</f>
        <v>11.35</v>
      </c>
      <c r="R37">
        <f t="array" ref="R37">MEDIAN(IF($C$3:$C$29=$C37,R$3:R$29,""))</f>
        <v>12.55</v>
      </c>
      <c r="S37">
        <f t="array" ref="S37">MEDIAN(IF($C$3:$C$29=$C37,S$3:S$29,""))</f>
        <v>13.100000000000001</v>
      </c>
      <c r="T37">
        <f t="array" ref="T37">MEDIAN(IF($C$3:$C$29=$C37,T$3:T$29,""))</f>
        <v>12.7</v>
      </c>
      <c r="U37">
        <f t="array" ref="U37">MEDIAN(IF($C$3:$C$29=$C37,U$3:U$29,""))</f>
        <v>12.9</v>
      </c>
      <c r="V37">
        <f t="array" ref="V37">MEDIAN(IF($C$3:$C$29=$C37,V$3:V$29,""))</f>
        <v>12.75</v>
      </c>
      <c r="W37">
        <f t="array" ref="W37">MEDIAN(IF($C$3:$C$29=$C37,W$3:W$29,""))</f>
        <v>12.75</v>
      </c>
      <c r="X37">
        <f t="array" ref="X37">MEDIAN(IF($C$3:$C$29=$C37,X$3:X$29,""))</f>
        <v>15.05</v>
      </c>
      <c r="Y37">
        <f t="array" ref="Y37">MEDIAN(IF($C$3:$C$29=$C37,Y$3:Y$29,""))</f>
        <v>15.2</v>
      </c>
      <c r="Z37">
        <f t="array" ref="Z37">MEDIAN(IF($C$3:$C$29=$C37,Z$3:Z$29,""))</f>
        <v>17.350000000000001</v>
      </c>
      <c r="AA37">
        <f t="array" ref="AA37">MEDIAN(IF($C$3:$C$29=$C37,AA$3:AA$29,""))</f>
        <v>23.75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:AA37"/>
  <sheetViews>
    <sheetView workbookViewId="0">
      <selection activeCell="G31" sqref="G31:G37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19.7</v>
      </c>
      <c r="E3">
        <v>26.6</v>
      </c>
      <c r="H3">
        <v>18.3</v>
      </c>
      <c r="I3">
        <v>14.3</v>
      </c>
      <c r="J3">
        <v>9.9</v>
      </c>
      <c r="K3">
        <v>7.1</v>
      </c>
      <c r="L3">
        <v>9.1999999999999993</v>
      </c>
      <c r="M3">
        <v>10.5</v>
      </c>
      <c r="N3">
        <v>12.3</v>
      </c>
      <c r="O3">
        <v>10</v>
      </c>
      <c r="P3">
        <v>11.5</v>
      </c>
      <c r="Q3">
        <v>10.9</v>
      </c>
      <c r="R3">
        <v>11.7</v>
      </c>
      <c r="S3">
        <v>10.8</v>
      </c>
      <c r="T3">
        <v>9.3000000000000007</v>
      </c>
      <c r="U3">
        <v>10.7</v>
      </c>
      <c r="V3">
        <v>5.4</v>
      </c>
      <c r="W3">
        <v>8.1999999999999993</v>
      </c>
      <c r="X3">
        <v>8.3000000000000007</v>
      </c>
      <c r="Y3">
        <v>9.5</v>
      </c>
      <c r="Z3">
        <v>14.3</v>
      </c>
      <c r="AA3">
        <v>18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20.7</v>
      </c>
      <c r="E4">
        <v>25.2</v>
      </c>
      <c r="H4">
        <v>18.399999999999999</v>
      </c>
      <c r="I4">
        <v>15.4</v>
      </c>
      <c r="J4">
        <v>15.7</v>
      </c>
      <c r="K4">
        <v>12</v>
      </c>
      <c r="L4">
        <v>11.3</v>
      </c>
      <c r="M4">
        <v>10.199999999999999</v>
      </c>
      <c r="N4">
        <v>12.6</v>
      </c>
      <c r="O4">
        <v>9.6999999999999993</v>
      </c>
      <c r="P4">
        <v>11.9</v>
      </c>
      <c r="Q4">
        <v>8.8000000000000007</v>
      </c>
      <c r="R4">
        <v>11.3</v>
      </c>
      <c r="S4">
        <v>11.1</v>
      </c>
      <c r="T4">
        <v>9.5</v>
      </c>
      <c r="U4">
        <v>8.9</v>
      </c>
      <c r="V4">
        <v>9.8000000000000007</v>
      </c>
      <c r="W4">
        <v>12</v>
      </c>
      <c r="X4">
        <v>10.5</v>
      </c>
      <c r="Y4">
        <v>9.6999999999999993</v>
      </c>
      <c r="Z4">
        <v>10.7</v>
      </c>
      <c r="AA4">
        <v>11.5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23.3</v>
      </c>
      <c r="E5">
        <v>25.9</v>
      </c>
      <c r="F5">
        <v>8</v>
      </c>
      <c r="H5">
        <v>19.3</v>
      </c>
      <c r="I5">
        <v>20.6</v>
      </c>
      <c r="J5">
        <v>19.3</v>
      </c>
      <c r="K5">
        <v>18.2</v>
      </c>
      <c r="L5">
        <v>15.5</v>
      </c>
      <c r="M5">
        <v>16.3</v>
      </c>
      <c r="N5">
        <v>13.9</v>
      </c>
      <c r="O5">
        <v>14.2</v>
      </c>
      <c r="P5">
        <v>15.6</v>
      </c>
      <c r="Q5">
        <v>15</v>
      </c>
      <c r="R5">
        <v>14.8</v>
      </c>
      <c r="S5">
        <v>15.9</v>
      </c>
      <c r="T5">
        <v>18.3</v>
      </c>
      <c r="U5">
        <v>13</v>
      </c>
      <c r="V5">
        <v>14.9</v>
      </c>
      <c r="W5">
        <v>13.9</v>
      </c>
      <c r="X5">
        <v>13.7</v>
      </c>
      <c r="Y5">
        <v>15.4</v>
      </c>
      <c r="Z5">
        <v>14.1</v>
      </c>
      <c r="AA5">
        <v>14.9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18.8</v>
      </c>
      <c r="E6">
        <v>28.8</v>
      </c>
      <c r="H6">
        <v>20.9</v>
      </c>
      <c r="I6">
        <v>17.5</v>
      </c>
      <c r="J6">
        <v>10.5</v>
      </c>
      <c r="K6">
        <v>10</v>
      </c>
      <c r="L6">
        <v>9.5</v>
      </c>
      <c r="M6">
        <v>11.2</v>
      </c>
      <c r="N6">
        <v>12.3</v>
      </c>
      <c r="O6">
        <v>11.4</v>
      </c>
      <c r="P6">
        <v>10.1</v>
      </c>
      <c r="Q6">
        <v>10.6</v>
      </c>
      <c r="R6">
        <v>12.9</v>
      </c>
      <c r="S6">
        <v>10.1</v>
      </c>
      <c r="T6">
        <v>9.1999999999999993</v>
      </c>
      <c r="U6">
        <v>8.9</v>
      </c>
      <c r="V6">
        <v>10.4</v>
      </c>
      <c r="W6">
        <v>8.6</v>
      </c>
      <c r="X6">
        <v>11.5</v>
      </c>
      <c r="Y6">
        <v>13.1</v>
      </c>
      <c r="Z6">
        <v>13.1</v>
      </c>
      <c r="AA6">
        <v>18.5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19.5</v>
      </c>
      <c r="E7">
        <v>29.7</v>
      </c>
      <c r="H7">
        <v>18.600000000000001</v>
      </c>
      <c r="I7">
        <v>15.8</v>
      </c>
      <c r="J7">
        <v>9.4</v>
      </c>
      <c r="K7">
        <v>6</v>
      </c>
      <c r="L7">
        <v>11.1</v>
      </c>
      <c r="M7">
        <v>11.7</v>
      </c>
      <c r="N7">
        <v>11.3</v>
      </c>
      <c r="O7">
        <v>12.4</v>
      </c>
      <c r="P7">
        <v>11</v>
      </c>
      <c r="Q7">
        <v>9.9</v>
      </c>
      <c r="R7">
        <v>12.8</v>
      </c>
      <c r="S7">
        <v>10.4</v>
      </c>
      <c r="T7">
        <v>9.5</v>
      </c>
      <c r="U7">
        <v>9.6999999999999993</v>
      </c>
      <c r="V7">
        <v>8.5</v>
      </c>
      <c r="W7">
        <v>11.3</v>
      </c>
      <c r="X7">
        <v>9.1</v>
      </c>
      <c r="Y7">
        <v>10.5</v>
      </c>
      <c r="Z7">
        <v>15.7</v>
      </c>
      <c r="AA7">
        <v>18.7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23.8</v>
      </c>
      <c r="E8">
        <v>19.5</v>
      </c>
      <c r="H8">
        <v>19.8</v>
      </c>
      <c r="I8">
        <v>16.7</v>
      </c>
      <c r="J8">
        <v>9.9</v>
      </c>
      <c r="K8">
        <v>8</v>
      </c>
      <c r="L8">
        <v>7.6</v>
      </c>
      <c r="M8">
        <v>9.4</v>
      </c>
      <c r="N8">
        <v>9.4</v>
      </c>
      <c r="O8">
        <v>10</v>
      </c>
      <c r="P8">
        <v>9.8000000000000007</v>
      </c>
      <c r="Q8">
        <v>11.4</v>
      </c>
      <c r="R8">
        <v>10.8</v>
      </c>
      <c r="S8">
        <v>10.7</v>
      </c>
      <c r="T8">
        <v>10.1</v>
      </c>
      <c r="U8">
        <v>9</v>
      </c>
      <c r="V8">
        <v>9.6999999999999993</v>
      </c>
      <c r="W8">
        <v>14.5</v>
      </c>
      <c r="X8">
        <v>9.1999999999999993</v>
      </c>
      <c r="Y8">
        <v>11.9</v>
      </c>
      <c r="Z8">
        <v>14.5</v>
      </c>
      <c r="AA8">
        <v>21.4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21.6</v>
      </c>
      <c r="E9">
        <v>24</v>
      </c>
      <c r="H9">
        <v>22.3</v>
      </c>
      <c r="I9">
        <v>16.8</v>
      </c>
      <c r="J9">
        <v>10.199999999999999</v>
      </c>
      <c r="K9">
        <v>6.4</v>
      </c>
      <c r="L9">
        <v>8.6999999999999993</v>
      </c>
      <c r="M9">
        <v>9.9</v>
      </c>
      <c r="N9">
        <v>11.9</v>
      </c>
      <c r="O9">
        <v>11.2</v>
      </c>
      <c r="P9">
        <v>11.5</v>
      </c>
      <c r="Q9">
        <v>11.4</v>
      </c>
      <c r="R9">
        <v>8.6</v>
      </c>
      <c r="S9">
        <v>11</v>
      </c>
      <c r="T9">
        <v>10.9</v>
      </c>
      <c r="U9">
        <v>10.7</v>
      </c>
      <c r="V9">
        <v>8.3000000000000007</v>
      </c>
      <c r="W9">
        <v>9.6999999999999993</v>
      </c>
      <c r="X9">
        <v>10.6</v>
      </c>
      <c r="Y9">
        <v>12.9</v>
      </c>
      <c r="Z9">
        <v>13.8</v>
      </c>
      <c r="AA9">
        <v>16.100000000000001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23.7</v>
      </c>
      <c r="E10">
        <v>15.7</v>
      </c>
      <c r="H10">
        <v>17.100000000000001</v>
      </c>
      <c r="I10">
        <v>14.5</v>
      </c>
      <c r="J10">
        <v>10.1</v>
      </c>
      <c r="K10">
        <v>5.6</v>
      </c>
      <c r="L10">
        <v>8.4</v>
      </c>
      <c r="M10">
        <v>10.1</v>
      </c>
      <c r="N10">
        <v>8.1999999999999993</v>
      </c>
      <c r="O10">
        <v>10.5</v>
      </c>
      <c r="P10">
        <v>12.7</v>
      </c>
      <c r="Q10">
        <v>9.9</v>
      </c>
      <c r="R10">
        <v>12.4</v>
      </c>
      <c r="S10">
        <v>11.4</v>
      </c>
      <c r="T10">
        <v>8.9</v>
      </c>
      <c r="U10">
        <v>8.9</v>
      </c>
      <c r="V10">
        <v>6.7</v>
      </c>
      <c r="W10">
        <v>9.4</v>
      </c>
      <c r="X10">
        <v>9.9</v>
      </c>
      <c r="Y10">
        <v>8.8000000000000007</v>
      </c>
      <c r="Z10">
        <v>14.6</v>
      </c>
      <c r="AA10">
        <v>15.4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25.7</v>
      </c>
      <c r="E11">
        <v>19.3</v>
      </c>
      <c r="H11">
        <v>20</v>
      </c>
      <c r="I11">
        <v>18.399999999999999</v>
      </c>
      <c r="J11">
        <v>13.7</v>
      </c>
      <c r="K11">
        <v>12.1</v>
      </c>
      <c r="L11">
        <v>11.7</v>
      </c>
      <c r="M11">
        <v>8.8000000000000007</v>
      </c>
      <c r="N11">
        <v>10.7</v>
      </c>
      <c r="O11">
        <v>9.1</v>
      </c>
      <c r="P11">
        <v>8.4</v>
      </c>
      <c r="Q11">
        <v>8.4</v>
      </c>
      <c r="R11">
        <v>10.1</v>
      </c>
      <c r="S11">
        <v>10.9</v>
      </c>
      <c r="T11">
        <v>8.9</v>
      </c>
      <c r="U11">
        <v>9.6</v>
      </c>
      <c r="V11">
        <v>11.8</v>
      </c>
      <c r="W11">
        <v>7.5</v>
      </c>
      <c r="X11">
        <v>10.1</v>
      </c>
      <c r="Y11">
        <v>11</v>
      </c>
      <c r="Z11">
        <v>9.6</v>
      </c>
      <c r="AA11">
        <v>15.4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20.3</v>
      </c>
      <c r="E12">
        <v>21.6</v>
      </c>
      <c r="H12">
        <v>23.7</v>
      </c>
      <c r="I12">
        <v>21.3</v>
      </c>
      <c r="J12">
        <v>22.5</v>
      </c>
      <c r="K12">
        <v>19.7</v>
      </c>
      <c r="L12">
        <v>16.3</v>
      </c>
      <c r="M12">
        <v>17.399999999999999</v>
      </c>
      <c r="N12">
        <v>16.5</v>
      </c>
      <c r="O12">
        <v>10.5</v>
      </c>
      <c r="P12">
        <v>14.1</v>
      </c>
      <c r="Q12">
        <v>16.899999999999999</v>
      </c>
      <c r="R12">
        <v>13.4</v>
      </c>
      <c r="S12">
        <v>17.2</v>
      </c>
      <c r="T12">
        <v>15.6</v>
      </c>
      <c r="U12">
        <v>17.2</v>
      </c>
      <c r="V12">
        <v>13</v>
      </c>
      <c r="W12">
        <v>15.8</v>
      </c>
      <c r="X12">
        <v>12</v>
      </c>
      <c r="Y12">
        <v>12.6</v>
      </c>
      <c r="Z12">
        <v>13.1</v>
      </c>
      <c r="AA12">
        <v>17.2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18.600000000000001</v>
      </c>
      <c r="E13">
        <v>23.1</v>
      </c>
      <c r="H13">
        <v>17.600000000000001</v>
      </c>
      <c r="I13">
        <v>12.5</v>
      </c>
      <c r="J13">
        <v>9.3000000000000007</v>
      </c>
      <c r="K13">
        <v>6.1</v>
      </c>
      <c r="L13">
        <v>8.8000000000000007</v>
      </c>
      <c r="M13">
        <v>10.1</v>
      </c>
      <c r="N13">
        <v>11.7</v>
      </c>
      <c r="O13">
        <v>13</v>
      </c>
      <c r="P13">
        <v>13.5</v>
      </c>
      <c r="Q13">
        <v>11.1</v>
      </c>
      <c r="R13">
        <v>12</v>
      </c>
      <c r="S13">
        <v>8.6</v>
      </c>
      <c r="T13">
        <v>10.9</v>
      </c>
      <c r="U13">
        <v>11.1</v>
      </c>
      <c r="V13">
        <v>8</v>
      </c>
      <c r="W13">
        <v>12.4</v>
      </c>
      <c r="X13">
        <v>13.7</v>
      </c>
      <c r="Y13">
        <v>14.5</v>
      </c>
      <c r="Z13">
        <v>15.2</v>
      </c>
      <c r="AA13">
        <v>19.7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24.9</v>
      </c>
      <c r="E14">
        <v>20.399999999999999</v>
      </c>
      <c r="H14">
        <v>22.7</v>
      </c>
      <c r="I14">
        <v>14.3</v>
      </c>
      <c r="J14">
        <v>8.3000000000000007</v>
      </c>
      <c r="K14">
        <v>8.3000000000000007</v>
      </c>
      <c r="L14">
        <v>9.6</v>
      </c>
      <c r="M14">
        <v>10.6</v>
      </c>
      <c r="N14">
        <v>12.6</v>
      </c>
      <c r="O14">
        <v>12.3</v>
      </c>
      <c r="P14">
        <v>10.3</v>
      </c>
      <c r="Q14">
        <v>10.3</v>
      </c>
      <c r="R14">
        <v>12.1</v>
      </c>
      <c r="S14">
        <v>11.2</v>
      </c>
      <c r="T14">
        <v>9.8000000000000007</v>
      </c>
      <c r="U14">
        <v>8.8000000000000007</v>
      </c>
      <c r="V14">
        <v>7.8</v>
      </c>
      <c r="W14">
        <v>9.1</v>
      </c>
      <c r="X14">
        <v>10.1</v>
      </c>
      <c r="Y14">
        <v>15.7</v>
      </c>
      <c r="Z14">
        <v>15.9</v>
      </c>
      <c r="AA14">
        <v>14.5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19</v>
      </c>
      <c r="E15">
        <v>19</v>
      </c>
      <c r="H15">
        <v>19.7</v>
      </c>
      <c r="I15">
        <v>15.8</v>
      </c>
      <c r="J15">
        <v>8.6</v>
      </c>
      <c r="K15">
        <v>5.4</v>
      </c>
      <c r="L15">
        <v>7.6</v>
      </c>
      <c r="M15">
        <v>10.9</v>
      </c>
      <c r="N15">
        <v>11.8</v>
      </c>
      <c r="O15">
        <v>11</v>
      </c>
      <c r="P15">
        <v>11.7</v>
      </c>
      <c r="Q15">
        <v>9.8000000000000007</v>
      </c>
      <c r="R15">
        <v>9.6</v>
      </c>
      <c r="S15">
        <v>11.7</v>
      </c>
      <c r="T15">
        <v>11</v>
      </c>
      <c r="U15">
        <v>9</v>
      </c>
      <c r="V15">
        <v>7.4</v>
      </c>
      <c r="W15">
        <v>10.7</v>
      </c>
      <c r="X15">
        <v>11.5</v>
      </c>
      <c r="Y15">
        <v>16.7</v>
      </c>
      <c r="Z15">
        <v>15</v>
      </c>
      <c r="AA15">
        <v>18.7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21</v>
      </c>
      <c r="E16">
        <v>24.7</v>
      </c>
      <c r="H16">
        <v>20.2</v>
      </c>
      <c r="I16">
        <v>13.7</v>
      </c>
      <c r="J16">
        <v>11.3</v>
      </c>
      <c r="K16">
        <v>8.9</v>
      </c>
      <c r="L16">
        <v>9.1</v>
      </c>
      <c r="M16">
        <v>12.5</v>
      </c>
      <c r="N16">
        <v>9.5</v>
      </c>
      <c r="O16">
        <v>10.3</v>
      </c>
      <c r="P16">
        <v>11</v>
      </c>
      <c r="Q16">
        <v>11.5</v>
      </c>
      <c r="R16">
        <v>12.4</v>
      </c>
      <c r="S16">
        <v>11</v>
      </c>
      <c r="T16">
        <v>10.3</v>
      </c>
      <c r="U16">
        <v>8.8000000000000007</v>
      </c>
      <c r="V16">
        <v>10.8</v>
      </c>
      <c r="W16">
        <v>10.199999999999999</v>
      </c>
      <c r="X16">
        <v>8.8000000000000007</v>
      </c>
      <c r="Y16">
        <v>13</v>
      </c>
      <c r="Z16">
        <v>13.1</v>
      </c>
      <c r="AA16">
        <v>15.8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23.5</v>
      </c>
      <c r="E17">
        <v>20.399999999999999</v>
      </c>
      <c r="H17">
        <v>22.8</v>
      </c>
      <c r="I17">
        <v>12.9</v>
      </c>
      <c r="J17">
        <v>9.4</v>
      </c>
      <c r="K17">
        <v>4.5999999999999996</v>
      </c>
      <c r="L17">
        <v>7.1</v>
      </c>
      <c r="M17">
        <v>12.7</v>
      </c>
      <c r="N17">
        <v>10.199999999999999</v>
      </c>
      <c r="O17">
        <v>12.5</v>
      </c>
      <c r="P17">
        <v>12.9</v>
      </c>
      <c r="Q17">
        <v>10.5</v>
      </c>
      <c r="R17">
        <v>9.1</v>
      </c>
      <c r="S17">
        <v>10.9</v>
      </c>
      <c r="T17">
        <v>8.6</v>
      </c>
      <c r="U17">
        <v>8.1</v>
      </c>
      <c r="V17">
        <v>10.3</v>
      </c>
      <c r="W17">
        <v>10.8</v>
      </c>
      <c r="X17">
        <v>10</v>
      </c>
      <c r="Y17">
        <v>9.6</v>
      </c>
      <c r="Z17">
        <v>15.3</v>
      </c>
      <c r="AA17">
        <v>16.8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17.5</v>
      </c>
      <c r="E18">
        <v>12.4</v>
      </c>
      <c r="H18">
        <v>20.6</v>
      </c>
      <c r="I18">
        <v>13.8</v>
      </c>
      <c r="J18">
        <v>11</v>
      </c>
      <c r="K18">
        <v>9.6</v>
      </c>
      <c r="L18">
        <v>12.3</v>
      </c>
      <c r="M18">
        <v>12</v>
      </c>
      <c r="N18">
        <v>12.1</v>
      </c>
      <c r="O18">
        <v>10.5</v>
      </c>
      <c r="P18">
        <v>9.9</v>
      </c>
      <c r="Q18">
        <v>10.4</v>
      </c>
      <c r="R18">
        <v>10.199999999999999</v>
      </c>
      <c r="S18">
        <v>11.3</v>
      </c>
      <c r="T18">
        <v>7.6</v>
      </c>
      <c r="U18">
        <v>9.9</v>
      </c>
      <c r="V18">
        <v>7.9</v>
      </c>
      <c r="W18">
        <v>6.3</v>
      </c>
      <c r="X18">
        <v>8</v>
      </c>
      <c r="Y18">
        <v>11.9</v>
      </c>
      <c r="Z18">
        <v>10</v>
      </c>
      <c r="AA18">
        <v>15.7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24.5</v>
      </c>
      <c r="H19">
        <v>26.2</v>
      </c>
      <c r="I19">
        <v>21.2</v>
      </c>
      <c r="J19">
        <v>20.9</v>
      </c>
      <c r="K19">
        <v>17.7</v>
      </c>
      <c r="L19">
        <v>16.399999999999999</v>
      </c>
      <c r="M19">
        <v>15.7</v>
      </c>
      <c r="N19">
        <v>14.7</v>
      </c>
      <c r="O19">
        <v>16.5</v>
      </c>
      <c r="P19">
        <v>12.3</v>
      </c>
      <c r="Q19">
        <v>11.8</v>
      </c>
      <c r="R19">
        <v>16.7</v>
      </c>
      <c r="S19">
        <v>17.100000000000001</v>
      </c>
      <c r="T19">
        <v>15.4</v>
      </c>
      <c r="U19">
        <v>12.6</v>
      </c>
      <c r="V19">
        <v>14.6</v>
      </c>
      <c r="W19">
        <v>11.1</v>
      </c>
      <c r="X19">
        <v>13.6</v>
      </c>
      <c r="Y19">
        <v>14.1</v>
      </c>
      <c r="Z19">
        <v>14.5</v>
      </c>
      <c r="AA19">
        <v>19.600000000000001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21.4</v>
      </c>
      <c r="E20">
        <v>25.2</v>
      </c>
      <c r="H20">
        <v>20.399999999999999</v>
      </c>
      <c r="I20">
        <v>14.2</v>
      </c>
      <c r="J20">
        <v>8.5</v>
      </c>
      <c r="K20">
        <v>5.7</v>
      </c>
      <c r="L20">
        <v>9</v>
      </c>
      <c r="M20">
        <v>11</v>
      </c>
      <c r="N20">
        <v>10.1</v>
      </c>
      <c r="O20">
        <v>12.1</v>
      </c>
      <c r="P20">
        <v>11.5</v>
      </c>
      <c r="Q20">
        <v>11</v>
      </c>
      <c r="R20">
        <v>11.9</v>
      </c>
      <c r="S20">
        <v>11.5</v>
      </c>
      <c r="T20">
        <v>9.8000000000000007</v>
      </c>
      <c r="U20">
        <v>9.9</v>
      </c>
      <c r="V20">
        <v>10</v>
      </c>
      <c r="W20">
        <v>9.6</v>
      </c>
      <c r="X20">
        <v>12.3</v>
      </c>
      <c r="Y20">
        <v>15.3</v>
      </c>
      <c r="Z20">
        <v>15</v>
      </c>
      <c r="AA20">
        <v>19.600000000000001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19.5</v>
      </c>
      <c r="E21">
        <v>18.2</v>
      </c>
      <c r="H21">
        <v>21.8</v>
      </c>
      <c r="I21">
        <v>16.7</v>
      </c>
      <c r="J21">
        <v>7</v>
      </c>
      <c r="K21">
        <v>7.2</v>
      </c>
      <c r="L21">
        <v>10.199999999999999</v>
      </c>
      <c r="M21">
        <v>11.2</v>
      </c>
      <c r="N21">
        <v>9.6999999999999993</v>
      </c>
      <c r="O21">
        <v>10.8</v>
      </c>
      <c r="P21">
        <v>12.6</v>
      </c>
      <c r="Q21">
        <v>9.8000000000000007</v>
      </c>
      <c r="R21">
        <v>10.9</v>
      </c>
      <c r="S21">
        <v>10.3</v>
      </c>
      <c r="T21">
        <v>9.8000000000000007</v>
      </c>
      <c r="U21">
        <v>9.6</v>
      </c>
      <c r="V21">
        <v>11.4</v>
      </c>
      <c r="W21">
        <v>10</v>
      </c>
      <c r="X21">
        <v>12.1</v>
      </c>
      <c r="Y21">
        <v>12.2</v>
      </c>
      <c r="Z21">
        <v>13.5</v>
      </c>
      <c r="AA21">
        <v>12.7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22.5</v>
      </c>
      <c r="E22">
        <v>24.1</v>
      </c>
      <c r="H22">
        <v>22</v>
      </c>
      <c r="I22">
        <v>17.100000000000001</v>
      </c>
      <c r="J22">
        <v>9</v>
      </c>
      <c r="K22">
        <v>8.3000000000000007</v>
      </c>
      <c r="L22">
        <v>9.6</v>
      </c>
      <c r="M22">
        <v>11.4</v>
      </c>
      <c r="N22">
        <v>9.6999999999999993</v>
      </c>
      <c r="O22">
        <v>12.3</v>
      </c>
      <c r="P22">
        <v>13.3</v>
      </c>
      <c r="Q22">
        <v>10.199999999999999</v>
      </c>
      <c r="R22">
        <v>8.4</v>
      </c>
      <c r="S22">
        <v>10.5</v>
      </c>
      <c r="T22">
        <v>9.9</v>
      </c>
      <c r="U22">
        <v>11.2</v>
      </c>
      <c r="V22">
        <v>7.7</v>
      </c>
      <c r="W22">
        <v>8.3000000000000007</v>
      </c>
      <c r="X22">
        <v>13.5</v>
      </c>
      <c r="Y22">
        <v>12.5</v>
      </c>
      <c r="Z22">
        <v>14.2</v>
      </c>
      <c r="AA22">
        <v>15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18.100000000000001</v>
      </c>
      <c r="E23">
        <v>19</v>
      </c>
      <c r="H23">
        <v>20</v>
      </c>
      <c r="I23">
        <v>11.5</v>
      </c>
      <c r="J23">
        <v>12.7</v>
      </c>
      <c r="K23">
        <v>9.6</v>
      </c>
      <c r="L23">
        <v>10.4</v>
      </c>
      <c r="M23">
        <v>11.4</v>
      </c>
      <c r="N23">
        <v>11.4</v>
      </c>
      <c r="O23">
        <v>12</v>
      </c>
      <c r="P23">
        <v>10.9</v>
      </c>
      <c r="Q23">
        <v>10.5</v>
      </c>
      <c r="R23">
        <v>10.6</v>
      </c>
      <c r="S23">
        <v>11.5</v>
      </c>
      <c r="T23">
        <v>8.5</v>
      </c>
      <c r="U23">
        <v>11</v>
      </c>
      <c r="V23">
        <v>9.5</v>
      </c>
      <c r="W23">
        <v>8.5</v>
      </c>
      <c r="X23">
        <v>10.9</v>
      </c>
      <c r="Y23">
        <v>12.2</v>
      </c>
      <c r="Z23">
        <v>13.5</v>
      </c>
      <c r="AA23">
        <v>18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21.3</v>
      </c>
      <c r="E24">
        <v>25.2</v>
      </c>
      <c r="H24">
        <v>17.399999999999999</v>
      </c>
      <c r="I24">
        <v>14.7</v>
      </c>
      <c r="J24">
        <v>10.7</v>
      </c>
      <c r="K24">
        <v>9.9</v>
      </c>
      <c r="L24">
        <v>9.6</v>
      </c>
      <c r="M24">
        <v>10.199999999999999</v>
      </c>
      <c r="N24">
        <v>10.1</v>
      </c>
      <c r="O24">
        <v>15.6</v>
      </c>
      <c r="P24">
        <v>10.5</v>
      </c>
      <c r="Q24">
        <v>10.7</v>
      </c>
      <c r="R24">
        <v>9.9</v>
      </c>
      <c r="S24">
        <v>11.5</v>
      </c>
      <c r="T24">
        <v>11.3</v>
      </c>
      <c r="U24">
        <v>9.6</v>
      </c>
      <c r="V24">
        <v>4.8</v>
      </c>
      <c r="W24">
        <v>6.8</v>
      </c>
      <c r="X24">
        <v>11.2</v>
      </c>
      <c r="Y24">
        <v>10.6</v>
      </c>
      <c r="Z24">
        <v>14</v>
      </c>
      <c r="AA24">
        <v>16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25.3</v>
      </c>
      <c r="E25">
        <v>16.2</v>
      </c>
      <c r="H25">
        <v>27.4</v>
      </c>
      <c r="I25">
        <v>15.3</v>
      </c>
      <c r="J25">
        <v>14.6</v>
      </c>
      <c r="K25">
        <v>10.8</v>
      </c>
      <c r="L25">
        <v>11.1</v>
      </c>
      <c r="M25">
        <v>9.3000000000000007</v>
      </c>
      <c r="N25">
        <v>10.4</v>
      </c>
      <c r="O25">
        <v>8.6</v>
      </c>
      <c r="P25">
        <v>10.6</v>
      </c>
      <c r="Q25">
        <v>9.1</v>
      </c>
      <c r="R25">
        <v>11.7</v>
      </c>
      <c r="T25">
        <v>6.8</v>
      </c>
      <c r="U25">
        <v>12.2</v>
      </c>
      <c r="V25">
        <v>11.4</v>
      </c>
      <c r="W25">
        <v>16.600000000000001</v>
      </c>
      <c r="X25">
        <v>8.5</v>
      </c>
      <c r="Z25">
        <v>11.6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34.200000000000003</v>
      </c>
      <c r="E26">
        <v>22.8</v>
      </c>
      <c r="H26">
        <v>23.4</v>
      </c>
      <c r="I26">
        <v>20.9</v>
      </c>
      <c r="J26">
        <v>19.399999999999999</v>
      </c>
      <c r="K26">
        <v>14.4</v>
      </c>
      <c r="L26">
        <v>14.5</v>
      </c>
      <c r="M26">
        <v>14.2</v>
      </c>
      <c r="N26">
        <v>15.1</v>
      </c>
      <c r="O26">
        <v>14</v>
      </c>
      <c r="P26">
        <v>12.6</v>
      </c>
      <c r="Q26">
        <v>16.3</v>
      </c>
      <c r="R26">
        <v>13.5</v>
      </c>
      <c r="S26">
        <v>17.600000000000001</v>
      </c>
      <c r="T26">
        <v>14.5</v>
      </c>
      <c r="U26">
        <v>11.5</v>
      </c>
      <c r="V26">
        <v>16.399999999999999</v>
      </c>
      <c r="W26">
        <v>17</v>
      </c>
      <c r="X26">
        <v>14.8</v>
      </c>
      <c r="Y26">
        <v>14.2</v>
      </c>
      <c r="Z26">
        <v>17.7</v>
      </c>
      <c r="AA26">
        <v>14.6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18.7</v>
      </c>
      <c r="E27">
        <v>22.7</v>
      </c>
      <c r="H27">
        <v>15</v>
      </c>
      <c r="I27">
        <v>17.3</v>
      </c>
      <c r="J27">
        <v>9.4</v>
      </c>
      <c r="K27">
        <v>9.1999999999999993</v>
      </c>
      <c r="L27">
        <v>8.3000000000000007</v>
      </c>
      <c r="M27">
        <v>11</v>
      </c>
      <c r="N27">
        <v>11</v>
      </c>
      <c r="O27">
        <v>12.6</v>
      </c>
      <c r="P27">
        <v>11.5</v>
      </c>
      <c r="Q27">
        <v>12</v>
      </c>
      <c r="R27">
        <v>10.5</v>
      </c>
      <c r="S27">
        <v>9.4</v>
      </c>
      <c r="T27">
        <v>9.9</v>
      </c>
      <c r="U27">
        <v>9.3000000000000007</v>
      </c>
      <c r="V27">
        <v>8.1</v>
      </c>
      <c r="W27">
        <v>9.3000000000000007</v>
      </c>
      <c r="X27">
        <v>13.1</v>
      </c>
      <c r="Y27">
        <v>11.8</v>
      </c>
      <c r="Z27">
        <v>13.7</v>
      </c>
      <c r="AA27">
        <v>15.8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20.8</v>
      </c>
      <c r="E28">
        <v>21.3</v>
      </c>
      <c r="H28">
        <v>21</v>
      </c>
      <c r="I28">
        <v>14.3</v>
      </c>
      <c r="J28">
        <v>8.1</v>
      </c>
      <c r="K28">
        <v>7.1</v>
      </c>
      <c r="L28">
        <v>5.9</v>
      </c>
      <c r="M28">
        <v>12.4</v>
      </c>
      <c r="N28">
        <v>12.1</v>
      </c>
      <c r="O28">
        <v>13.9</v>
      </c>
      <c r="P28">
        <v>10.8</v>
      </c>
      <c r="Q28">
        <v>12.7</v>
      </c>
      <c r="R28">
        <v>8.5</v>
      </c>
      <c r="S28">
        <v>9.9</v>
      </c>
      <c r="T28">
        <v>9.3000000000000007</v>
      </c>
      <c r="U28">
        <v>9.5</v>
      </c>
      <c r="V28">
        <v>6.4</v>
      </c>
      <c r="W28">
        <v>11.4</v>
      </c>
      <c r="X28">
        <v>10.3</v>
      </c>
      <c r="Y28">
        <v>13</v>
      </c>
      <c r="Z28">
        <v>15.9</v>
      </c>
      <c r="AA28">
        <v>15.2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17.5</v>
      </c>
      <c r="E29">
        <v>27.9</v>
      </c>
      <c r="H29">
        <v>15.8</v>
      </c>
      <c r="I29">
        <v>14.6</v>
      </c>
      <c r="J29">
        <v>10.1</v>
      </c>
      <c r="K29">
        <v>6.6</v>
      </c>
      <c r="L29">
        <v>9.3000000000000007</v>
      </c>
      <c r="M29">
        <v>13.6</v>
      </c>
      <c r="N29">
        <v>9.4</v>
      </c>
      <c r="O29">
        <v>11.5</v>
      </c>
      <c r="P29">
        <v>11.3</v>
      </c>
      <c r="Q29">
        <v>10.199999999999999</v>
      </c>
      <c r="R29">
        <v>12.3</v>
      </c>
      <c r="S29">
        <v>8.9</v>
      </c>
      <c r="T29">
        <v>9.4</v>
      </c>
      <c r="U29">
        <v>8.3000000000000007</v>
      </c>
      <c r="V29">
        <v>9.5</v>
      </c>
      <c r="W29">
        <v>10.7</v>
      </c>
      <c r="X29">
        <v>11.1</v>
      </c>
      <c r="Y29">
        <v>11.9</v>
      </c>
      <c r="Z29">
        <v>17.100000000000001</v>
      </c>
      <c r="AA29">
        <v>15.9</v>
      </c>
    </row>
    <row r="31" spans="1:27" x14ac:dyDescent="0.25">
      <c r="C31">
        <v>1</v>
      </c>
      <c r="D31">
        <f t="array" ref="D31">MEDIAN(IF($C$3:$C$29=$C31,D$3:D$29,""))</f>
        <v>23.9</v>
      </c>
      <c r="E31">
        <f t="array" ref="E31">MEDIAN(IF($C$3:$C$29=$C31,E$3:E$29,""))</f>
        <v>22.200000000000003</v>
      </c>
      <c r="F31">
        <f t="array" ref="F31">MEDIAN(IF($C$3:$C$29=$C31,F$3:F$29,""))</f>
        <v>0</v>
      </c>
      <c r="G31">
        <v>26</v>
      </c>
      <c r="H31">
        <f t="array" ref="H31">MEDIAN(IF($C$3:$C$29=$C31,H$3:H$29,""))</f>
        <v>23.549999999999997</v>
      </c>
      <c r="I31">
        <f t="array" ref="I31">MEDIAN(IF($C$3:$C$29=$C31,I$3:I$29,""))</f>
        <v>21.049999999999997</v>
      </c>
      <c r="J31">
        <f t="array" ref="J31">MEDIAN(IF($C$3:$C$29=$C31,J$3:J$29,""))</f>
        <v>20.149999999999999</v>
      </c>
      <c r="K31">
        <f t="array" ref="K31">MEDIAN(IF($C$3:$C$29=$C31,K$3:K$29,""))</f>
        <v>17.95</v>
      </c>
      <c r="L31">
        <f t="array" ref="L31">MEDIAN(IF($C$3:$C$29=$C31,L$3:L$29,""))</f>
        <v>15.9</v>
      </c>
      <c r="M31">
        <f t="array" ref="M31">MEDIAN(IF($C$3:$C$29=$C31,M$3:M$29,""))</f>
        <v>16</v>
      </c>
      <c r="N31">
        <f t="array" ref="N31">MEDIAN(IF($C$3:$C$29=$C31,N$3:N$29,""))</f>
        <v>14.899999999999999</v>
      </c>
      <c r="O31">
        <f t="array" ref="O31">MEDIAN(IF($C$3:$C$29=$C31,O$3:O$29,""))</f>
        <v>14.1</v>
      </c>
      <c r="P31">
        <f t="array" ref="P31">MEDIAN(IF($C$3:$C$29=$C31,P$3:P$29,""))</f>
        <v>13.35</v>
      </c>
      <c r="Q31">
        <f t="array" ref="Q31">MEDIAN(IF($C$3:$C$29=$C31,Q$3:Q$29,""))</f>
        <v>15.65</v>
      </c>
      <c r="R31">
        <f t="array" ref="R31">MEDIAN(IF($C$3:$C$29=$C31,R$3:R$29,""))</f>
        <v>14.15</v>
      </c>
      <c r="S31">
        <f t="array" ref="S31">MEDIAN(IF($C$3:$C$29=$C31,S$3:S$29,""))</f>
        <v>17.149999999999999</v>
      </c>
      <c r="T31">
        <f t="array" ref="T31">MEDIAN(IF($C$3:$C$29=$C31,T$3:T$29,""))</f>
        <v>15.5</v>
      </c>
      <c r="U31">
        <f t="array" ref="U31">MEDIAN(IF($C$3:$C$29=$C31,U$3:U$29,""))</f>
        <v>12.8</v>
      </c>
      <c r="V31">
        <f t="array" ref="V31">MEDIAN(IF($C$3:$C$29=$C31,V$3:V$29,""))</f>
        <v>14.75</v>
      </c>
      <c r="W31">
        <f t="array" ref="W31">MEDIAN(IF($C$3:$C$29=$C31,W$3:W$29,""))</f>
        <v>14.850000000000001</v>
      </c>
      <c r="X31">
        <f t="array" ref="X31">MEDIAN(IF($C$3:$C$29=$C31,X$3:X$29,""))</f>
        <v>13.649999999999999</v>
      </c>
      <c r="Y31">
        <f t="array" ref="Y31">MEDIAN(IF($C$3:$C$29=$C31,Y$3:Y$29,""))</f>
        <v>14.149999999999999</v>
      </c>
      <c r="Z31">
        <f t="array" ref="Z31">MEDIAN(IF($C$3:$C$29=$C31,Z$3:Z$29,""))</f>
        <v>14.3</v>
      </c>
      <c r="AA31">
        <f t="array" ref="AA31">MEDIAN(IF($C$3:$C$29=$C31,AA$3:AA$29,""))</f>
        <v>16.05</v>
      </c>
    </row>
    <row r="32" spans="1:27" x14ac:dyDescent="0.25">
      <c r="C32">
        <v>2</v>
      </c>
      <c r="D32">
        <f t="array" ref="D32">MEDIAN(IF($C$3:$C$29=$C32,D$3:D$29,""))</f>
        <v>23</v>
      </c>
      <c r="E32">
        <f t="array" ref="E32">MEDIAN(IF($C$3:$C$29=$C32,E$3:E$29,""))</f>
        <v>17.75</v>
      </c>
      <c r="F32">
        <f t="array" ref="F32">MEDIAN(IF($C$3:$C$29=$C32,F$3:F$29,""))</f>
        <v>0</v>
      </c>
      <c r="G32">
        <v>26</v>
      </c>
      <c r="H32">
        <f t="array" ref="H32">MEDIAN(IF($C$3:$C$29=$C32,H$3:H$29,""))</f>
        <v>20.3</v>
      </c>
      <c r="I32">
        <f t="array" ref="I32">MEDIAN(IF($C$3:$C$29=$C32,I$3:I$29,""))</f>
        <v>15.350000000000001</v>
      </c>
      <c r="J32">
        <f t="array" ref="J32">MEDIAN(IF($C$3:$C$29=$C32,J$3:J$29,""))</f>
        <v>14.149999999999999</v>
      </c>
      <c r="K32">
        <f t="array" ref="K32">MEDIAN(IF($C$3:$C$29=$C32,K$3:K$29,""))</f>
        <v>11.4</v>
      </c>
      <c r="L32">
        <f t="array" ref="L32">MEDIAN(IF($C$3:$C$29=$C32,L$3:L$29,""))</f>
        <v>11.5</v>
      </c>
      <c r="M32">
        <f t="array" ref="M32">MEDIAN(IF($C$3:$C$29=$C32,M$3:M$29,""))</f>
        <v>9.75</v>
      </c>
      <c r="N32">
        <f t="array" ref="N32">MEDIAN(IF($C$3:$C$29=$C32,N$3:N$29,""))</f>
        <v>11.399999999999999</v>
      </c>
      <c r="O32">
        <f t="array" ref="O32">MEDIAN(IF($C$3:$C$29=$C32,O$3:O$29,""))</f>
        <v>9.3999999999999986</v>
      </c>
      <c r="P32">
        <f t="array" ref="P32">MEDIAN(IF($C$3:$C$29=$C32,P$3:P$29,""))</f>
        <v>10.25</v>
      </c>
      <c r="Q32">
        <f t="array" ref="Q32">MEDIAN(IF($C$3:$C$29=$C32,Q$3:Q$29,""))</f>
        <v>8.9499999999999993</v>
      </c>
      <c r="R32">
        <f t="array" ref="R32">MEDIAN(IF($C$3:$C$29=$C32,R$3:R$29,""))</f>
        <v>10.75</v>
      </c>
      <c r="S32">
        <f t="array" ref="S32">MEDIAN(IF($C$3:$C$29=$C32,S$3:S$29,""))</f>
        <v>11</v>
      </c>
      <c r="T32">
        <f t="array" ref="T32">MEDIAN(IF($C$3:$C$29=$C32,T$3:T$29,""))</f>
        <v>8.25</v>
      </c>
      <c r="U32">
        <f t="array" ref="U32">MEDIAN(IF($C$3:$C$29=$C32,U$3:U$29,""))</f>
        <v>9.75</v>
      </c>
      <c r="V32">
        <f t="array" ref="V32">MEDIAN(IF($C$3:$C$29=$C32,V$3:V$29,""))</f>
        <v>10.600000000000001</v>
      </c>
      <c r="W32">
        <f t="array" ref="W32">MEDIAN(IF($C$3:$C$29=$C32,W$3:W$29,""))</f>
        <v>9.75</v>
      </c>
      <c r="X32">
        <f t="array" ref="X32">MEDIAN(IF($C$3:$C$29=$C32,X$3:X$29,""))</f>
        <v>9.3000000000000007</v>
      </c>
      <c r="Y32">
        <f t="array" ref="Y32">MEDIAN(IF($C$3:$C$29=$C32,Y$3:Y$29,""))</f>
        <v>10.35</v>
      </c>
      <c r="Z32">
        <f t="array" ref="Z32">MEDIAN(IF($C$3:$C$29=$C32,Z$3:Z$29,""))</f>
        <v>10.35</v>
      </c>
      <c r="AA32">
        <f t="array" ref="AA32">MEDIAN(IF($C$3:$C$29=$C32,AA$3:AA$29,""))</f>
        <v>13.45</v>
      </c>
    </row>
    <row r="33" spans="3:27" x14ac:dyDescent="0.25">
      <c r="C33">
        <v>3</v>
      </c>
      <c r="D33">
        <f t="array" ref="D33">MEDIAN(IF($C$3:$C$29=$C33,D$3:D$29,""))</f>
        <v>18.75</v>
      </c>
      <c r="E33">
        <f t="array" ref="E33">MEDIAN(IF($C$3:$C$29=$C33,E$3:E$29,""))</f>
        <v>24.15</v>
      </c>
      <c r="F33">
        <f t="array" ref="F33">MEDIAN(IF($C$3:$C$29=$C33,F$3:F$29,""))</f>
        <v>0</v>
      </c>
      <c r="G33">
        <v>26</v>
      </c>
      <c r="H33">
        <f t="array" ref="H33">MEDIAN(IF($C$3:$C$29=$C33,H$3:H$29,""))</f>
        <v>19</v>
      </c>
      <c r="I33">
        <f t="array" ref="I33">MEDIAN(IF($C$3:$C$29=$C33,I$3:I$29,""))</f>
        <v>15.75</v>
      </c>
      <c r="J33">
        <f t="array" ref="J33">MEDIAN(IF($C$3:$C$29=$C33,J$3:J$29,""))</f>
        <v>9.3500000000000014</v>
      </c>
      <c r="K33">
        <f t="array" ref="K33">MEDIAN(IF($C$3:$C$29=$C33,K$3:K$29,""))</f>
        <v>7.6499999999999995</v>
      </c>
      <c r="L33">
        <f t="array" ref="L33">MEDIAN(IF($C$3:$C$29=$C33,L$3:L$29,""))</f>
        <v>8.9</v>
      </c>
      <c r="M33">
        <f t="array" ref="M33">MEDIAN(IF($C$3:$C$29=$C33,M$3:M$29,""))</f>
        <v>11</v>
      </c>
      <c r="N33">
        <f t="array" ref="N33">MEDIAN(IF($C$3:$C$29=$C33,N$3:N$29,""))</f>
        <v>11.35</v>
      </c>
      <c r="O33">
        <f t="array" ref="O33">MEDIAN(IF($C$3:$C$29=$C33,O$3:O$29,""))</f>
        <v>12.35</v>
      </c>
      <c r="P33">
        <f t="array" ref="P33">MEDIAN(IF($C$3:$C$29=$C33,P$3:P$29,""))</f>
        <v>11.5</v>
      </c>
      <c r="Q33">
        <f t="array" ref="Q33">MEDIAN(IF($C$3:$C$29=$C33,Q$3:Q$29,""))</f>
        <v>11.05</v>
      </c>
      <c r="R33">
        <f t="array" ref="R33">MEDIAN(IF($C$3:$C$29=$C33,R$3:R$29,""))</f>
        <v>11.95</v>
      </c>
      <c r="S33">
        <f t="array" ref="S33">MEDIAN(IF($C$3:$C$29=$C33,S$3:S$29,""))</f>
        <v>9.75</v>
      </c>
      <c r="T33">
        <f t="array" ref="T33">MEDIAN(IF($C$3:$C$29=$C33,T$3:T$29,""))</f>
        <v>9.8500000000000014</v>
      </c>
      <c r="U33">
        <f t="array" ref="U33">MEDIAN(IF($C$3:$C$29=$C33,U$3:U$29,""))</f>
        <v>9.6000000000000014</v>
      </c>
      <c r="V33">
        <f t="array" ref="V33">MEDIAN(IF($C$3:$C$29=$C33,V$3:V$29,""))</f>
        <v>9.0500000000000007</v>
      </c>
      <c r="W33">
        <f t="array" ref="W33">MEDIAN(IF($C$3:$C$29=$C33,W$3:W$29,""))</f>
        <v>9.4499999999999993</v>
      </c>
      <c r="X33">
        <f t="array" ref="X33">MEDIAN(IF($C$3:$C$29=$C33,X$3:X$29,""))</f>
        <v>12.7</v>
      </c>
      <c r="Y33">
        <f t="array" ref="Y33">MEDIAN(IF($C$3:$C$29=$C33,Y$3:Y$29,""))</f>
        <v>13.8</v>
      </c>
      <c r="Z33">
        <f t="array" ref="Z33">MEDIAN(IF($C$3:$C$29=$C33,Z$3:Z$29,""))</f>
        <v>14.35</v>
      </c>
      <c r="AA33">
        <f t="array" ref="AA33">MEDIAN(IF($C$3:$C$29=$C33,AA$3:AA$29,""))</f>
        <v>19.05</v>
      </c>
    </row>
    <row r="34" spans="3:27" x14ac:dyDescent="0.25">
      <c r="C34">
        <v>4</v>
      </c>
      <c r="D34">
        <f t="array" ref="D34">MEDIAN(IF($C$3:$C$29=$C34,D$3:D$29,""))</f>
        <v>20.149999999999999</v>
      </c>
      <c r="E34">
        <f t="array" ref="E34">MEDIAN(IF($C$3:$C$29=$C34,E$3:E$29,""))</f>
        <v>20.85</v>
      </c>
      <c r="F34">
        <f t="array" ref="F34">MEDIAN(IF($C$3:$C$29=$C34,F$3:F$29,""))</f>
        <v>0</v>
      </c>
      <c r="G34">
        <v>26</v>
      </c>
      <c r="H34">
        <f t="array" ref="H34">MEDIAN(IF($C$3:$C$29=$C34,H$3:H$29,""))</f>
        <v>21.4</v>
      </c>
      <c r="I34">
        <f t="array" ref="I34">MEDIAN(IF($C$3:$C$29=$C34,I$3:I$29,""))</f>
        <v>15.05</v>
      </c>
      <c r="J34">
        <f t="array" ref="J34">MEDIAN(IF($C$3:$C$29=$C34,J$3:J$29,""))</f>
        <v>8.1999999999999993</v>
      </c>
      <c r="K34">
        <f t="array" ref="K34">MEDIAN(IF($C$3:$C$29=$C34,K$3:K$29,""))</f>
        <v>7.15</v>
      </c>
      <c r="L34">
        <f t="array" ref="L34">MEDIAN(IF($C$3:$C$29=$C34,L$3:L$29,""))</f>
        <v>9.8999999999999986</v>
      </c>
      <c r="M34">
        <f t="array" ref="M34">MEDIAN(IF($C$3:$C$29=$C34,M$3:M$29,""))</f>
        <v>11.45</v>
      </c>
      <c r="N34">
        <f t="array" ref="N34">MEDIAN(IF($C$3:$C$29=$C34,N$3:N$29,""))</f>
        <v>11.7</v>
      </c>
      <c r="O34">
        <f t="array" ref="O34">MEDIAN(IF($C$3:$C$29=$C34,O$3:O$29,""))</f>
        <v>12.350000000000001</v>
      </c>
      <c r="P34">
        <f t="array" ref="P34">MEDIAN(IF($C$3:$C$29=$C34,P$3:P$29,""))</f>
        <v>10.9</v>
      </c>
      <c r="Q34">
        <f t="array" ref="Q34">MEDIAN(IF($C$3:$C$29=$C34,Q$3:Q$29,""))</f>
        <v>10.100000000000001</v>
      </c>
      <c r="R34">
        <f t="array" ref="R34">MEDIAN(IF($C$3:$C$29=$C34,R$3:R$29,""))</f>
        <v>11.5</v>
      </c>
      <c r="S34">
        <f t="array" ref="S34">MEDIAN(IF($C$3:$C$29=$C34,S$3:S$29,""))</f>
        <v>10.350000000000001</v>
      </c>
      <c r="T34">
        <f t="array" ref="T34">MEDIAN(IF($C$3:$C$29=$C34,T$3:T$29,""))</f>
        <v>9.65</v>
      </c>
      <c r="U34">
        <f t="array" ref="U34">MEDIAN(IF($C$3:$C$29=$C34,U$3:U$29,""))</f>
        <v>9.5500000000000007</v>
      </c>
      <c r="V34">
        <f t="array" ref="V34">MEDIAN(IF($C$3:$C$29=$C34,V$3:V$29,""))</f>
        <v>8.15</v>
      </c>
      <c r="W34">
        <f t="array" ref="W34">MEDIAN(IF($C$3:$C$29=$C34,W$3:W$29,""))</f>
        <v>10.65</v>
      </c>
      <c r="X34">
        <f t="array" ref="X34">MEDIAN(IF($C$3:$C$29=$C34,X$3:X$29,""))</f>
        <v>10.199999999999999</v>
      </c>
      <c r="Y34">
        <f t="array" ref="Y34">MEDIAN(IF($C$3:$C$29=$C34,Y$3:Y$29,""))</f>
        <v>12.6</v>
      </c>
      <c r="Z34">
        <f t="array" ref="Z34">MEDIAN(IF($C$3:$C$29=$C34,Z$3:Z$29,""))</f>
        <v>15.8</v>
      </c>
      <c r="AA34">
        <f t="array" ref="AA34">MEDIAN(IF($C$3:$C$29=$C34,AA$3:AA$29,""))</f>
        <v>14.85</v>
      </c>
    </row>
    <row r="35" spans="3:27" x14ac:dyDescent="0.25">
      <c r="C35">
        <v>5</v>
      </c>
      <c r="D35">
        <f t="array" ref="D35">MEDIAN(IF($C$3:$C$29=$C35,D$3:D$29,""))</f>
        <v>20.75</v>
      </c>
      <c r="E35">
        <f t="array" ref="E35">MEDIAN(IF($C$3:$C$29=$C35,E$3:E$29,""))</f>
        <v>21.8</v>
      </c>
      <c r="F35">
        <f t="array" ref="F35">MEDIAN(IF($C$3:$C$29=$C35,F$3:F$29,""))</f>
        <v>0</v>
      </c>
      <c r="G35">
        <v>26</v>
      </c>
      <c r="H35">
        <f t="array" ref="H35">MEDIAN(IF($C$3:$C$29=$C35,H$3:H$29,""))</f>
        <v>19.75</v>
      </c>
      <c r="I35">
        <f t="array" ref="I35">MEDIAN(IF($C$3:$C$29=$C35,I$3:I$29,""))</f>
        <v>16.25</v>
      </c>
      <c r="J35">
        <f t="array" ref="J35">MEDIAN(IF($C$3:$C$29=$C35,J$3:J$29,""))</f>
        <v>9.4499999999999993</v>
      </c>
      <c r="K35">
        <f t="array" ref="K35">MEDIAN(IF($C$3:$C$29=$C35,K$3:K$29,""))</f>
        <v>7.3</v>
      </c>
      <c r="L35">
        <f t="array" ref="L35">MEDIAN(IF($C$3:$C$29=$C35,L$3:L$29,""))</f>
        <v>8.4499999999999993</v>
      </c>
      <c r="M35">
        <f t="array" ref="M35">MEDIAN(IF($C$3:$C$29=$C35,M$3:M$29,""))</f>
        <v>11.15</v>
      </c>
      <c r="N35">
        <f t="array" ref="N35">MEDIAN(IF($C$3:$C$29=$C35,N$3:N$29,""))</f>
        <v>9.5500000000000007</v>
      </c>
      <c r="O35">
        <f t="array" ref="O35">MEDIAN(IF($C$3:$C$29=$C35,O$3:O$29,""))</f>
        <v>11.25</v>
      </c>
      <c r="P35">
        <f t="array" ref="P35">MEDIAN(IF($C$3:$C$29=$C35,P$3:P$29,""))</f>
        <v>11.5</v>
      </c>
      <c r="Q35">
        <f t="array" ref="Q35">MEDIAN(IF($C$3:$C$29=$C35,Q$3:Q$29,""))</f>
        <v>10.199999999999999</v>
      </c>
      <c r="R35">
        <f t="array" ref="R35">MEDIAN(IF($C$3:$C$29=$C35,R$3:R$29,""))</f>
        <v>10.199999999999999</v>
      </c>
      <c r="S35">
        <f t="array" ref="S35">MEDIAN(IF($C$3:$C$29=$C35,S$3:S$29,""))</f>
        <v>10.6</v>
      </c>
      <c r="T35">
        <f t="array" ref="T35">MEDIAN(IF($C$3:$C$29=$C35,T$3:T$29,""))</f>
        <v>10</v>
      </c>
      <c r="U35">
        <f t="array" ref="U35">MEDIAN(IF($C$3:$C$29=$C35,U$3:U$29,""))</f>
        <v>9</v>
      </c>
      <c r="V35">
        <f t="array" ref="V35">MEDIAN(IF($C$3:$C$29=$C35,V$3:V$29,""))</f>
        <v>8.6</v>
      </c>
      <c r="W35">
        <f t="array" ref="W35">MEDIAN(IF($C$3:$C$29=$C35,W$3:W$29,""))</f>
        <v>10.7</v>
      </c>
      <c r="X35">
        <f t="array" ref="X35">MEDIAN(IF($C$3:$C$29=$C35,X$3:X$29,""))</f>
        <v>11.3</v>
      </c>
      <c r="Y35">
        <f t="array" ref="Y35">MEDIAN(IF($C$3:$C$29=$C35,Y$3:Y$29,""))</f>
        <v>12.2</v>
      </c>
      <c r="Z35">
        <f t="array" ref="Z35">MEDIAN(IF($C$3:$C$29=$C35,Z$3:Z$29,""))</f>
        <v>14.75</v>
      </c>
      <c r="AA35">
        <f t="array" ref="AA35">MEDIAN(IF($C$3:$C$29=$C35,AA$3:AA$29,""))</f>
        <v>17.3</v>
      </c>
    </row>
    <row r="36" spans="3:27" x14ac:dyDescent="0.25">
      <c r="C36">
        <v>6</v>
      </c>
      <c r="D36">
        <f t="array" ref="D36">MEDIAN(IF($C$3:$C$29=$C36,D$3:D$29,""))</f>
        <v>21</v>
      </c>
      <c r="E36">
        <f t="array" ref="E36">MEDIAN(IF($C$3:$C$29=$C36,E$3:E$29,""))</f>
        <v>24</v>
      </c>
      <c r="F36">
        <f t="array" ref="F36">MEDIAN(IF($C$3:$C$29=$C36,F$3:F$29,""))</f>
        <v>0</v>
      </c>
      <c r="G36">
        <v>26</v>
      </c>
      <c r="H36">
        <f t="array" ref="H36">MEDIAN(IF($C$3:$C$29=$C36,H$3:H$29,""))</f>
        <v>20.2</v>
      </c>
      <c r="I36">
        <f t="array" ref="I36">MEDIAN(IF($C$3:$C$29=$C36,I$3:I$29,""))</f>
        <v>13.7</v>
      </c>
      <c r="J36">
        <f t="array" ref="J36">MEDIAN(IF($C$3:$C$29=$C36,J$3:J$29,""))</f>
        <v>11.3</v>
      </c>
      <c r="K36">
        <f t="array" ref="K36">MEDIAN(IF($C$3:$C$29=$C36,K$3:K$29,""))</f>
        <v>8.9</v>
      </c>
      <c r="L36">
        <f t="array" ref="L36">MEDIAN(IF($C$3:$C$29=$C36,L$3:L$29,""))</f>
        <v>9.1</v>
      </c>
      <c r="M36">
        <f t="array" ref="M36">MEDIAN(IF($C$3:$C$29=$C36,M$3:M$29,""))</f>
        <v>11.4</v>
      </c>
      <c r="N36">
        <f t="array" ref="N36">MEDIAN(IF($C$3:$C$29=$C36,N$3:N$29,""))</f>
        <v>11.4</v>
      </c>
      <c r="O36">
        <f t="array" ref="O36">MEDIAN(IF($C$3:$C$29=$C36,O$3:O$29,""))</f>
        <v>11.2</v>
      </c>
      <c r="P36">
        <f t="array" ref="P36">MEDIAN(IF($C$3:$C$29=$C36,P$3:P$29,""))</f>
        <v>11</v>
      </c>
      <c r="Q36">
        <f t="array" ref="Q36">MEDIAN(IF($C$3:$C$29=$C36,Q$3:Q$29,""))</f>
        <v>11.4</v>
      </c>
      <c r="R36">
        <f t="array" ref="R36">MEDIAN(IF($C$3:$C$29=$C36,R$3:R$29,""))</f>
        <v>10.6</v>
      </c>
      <c r="S36">
        <f t="array" ref="S36">MEDIAN(IF($C$3:$C$29=$C36,S$3:S$29,""))</f>
        <v>11</v>
      </c>
      <c r="T36">
        <f t="array" ref="T36">MEDIAN(IF($C$3:$C$29=$C36,T$3:T$29,""))</f>
        <v>10.3</v>
      </c>
      <c r="U36">
        <f t="array" ref="U36">MEDIAN(IF($C$3:$C$29=$C36,U$3:U$29,""))</f>
        <v>10.7</v>
      </c>
      <c r="V36">
        <f t="array" ref="V36">MEDIAN(IF($C$3:$C$29=$C36,V$3:V$29,""))</f>
        <v>9.5</v>
      </c>
      <c r="W36">
        <f t="array" ref="W36">MEDIAN(IF($C$3:$C$29=$C36,W$3:W$29,""))</f>
        <v>9.6999999999999993</v>
      </c>
      <c r="X36">
        <f t="array" ref="X36">MEDIAN(IF($C$3:$C$29=$C36,X$3:X$29,""))</f>
        <v>10.6</v>
      </c>
      <c r="Y36">
        <f t="array" ref="Y36">MEDIAN(IF($C$3:$C$29=$C36,Y$3:Y$29,""))</f>
        <v>12.9</v>
      </c>
      <c r="Z36">
        <f t="array" ref="Z36">MEDIAN(IF($C$3:$C$29=$C36,Z$3:Z$29,""))</f>
        <v>13.5</v>
      </c>
      <c r="AA36">
        <f t="array" ref="AA36">MEDIAN(IF($C$3:$C$29=$C36,AA$3:AA$29,""))</f>
        <v>16.100000000000001</v>
      </c>
    </row>
    <row r="37" spans="3:27" x14ac:dyDescent="0.25">
      <c r="C37">
        <v>7</v>
      </c>
      <c r="D37">
        <f t="array" ref="D37">MEDIAN(IF($C$3:$C$29=$C37,D$3:D$29,""))</f>
        <v>22.4</v>
      </c>
      <c r="E37">
        <f t="array" ref="E37">MEDIAN(IF($C$3:$C$29=$C37,E$3:E$29,""))</f>
        <v>22.799999999999997</v>
      </c>
      <c r="F37">
        <f t="array" ref="F37">MEDIAN(IF($C$3:$C$29=$C37,F$3:F$29,""))</f>
        <v>0</v>
      </c>
      <c r="G37">
        <v>26</v>
      </c>
      <c r="H37">
        <f t="array" ref="H37">MEDIAN(IF($C$3:$C$29=$C37,H$3:H$29,""))</f>
        <v>17.850000000000001</v>
      </c>
      <c r="I37">
        <f t="array" ref="I37">MEDIAN(IF($C$3:$C$29=$C37,I$3:I$29,""))</f>
        <v>14.4</v>
      </c>
      <c r="J37">
        <f t="array" ref="J37">MEDIAN(IF($C$3:$C$29=$C37,J$3:J$29,""))</f>
        <v>10</v>
      </c>
      <c r="K37">
        <f t="array" ref="K37">MEDIAN(IF($C$3:$C$29=$C37,K$3:K$29,""))</f>
        <v>6.35</v>
      </c>
      <c r="L37">
        <f t="array" ref="L37">MEDIAN(IF($C$3:$C$29=$C37,L$3:L$29,""))</f>
        <v>8.8000000000000007</v>
      </c>
      <c r="M37">
        <f t="array" ref="M37">MEDIAN(IF($C$3:$C$29=$C37,M$3:M$29,""))</f>
        <v>10.35</v>
      </c>
      <c r="N37">
        <f t="array" ref="N37">MEDIAN(IF($C$3:$C$29=$C37,N$3:N$29,""))</f>
        <v>10.149999999999999</v>
      </c>
      <c r="O37">
        <f t="array" ref="O37">MEDIAN(IF($C$3:$C$29=$C37,O$3:O$29,""))</f>
        <v>11.5</v>
      </c>
      <c r="P37">
        <f t="array" ref="P37">MEDIAN(IF($C$3:$C$29=$C37,P$3:P$29,""))</f>
        <v>12.1</v>
      </c>
      <c r="Q37">
        <f t="array" ref="Q37">MEDIAN(IF($C$3:$C$29=$C37,Q$3:Q$29,""))</f>
        <v>10.6</v>
      </c>
      <c r="R37">
        <f t="array" ref="R37">MEDIAN(IF($C$3:$C$29=$C37,R$3:R$29,""))</f>
        <v>10.8</v>
      </c>
      <c r="S37">
        <f t="array" ref="S37">MEDIAN(IF($C$3:$C$29=$C37,S$3:S$29,""))</f>
        <v>11.15</v>
      </c>
      <c r="T37">
        <f t="array" ref="T37">MEDIAN(IF($C$3:$C$29=$C37,T$3:T$29,""))</f>
        <v>9.1000000000000014</v>
      </c>
      <c r="U37">
        <f t="array" ref="U37">MEDIAN(IF($C$3:$C$29=$C37,U$3:U$29,""))</f>
        <v>9.25</v>
      </c>
      <c r="V37">
        <f t="array" ref="V37">MEDIAN(IF($C$3:$C$29=$C37,V$3:V$29,""))</f>
        <v>6.0500000000000007</v>
      </c>
      <c r="W37">
        <f t="array" ref="W37">MEDIAN(IF($C$3:$C$29=$C37,W$3:W$29,""))</f>
        <v>8.8000000000000007</v>
      </c>
      <c r="X37">
        <f t="array" ref="X37">MEDIAN(IF($C$3:$C$29=$C37,X$3:X$29,""))</f>
        <v>9.9499999999999993</v>
      </c>
      <c r="Y37">
        <f t="array" ref="Y37">MEDIAN(IF($C$3:$C$29=$C37,Y$3:Y$29,""))</f>
        <v>9.5500000000000007</v>
      </c>
      <c r="Z37">
        <f t="array" ref="Z37">MEDIAN(IF($C$3:$C$29=$C37,Z$3:Z$29,""))</f>
        <v>14.45</v>
      </c>
      <c r="AA37">
        <f t="array" ref="AA37">MEDIAN(IF($C$3:$C$29=$C37,AA$3:AA$29,""))</f>
        <v>16.399999999999999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A1:AA37"/>
  <sheetViews>
    <sheetView workbookViewId="0">
      <selection activeCell="G31" sqref="G31:G37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14.3</v>
      </c>
      <c r="E3">
        <v>22.2</v>
      </c>
      <c r="H3">
        <v>12.6</v>
      </c>
      <c r="I3">
        <v>11.6</v>
      </c>
      <c r="J3">
        <v>7.6</v>
      </c>
      <c r="K3">
        <v>6.1</v>
      </c>
      <c r="L3">
        <v>7</v>
      </c>
      <c r="M3">
        <v>8.8000000000000007</v>
      </c>
      <c r="N3">
        <v>9.1999999999999993</v>
      </c>
      <c r="O3">
        <v>7.9</v>
      </c>
      <c r="P3">
        <v>9.1</v>
      </c>
      <c r="Q3">
        <v>8.1</v>
      </c>
      <c r="R3">
        <v>9.6999999999999993</v>
      </c>
      <c r="S3">
        <v>8.3000000000000007</v>
      </c>
      <c r="T3">
        <v>5.9</v>
      </c>
      <c r="U3">
        <v>7.5</v>
      </c>
      <c r="V3">
        <v>3.7</v>
      </c>
      <c r="W3">
        <v>5.6</v>
      </c>
      <c r="X3">
        <v>5.3</v>
      </c>
      <c r="Y3">
        <v>6.7</v>
      </c>
      <c r="Z3">
        <v>10.8</v>
      </c>
      <c r="AA3">
        <v>13.1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16.2</v>
      </c>
      <c r="E4">
        <v>21</v>
      </c>
      <c r="H4">
        <v>12.5</v>
      </c>
      <c r="I4">
        <v>10.7</v>
      </c>
      <c r="J4">
        <v>11.3</v>
      </c>
      <c r="K4">
        <v>8.9</v>
      </c>
      <c r="L4">
        <v>8.6</v>
      </c>
      <c r="M4">
        <v>7.7</v>
      </c>
      <c r="N4">
        <v>10.199999999999999</v>
      </c>
      <c r="O4">
        <v>7</v>
      </c>
      <c r="P4">
        <v>10.199999999999999</v>
      </c>
      <c r="Q4">
        <v>6.6</v>
      </c>
      <c r="R4">
        <v>7.8</v>
      </c>
      <c r="S4">
        <v>7.5</v>
      </c>
      <c r="T4">
        <v>5.8</v>
      </c>
      <c r="U4">
        <v>6.4</v>
      </c>
      <c r="V4">
        <v>6.9</v>
      </c>
      <c r="W4">
        <v>8.1</v>
      </c>
      <c r="X4">
        <v>7.7</v>
      </c>
      <c r="Y4">
        <v>6.8</v>
      </c>
      <c r="Z4">
        <v>7.1</v>
      </c>
      <c r="AA4">
        <v>9.3000000000000007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21.5</v>
      </c>
      <c r="E5">
        <v>21</v>
      </c>
      <c r="F5">
        <v>4.8</v>
      </c>
      <c r="H5">
        <v>14.6</v>
      </c>
      <c r="I5">
        <v>17.8</v>
      </c>
      <c r="J5">
        <v>14.7</v>
      </c>
      <c r="K5">
        <v>15.3</v>
      </c>
      <c r="L5">
        <v>12.3</v>
      </c>
      <c r="M5">
        <v>14.3</v>
      </c>
      <c r="N5">
        <v>11.9</v>
      </c>
      <c r="O5">
        <v>14.4</v>
      </c>
      <c r="P5">
        <v>12.2</v>
      </c>
      <c r="Q5">
        <v>12.3</v>
      </c>
      <c r="R5">
        <v>11.6</v>
      </c>
      <c r="S5">
        <v>14.8</v>
      </c>
      <c r="T5">
        <v>15.5</v>
      </c>
      <c r="U5">
        <v>9.4</v>
      </c>
      <c r="V5">
        <v>13.9</v>
      </c>
      <c r="W5">
        <v>10.5</v>
      </c>
      <c r="X5">
        <v>11.8</v>
      </c>
      <c r="Y5">
        <v>13.3</v>
      </c>
      <c r="Z5">
        <v>11.4</v>
      </c>
      <c r="AA5">
        <v>12.9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18</v>
      </c>
      <c r="E6">
        <v>19.7</v>
      </c>
      <c r="H6">
        <v>19.8</v>
      </c>
      <c r="I6">
        <v>13</v>
      </c>
      <c r="J6">
        <v>9</v>
      </c>
      <c r="K6">
        <v>7.4</v>
      </c>
      <c r="L6">
        <v>7.6</v>
      </c>
      <c r="M6">
        <v>8.3000000000000007</v>
      </c>
      <c r="N6">
        <v>9.8000000000000007</v>
      </c>
      <c r="O6">
        <v>8.4</v>
      </c>
      <c r="P6">
        <v>8.3000000000000007</v>
      </c>
      <c r="Q6">
        <v>8.1999999999999993</v>
      </c>
      <c r="R6">
        <v>9.3000000000000007</v>
      </c>
      <c r="S6">
        <v>7.7</v>
      </c>
      <c r="T6">
        <v>6.9</v>
      </c>
      <c r="U6">
        <v>7.5</v>
      </c>
      <c r="V6">
        <v>8.3000000000000007</v>
      </c>
      <c r="W6">
        <v>6</v>
      </c>
      <c r="X6">
        <v>8</v>
      </c>
      <c r="Y6">
        <v>10.4</v>
      </c>
      <c r="Z6">
        <v>9.9</v>
      </c>
      <c r="AA6">
        <v>16.7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17.3</v>
      </c>
      <c r="E7">
        <v>27</v>
      </c>
      <c r="H7">
        <v>13.8</v>
      </c>
      <c r="I7">
        <v>12.3</v>
      </c>
      <c r="J7">
        <v>7.3</v>
      </c>
      <c r="K7">
        <v>5.0999999999999996</v>
      </c>
      <c r="L7">
        <v>8.6</v>
      </c>
      <c r="M7">
        <v>8.4</v>
      </c>
      <c r="N7">
        <v>8</v>
      </c>
      <c r="O7">
        <v>10.1</v>
      </c>
      <c r="P7">
        <v>7.7</v>
      </c>
      <c r="Q7">
        <v>7.2</v>
      </c>
      <c r="R7">
        <v>11.2</v>
      </c>
      <c r="S7">
        <v>7</v>
      </c>
      <c r="T7">
        <v>6.9</v>
      </c>
      <c r="U7">
        <v>7</v>
      </c>
      <c r="V7">
        <v>6.3</v>
      </c>
      <c r="W7">
        <v>9</v>
      </c>
      <c r="X7">
        <v>5.3</v>
      </c>
      <c r="Y7">
        <v>7.8</v>
      </c>
      <c r="Z7">
        <v>11.6</v>
      </c>
      <c r="AA7">
        <v>14.7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18.600000000000001</v>
      </c>
      <c r="E8">
        <v>13</v>
      </c>
      <c r="H8">
        <v>15.7</v>
      </c>
      <c r="I8">
        <v>13.8</v>
      </c>
      <c r="J8">
        <v>8.3000000000000007</v>
      </c>
      <c r="K8">
        <v>6.7</v>
      </c>
      <c r="L8">
        <v>6.2</v>
      </c>
      <c r="M8">
        <v>8.8000000000000007</v>
      </c>
      <c r="N8">
        <v>8.5</v>
      </c>
      <c r="O8">
        <v>8.1</v>
      </c>
      <c r="P8">
        <v>7.4</v>
      </c>
      <c r="Q8">
        <v>8.8000000000000007</v>
      </c>
      <c r="R8">
        <v>10.199999999999999</v>
      </c>
      <c r="S8">
        <v>8.9</v>
      </c>
      <c r="T8">
        <v>7.6</v>
      </c>
      <c r="U8">
        <v>7.3</v>
      </c>
      <c r="V8">
        <v>6.9</v>
      </c>
      <c r="W8">
        <v>11.6</v>
      </c>
      <c r="X8">
        <v>6.6</v>
      </c>
      <c r="Y8">
        <v>8.3000000000000007</v>
      </c>
      <c r="Z8">
        <v>10.3</v>
      </c>
      <c r="AA8">
        <v>17.3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17.100000000000001</v>
      </c>
      <c r="E9">
        <v>19</v>
      </c>
      <c r="H9">
        <v>18</v>
      </c>
      <c r="I9">
        <v>13.3</v>
      </c>
      <c r="J9">
        <v>8.6999999999999993</v>
      </c>
      <c r="K9">
        <v>5.2</v>
      </c>
      <c r="L9">
        <v>6.7</v>
      </c>
      <c r="M9">
        <v>6.2</v>
      </c>
      <c r="N9">
        <v>9.5</v>
      </c>
      <c r="O9">
        <v>8.6</v>
      </c>
      <c r="P9">
        <v>9.8000000000000007</v>
      </c>
      <c r="Q9">
        <v>8.6</v>
      </c>
      <c r="R9">
        <v>5.9</v>
      </c>
      <c r="S9">
        <v>8.3000000000000007</v>
      </c>
      <c r="T9">
        <v>9.1999999999999993</v>
      </c>
      <c r="U9">
        <v>8</v>
      </c>
      <c r="V9">
        <v>6.5</v>
      </c>
      <c r="W9">
        <v>6.6</v>
      </c>
      <c r="X9">
        <v>8.1999999999999993</v>
      </c>
      <c r="Y9">
        <v>9.1999999999999993</v>
      </c>
      <c r="Z9">
        <v>11.1</v>
      </c>
      <c r="AA9">
        <v>11.3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17.7</v>
      </c>
      <c r="E10">
        <v>11.2</v>
      </c>
      <c r="H10">
        <v>12.8</v>
      </c>
      <c r="I10">
        <v>11.1</v>
      </c>
      <c r="J10">
        <v>6.8</v>
      </c>
      <c r="K10">
        <v>5</v>
      </c>
      <c r="L10">
        <v>6.8</v>
      </c>
      <c r="M10">
        <v>7.2</v>
      </c>
      <c r="N10">
        <v>6.8</v>
      </c>
      <c r="O10">
        <v>8.6</v>
      </c>
      <c r="P10">
        <v>9.3000000000000007</v>
      </c>
      <c r="Q10">
        <v>8</v>
      </c>
      <c r="R10">
        <v>9.6</v>
      </c>
      <c r="S10">
        <v>8.4</v>
      </c>
      <c r="T10">
        <v>6.1</v>
      </c>
      <c r="U10">
        <v>6.4</v>
      </c>
      <c r="V10">
        <v>4.2</v>
      </c>
      <c r="W10">
        <v>6.7</v>
      </c>
      <c r="X10">
        <v>6.9</v>
      </c>
      <c r="Y10">
        <v>6.3</v>
      </c>
      <c r="Z10">
        <v>12.7</v>
      </c>
      <c r="AA10">
        <v>12.8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20.7</v>
      </c>
      <c r="E11">
        <v>15.8</v>
      </c>
      <c r="H11">
        <v>14.4</v>
      </c>
      <c r="I11">
        <v>14.4</v>
      </c>
      <c r="J11">
        <v>11.4</v>
      </c>
      <c r="K11">
        <v>10.199999999999999</v>
      </c>
      <c r="L11">
        <v>8.5</v>
      </c>
      <c r="M11">
        <v>6.2</v>
      </c>
      <c r="N11">
        <v>9.1</v>
      </c>
      <c r="O11">
        <v>6.4</v>
      </c>
      <c r="P11">
        <v>6.6</v>
      </c>
      <c r="Q11">
        <v>7.6</v>
      </c>
      <c r="R11">
        <v>7.7</v>
      </c>
      <c r="S11">
        <v>7.3</v>
      </c>
      <c r="T11">
        <v>6.7</v>
      </c>
      <c r="U11">
        <v>6.5</v>
      </c>
      <c r="V11">
        <v>8.5</v>
      </c>
      <c r="W11">
        <v>5.9</v>
      </c>
      <c r="X11">
        <v>7.1</v>
      </c>
      <c r="Y11">
        <v>7.1</v>
      </c>
      <c r="Z11">
        <v>6.4</v>
      </c>
      <c r="AA11">
        <v>12.8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16.5</v>
      </c>
      <c r="E12">
        <v>16.399999999999999</v>
      </c>
      <c r="H12">
        <v>17.2</v>
      </c>
      <c r="I12">
        <v>15</v>
      </c>
      <c r="J12">
        <v>19</v>
      </c>
      <c r="K12">
        <v>16.2</v>
      </c>
      <c r="L12">
        <v>13.3</v>
      </c>
      <c r="M12">
        <v>16.7</v>
      </c>
      <c r="N12">
        <v>13.9</v>
      </c>
      <c r="O12">
        <v>7.8</v>
      </c>
      <c r="P12">
        <v>12</v>
      </c>
      <c r="Q12">
        <v>13.4</v>
      </c>
      <c r="R12">
        <v>10.6</v>
      </c>
      <c r="S12">
        <v>16.100000000000001</v>
      </c>
      <c r="T12">
        <v>11.7</v>
      </c>
      <c r="U12">
        <v>13.7</v>
      </c>
      <c r="V12">
        <v>9.4</v>
      </c>
      <c r="W12">
        <v>13.8</v>
      </c>
      <c r="X12">
        <v>7.7</v>
      </c>
      <c r="Y12">
        <v>8.8000000000000007</v>
      </c>
      <c r="Z12">
        <v>10.1</v>
      </c>
      <c r="AA12">
        <v>12.6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14.5</v>
      </c>
      <c r="E13">
        <v>16.100000000000001</v>
      </c>
      <c r="H13">
        <v>11.7</v>
      </c>
      <c r="I13">
        <v>8.9</v>
      </c>
      <c r="J13">
        <v>7.6</v>
      </c>
      <c r="K13">
        <v>4.8</v>
      </c>
      <c r="L13">
        <v>7.5</v>
      </c>
      <c r="M13">
        <v>8.1</v>
      </c>
      <c r="N13">
        <v>9.6</v>
      </c>
      <c r="O13">
        <v>10.7</v>
      </c>
      <c r="P13">
        <v>10.7</v>
      </c>
      <c r="Q13">
        <v>7.9</v>
      </c>
      <c r="R13">
        <v>9</v>
      </c>
      <c r="S13">
        <v>6.3</v>
      </c>
      <c r="T13">
        <v>8.1</v>
      </c>
      <c r="U13">
        <v>8.1</v>
      </c>
      <c r="V13">
        <v>5.5</v>
      </c>
      <c r="W13">
        <v>9.1999999999999993</v>
      </c>
      <c r="X13">
        <v>11.2</v>
      </c>
      <c r="Y13">
        <v>12.1</v>
      </c>
      <c r="Z13">
        <v>10.5</v>
      </c>
      <c r="AA13">
        <v>15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21.7</v>
      </c>
      <c r="E14">
        <v>16.3</v>
      </c>
      <c r="H14">
        <v>17.5</v>
      </c>
      <c r="I14">
        <v>12.2</v>
      </c>
      <c r="J14">
        <v>6.9</v>
      </c>
      <c r="K14">
        <v>7</v>
      </c>
      <c r="L14">
        <v>7.3</v>
      </c>
      <c r="M14">
        <v>7.7</v>
      </c>
      <c r="N14">
        <v>8.9</v>
      </c>
      <c r="O14">
        <v>9.4</v>
      </c>
      <c r="P14">
        <v>7.5</v>
      </c>
      <c r="Q14">
        <v>7.3</v>
      </c>
      <c r="R14">
        <v>10.6</v>
      </c>
      <c r="S14">
        <v>8.1999999999999993</v>
      </c>
      <c r="T14">
        <v>7.4</v>
      </c>
      <c r="U14">
        <v>6.5</v>
      </c>
      <c r="V14">
        <v>5.4</v>
      </c>
      <c r="W14">
        <v>6.4</v>
      </c>
      <c r="X14">
        <v>7.2</v>
      </c>
      <c r="Y14">
        <v>14</v>
      </c>
      <c r="Z14">
        <v>13.6</v>
      </c>
      <c r="AA14">
        <v>9.8000000000000007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14.5</v>
      </c>
      <c r="E15">
        <v>13.1</v>
      </c>
      <c r="H15">
        <v>16.399999999999999</v>
      </c>
      <c r="I15">
        <v>13.6</v>
      </c>
      <c r="J15">
        <v>6.6</v>
      </c>
      <c r="K15">
        <v>4.5999999999999996</v>
      </c>
      <c r="L15">
        <v>6.2</v>
      </c>
      <c r="M15">
        <v>8.1</v>
      </c>
      <c r="N15">
        <v>9.4</v>
      </c>
      <c r="O15">
        <v>8.1999999999999993</v>
      </c>
      <c r="P15">
        <v>9.3000000000000007</v>
      </c>
      <c r="Q15">
        <v>7.5</v>
      </c>
      <c r="R15">
        <v>7.7</v>
      </c>
      <c r="S15">
        <v>9.3000000000000007</v>
      </c>
      <c r="T15">
        <v>8.5</v>
      </c>
      <c r="U15">
        <v>5.4</v>
      </c>
      <c r="V15">
        <v>5.2</v>
      </c>
      <c r="W15">
        <v>7.8</v>
      </c>
      <c r="X15">
        <v>8.9</v>
      </c>
      <c r="Y15">
        <v>12</v>
      </c>
      <c r="Z15">
        <v>11</v>
      </c>
      <c r="AA15">
        <v>14.4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16.399999999999999</v>
      </c>
      <c r="E16">
        <v>19.2</v>
      </c>
      <c r="H16">
        <v>18</v>
      </c>
      <c r="I16">
        <v>10.4</v>
      </c>
      <c r="J16">
        <v>9.3000000000000007</v>
      </c>
      <c r="K16">
        <v>6.9</v>
      </c>
      <c r="L16">
        <v>7.2</v>
      </c>
      <c r="M16">
        <v>8.9</v>
      </c>
      <c r="N16">
        <v>8.3000000000000007</v>
      </c>
      <c r="O16">
        <v>7.9</v>
      </c>
      <c r="P16">
        <v>8.8000000000000007</v>
      </c>
      <c r="Q16">
        <v>8.6</v>
      </c>
      <c r="R16">
        <v>10</v>
      </c>
      <c r="S16">
        <v>8.1</v>
      </c>
      <c r="T16">
        <v>7.8</v>
      </c>
      <c r="U16">
        <v>6.2</v>
      </c>
      <c r="V16">
        <v>8.8000000000000007</v>
      </c>
      <c r="W16">
        <v>7.1</v>
      </c>
      <c r="X16">
        <v>5.5</v>
      </c>
      <c r="Y16">
        <v>9.6</v>
      </c>
      <c r="Z16">
        <v>11.1</v>
      </c>
      <c r="AA16">
        <v>15.2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18.399999999999999</v>
      </c>
      <c r="E17">
        <v>16.899999999999999</v>
      </c>
      <c r="H17">
        <v>16.7</v>
      </c>
      <c r="I17">
        <v>9.6999999999999993</v>
      </c>
      <c r="J17">
        <v>7.3</v>
      </c>
      <c r="K17">
        <v>5.2</v>
      </c>
      <c r="L17">
        <v>5.7</v>
      </c>
      <c r="M17">
        <v>9.9</v>
      </c>
      <c r="N17">
        <v>7.5</v>
      </c>
      <c r="O17">
        <v>9</v>
      </c>
      <c r="P17">
        <v>9.8000000000000007</v>
      </c>
      <c r="Q17">
        <v>8.3000000000000007</v>
      </c>
      <c r="R17">
        <v>6.9</v>
      </c>
      <c r="S17">
        <v>8.6</v>
      </c>
      <c r="T17">
        <v>6.3</v>
      </c>
      <c r="U17">
        <v>5.9</v>
      </c>
      <c r="V17">
        <v>7.3</v>
      </c>
      <c r="W17">
        <v>8.1999999999999993</v>
      </c>
      <c r="X17">
        <v>8</v>
      </c>
      <c r="Y17">
        <v>6.4</v>
      </c>
      <c r="Z17">
        <v>11.9</v>
      </c>
      <c r="AA17">
        <v>14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15</v>
      </c>
      <c r="E18">
        <v>7.3</v>
      </c>
      <c r="H18">
        <v>17.5</v>
      </c>
      <c r="I18">
        <v>10.4</v>
      </c>
      <c r="J18">
        <v>8</v>
      </c>
      <c r="K18">
        <v>6.9</v>
      </c>
      <c r="L18">
        <v>11.4</v>
      </c>
      <c r="M18">
        <v>9.5</v>
      </c>
      <c r="N18">
        <v>9.6999999999999993</v>
      </c>
      <c r="O18">
        <v>7.9</v>
      </c>
      <c r="P18">
        <v>7.4</v>
      </c>
      <c r="Q18">
        <v>7.6</v>
      </c>
      <c r="R18">
        <v>7</v>
      </c>
      <c r="S18">
        <v>8</v>
      </c>
      <c r="T18">
        <v>5.0999999999999996</v>
      </c>
      <c r="U18">
        <v>6.6</v>
      </c>
      <c r="V18">
        <v>5.0999999999999996</v>
      </c>
      <c r="W18">
        <v>4.2</v>
      </c>
      <c r="X18">
        <v>5.7</v>
      </c>
      <c r="Y18">
        <v>7.1</v>
      </c>
      <c r="Z18">
        <v>7</v>
      </c>
      <c r="AA18">
        <v>11.3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21.4</v>
      </c>
      <c r="H19">
        <v>23.4</v>
      </c>
      <c r="I19">
        <v>16.5</v>
      </c>
      <c r="J19">
        <v>17.2</v>
      </c>
      <c r="K19">
        <v>14</v>
      </c>
      <c r="L19">
        <v>13.9</v>
      </c>
      <c r="M19">
        <v>14</v>
      </c>
      <c r="N19">
        <v>11.6</v>
      </c>
      <c r="O19">
        <v>14.1</v>
      </c>
      <c r="P19">
        <v>10.199999999999999</v>
      </c>
      <c r="Q19">
        <v>11.8</v>
      </c>
      <c r="R19">
        <v>13.3</v>
      </c>
      <c r="S19">
        <v>16.8</v>
      </c>
      <c r="T19">
        <v>12.7</v>
      </c>
      <c r="U19">
        <v>9.4</v>
      </c>
      <c r="V19">
        <v>11.1</v>
      </c>
      <c r="W19">
        <v>7.8</v>
      </c>
      <c r="X19">
        <v>10.1</v>
      </c>
      <c r="Y19">
        <v>11.4</v>
      </c>
      <c r="Z19">
        <v>11.8</v>
      </c>
      <c r="AA19">
        <v>15.8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16.5</v>
      </c>
      <c r="E20">
        <v>21.5</v>
      </c>
      <c r="H20">
        <v>15.9</v>
      </c>
      <c r="I20">
        <v>9.1999999999999993</v>
      </c>
      <c r="J20">
        <v>6.3</v>
      </c>
      <c r="K20">
        <v>4.8</v>
      </c>
      <c r="L20">
        <v>6.6</v>
      </c>
      <c r="M20">
        <v>8.6999999999999993</v>
      </c>
      <c r="N20">
        <v>6.9</v>
      </c>
      <c r="O20">
        <v>9.8000000000000007</v>
      </c>
      <c r="P20">
        <v>8.6999999999999993</v>
      </c>
      <c r="Q20">
        <v>8.4</v>
      </c>
      <c r="R20">
        <v>8.6</v>
      </c>
      <c r="S20">
        <v>8.8000000000000007</v>
      </c>
      <c r="T20">
        <v>6.2</v>
      </c>
      <c r="U20">
        <v>7.4</v>
      </c>
      <c r="V20">
        <v>7.4</v>
      </c>
      <c r="W20">
        <v>6.8</v>
      </c>
      <c r="X20">
        <v>10.1</v>
      </c>
      <c r="Y20">
        <v>12.3</v>
      </c>
      <c r="Z20">
        <v>13</v>
      </c>
      <c r="AA20">
        <v>17.100000000000001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17.7</v>
      </c>
      <c r="E21">
        <v>12.2</v>
      </c>
      <c r="H21">
        <v>21.6</v>
      </c>
      <c r="I21">
        <v>13.3</v>
      </c>
      <c r="J21">
        <v>5.7</v>
      </c>
      <c r="K21">
        <v>5.6</v>
      </c>
      <c r="L21">
        <v>7.9</v>
      </c>
      <c r="M21">
        <v>8.8000000000000007</v>
      </c>
      <c r="N21">
        <v>8.3000000000000007</v>
      </c>
      <c r="O21">
        <v>7.7</v>
      </c>
      <c r="P21">
        <v>11.7</v>
      </c>
      <c r="Q21">
        <v>7.6</v>
      </c>
      <c r="R21">
        <v>8.1</v>
      </c>
      <c r="S21">
        <v>8.1999999999999993</v>
      </c>
      <c r="T21">
        <v>7.3</v>
      </c>
      <c r="U21">
        <v>6.9</v>
      </c>
      <c r="V21">
        <v>8.4</v>
      </c>
      <c r="W21">
        <v>8</v>
      </c>
      <c r="X21">
        <v>9.4</v>
      </c>
      <c r="Y21">
        <v>9.9</v>
      </c>
      <c r="Z21">
        <v>11.2</v>
      </c>
      <c r="AA21">
        <v>9.9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21.1</v>
      </c>
      <c r="E22">
        <v>18.100000000000001</v>
      </c>
      <c r="H22">
        <v>16.8</v>
      </c>
      <c r="I22">
        <v>14.3</v>
      </c>
      <c r="J22">
        <v>7.5</v>
      </c>
      <c r="K22">
        <v>6.4</v>
      </c>
      <c r="L22">
        <v>7.3</v>
      </c>
      <c r="M22">
        <v>8.8000000000000007</v>
      </c>
      <c r="N22">
        <v>7.7</v>
      </c>
      <c r="O22">
        <v>9.3000000000000007</v>
      </c>
      <c r="P22">
        <v>10.5</v>
      </c>
      <c r="Q22">
        <v>7.3</v>
      </c>
      <c r="R22">
        <v>6.7</v>
      </c>
      <c r="S22">
        <v>7.9</v>
      </c>
      <c r="T22">
        <v>8.4</v>
      </c>
      <c r="U22">
        <v>7.4</v>
      </c>
      <c r="V22">
        <v>5.5</v>
      </c>
      <c r="W22">
        <v>5.7</v>
      </c>
      <c r="X22">
        <v>10.7</v>
      </c>
      <c r="Y22">
        <v>9.1999999999999993</v>
      </c>
      <c r="Z22">
        <v>10.6</v>
      </c>
      <c r="AA22">
        <v>11.2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15.6</v>
      </c>
      <c r="E23">
        <v>15.2</v>
      </c>
      <c r="H23">
        <v>14.9</v>
      </c>
      <c r="I23">
        <v>8.1</v>
      </c>
      <c r="J23">
        <v>9.6</v>
      </c>
      <c r="K23">
        <v>6.8</v>
      </c>
      <c r="L23">
        <v>8.1</v>
      </c>
      <c r="M23">
        <v>8.6</v>
      </c>
      <c r="N23">
        <v>9.1</v>
      </c>
      <c r="O23">
        <v>9.6</v>
      </c>
      <c r="P23">
        <v>8.6</v>
      </c>
      <c r="Q23">
        <v>8.5</v>
      </c>
      <c r="R23">
        <v>7.3</v>
      </c>
      <c r="S23">
        <v>8.1999999999999993</v>
      </c>
      <c r="T23">
        <v>6.3</v>
      </c>
      <c r="U23">
        <v>9.9</v>
      </c>
      <c r="V23">
        <v>6.4</v>
      </c>
      <c r="W23">
        <v>6.2</v>
      </c>
      <c r="X23">
        <v>7.4</v>
      </c>
      <c r="Y23">
        <v>9.4</v>
      </c>
      <c r="Z23">
        <v>11.3</v>
      </c>
      <c r="AA23">
        <v>15.3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18.2</v>
      </c>
      <c r="E24">
        <v>21.4</v>
      </c>
      <c r="H24">
        <v>11.9</v>
      </c>
      <c r="I24">
        <v>11.7</v>
      </c>
      <c r="J24">
        <v>8.1</v>
      </c>
      <c r="K24">
        <v>6.8</v>
      </c>
      <c r="L24">
        <v>7.4</v>
      </c>
      <c r="M24">
        <v>8.1</v>
      </c>
      <c r="N24">
        <v>7.9</v>
      </c>
      <c r="O24">
        <v>12.1</v>
      </c>
      <c r="P24">
        <v>7.2</v>
      </c>
      <c r="Q24">
        <v>7.6</v>
      </c>
      <c r="R24">
        <v>7.3</v>
      </c>
      <c r="S24">
        <v>8.8000000000000007</v>
      </c>
      <c r="T24">
        <v>7.8</v>
      </c>
      <c r="U24">
        <v>7.1</v>
      </c>
      <c r="V24">
        <v>2.7</v>
      </c>
      <c r="W24">
        <v>5.2</v>
      </c>
      <c r="X24">
        <v>7.7</v>
      </c>
      <c r="Y24">
        <v>8.8000000000000007</v>
      </c>
      <c r="Z24">
        <v>11.4</v>
      </c>
      <c r="AA24">
        <v>11.6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22.1</v>
      </c>
      <c r="E25">
        <v>11</v>
      </c>
      <c r="H25">
        <v>23.4</v>
      </c>
      <c r="I25">
        <v>11.3</v>
      </c>
      <c r="J25">
        <v>11.1</v>
      </c>
      <c r="K25">
        <v>8</v>
      </c>
      <c r="L25">
        <v>9.5</v>
      </c>
      <c r="M25">
        <v>7.1</v>
      </c>
      <c r="N25">
        <v>8.8000000000000007</v>
      </c>
      <c r="O25">
        <v>6.7</v>
      </c>
      <c r="P25">
        <v>7.9</v>
      </c>
      <c r="Q25">
        <v>6.5</v>
      </c>
      <c r="R25">
        <v>7.9</v>
      </c>
      <c r="T25">
        <v>4.0999999999999996</v>
      </c>
      <c r="U25">
        <v>12.1</v>
      </c>
      <c r="V25">
        <v>9.1</v>
      </c>
      <c r="X25">
        <v>6.6</v>
      </c>
      <c r="Z25">
        <v>8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34.200000000000003</v>
      </c>
      <c r="E26">
        <v>17.8</v>
      </c>
      <c r="H26">
        <v>20.3</v>
      </c>
      <c r="I26">
        <v>17.3</v>
      </c>
      <c r="J26">
        <v>15.8</v>
      </c>
      <c r="K26">
        <v>11.1</v>
      </c>
      <c r="L26">
        <v>11.2</v>
      </c>
      <c r="M26">
        <v>10.199999999999999</v>
      </c>
      <c r="N26">
        <v>13</v>
      </c>
      <c r="O26">
        <v>12.4</v>
      </c>
      <c r="P26">
        <v>9.9</v>
      </c>
      <c r="Q26">
        <v>13.8</v>
      </c>
      <c r="R26">
        <v>9.6</v>
      </c>
      <c r="S26">
        <v>17</v>
      </c>
      <c r="T26">
        <v>10.6</v>
      </c>
      <c r="U26">
        <v>8.5</v>
      </c>
      <c r="V26">
        <v>13.1</v>
      </c>
      <c r="W26">
        <v>13</v>
      </c>
      <c r="X26">
        <v>13.6</v>
      </c>
      <c r="Y26">
        <v>10.9</v>
      </c>
      <c r="Z26">
        <v>14.4</v>
      </c>
      <c r="AA26">
        <v>11.2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17.100000000000001</v>
      </c>
      <c r="E27">
        <v>17.600000000000001</v>
      </c>
      <c r="H27">
        <v>10.1</v>
      </c>
      <c r="I27">
        <v>13</v>
      </c>
      <c r="J27">
        <v>7.6</v>
      </c>
      <c r="K27">
        <v>7.1</v>
      </c>
      <c r="L27">
        <v>6.3</v>
      </c>
      <c r="M27">
        <v>8</v>
      </c>
      <c r="N27">
        <v>8</v>
      </c>
      <c r="O27">
        <v>9.6999999999999993</v>
      </c>
      <c r="P27">
        <v>8.9</v>
      </c>
      <c r="Q27">
        <v>9.9</v>
      </c>
      <c r="R27">
        <v>7.8</v>
      </c>
      <c r="S27">
        <v>7.4</v>
      </c>
      <c r="T27">
        <v>6.8</v>
      </c>
      <c r="U27">
        <v>6.3</v>
      </c>
      <c r="V27">
        <v>5</v>
      </c>
      <c r="W27">
        <v>6.1</v>
      </c>
      <c r="X27">
        <v>9.8000000000000007</v>
      </c>
      <c r="Y27">
        <v>9.3000000000000007</v>
      </c>
      <c r="Z27">
        <v>10.5</v>
      </c>
      <c r="AA27">
        <v>12.1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15.3</v>
      </c>
      <c r="E28">
        <v>16.2</v>
      </c>
      <c r="H28">
        <v>19.8</v>
      </c>
      <c r="I28">
        <v>11</v>
      </c>
      <c r="J28">
        <v>5.6</v>
      </c>
      <c r="K28">
        <v>6.7</v>
      </c>
      <c r="L28">
        <v>6.1</v>
      </c>
      <c r="M28">
        <v>10.3</v>
      </c>
      <c r="N28">
        <v>8.4</v>
      </c>
      <c r="O28">
        <v>11</v>
      </c>
      <c r="P28">
        <v>7.8</v>
      </c>
      <c r="Q28">
        <v>10.6</v>
      </c>
      <c r="R28">
        <v>7.8</v>
      </c>
      <c r="S28">
        <v>8</v>
      </c>
      <c r="T28">
        <v>7.2</v>
      </c>
      <c r="U28">
        <v>7.7</v>
      </c>
      <c r="V28">
        <v>5.2</v>
      </c>
      <c r="W28">
        <v>9.6</v>
      </c>
      <c r="X28">
        <v>6.7</v>
      </c>
      <c r="Y28">
        <v>10.1</v>
      </c>
      <c r="Z28">
        <v>12.2</v>
      </c>
      <c r="AA28">
        <v>12.6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12.1</v>
      </c>
      <c r="E29">
        <v>23.5</v>
      </c>
      <c r="H29">
        <v>11.8</v>
      </c>
      <c r="I29">
        <v>12.1</v>
      </c>
      <c r="J29">
        <v>7.8</v>
      </c>
      <c r="K29">
        <v>5.6</v>
      </c>
      <c r="L29">
        <v>8.5</v>
      </c>
      <c r="M29">
        <v>10.5</v>
      </c>
      <c r="N29">
        <v>7.2</v>
      </c>
      <c r="O29">
        <v>8.6999999999999993</v>
      </c>
      <c r="P29">
        <v>9</v>
      </c>
      <c r="Q29">
        <v>7.5</v>
      </c>
      <c r="R29">
        <v>9.3000000000000007</v>
      </c>
      <c r="S29">
        <v>6.6</v>
      </c>
      <c r="T29">
        <v>6.5</v>
      </c>
      <c r="U29">
        <v>5.0999999999999996</v>
      </c>
      <c r="V29">
        <v>7.6</v>
      </c>
      <c r="W29">
        <v>7.2</v>
      </c>
      <c r="X29">
        <v>9.1</v>
      </c>
      <c r="Y29">
        <v>8.6999999999999993</v>
      </c>
      <c r="Z29">
        <v>15.4</v>
      </c>
      <c r="AA29">
        <v>12.2</v>
      </c>
    </row>
    <row r="31" spans="1:27" x14ac:dyDescent="0.25">
      <c r="C31">
        <v>1</v>
      </c>
      <c r="D31">
        <f t="array" ref="D31">MEDIAN(IF($C$3:$C$29=$C31,D$3:D$29,""))</f>
        <v>21.45</v>
      </c>
      <c r="E31">
        <f t="array" ref="E31">MEDIAN(IF($C$3:$C$29=$C31,E$3:E$29,""))</f>
        <v>17.100000000000001</v>
      </c>
      <c r="F31">
        <f t="array" ref="F31">MEDIAN(IF($C$3:$C$29=$C31,F$3:F$29,""))</f>
        <v>0</v>
      </c>
      <c r="G31">
        <v>26</v>
      </c>
      <c r="H31">
        <f t="array" ref="H31">MEDIAN(IF($C$3:$C$29=$C31,H$3:H$29,""))</f>
        <v>18.75</v>
      </c>
      <c r="I31">
        <f t="array" ref="I31">MEDIAN(IF($C$3:$C$29=$C31,I$3:I$29,""))</f>
        <v>16.899999999999999</v>
      </c>
      <c r="J31">
        <f t="array" ref="J31">MEDIAN(IF($C$3:$C$29=$C31,J$3:J$29,""))</f>
        <v>16.5</v>
      </c>
      <c r="K31">
        <f t="array" ref="K31">MEDIAN(IF($C$3:$C$29=$C31,K$3:K$29,""))</f>
        <v>14.65</v>
      </c>
      <c r="L31">
        <f t="array" ref="L31">MEDIAN(IF($C$3:$C$29=$C31,L$3:L$29,""))</f>
        <v>12.8</v>
      </c>
      <c r="M31">
        <f t="array" ref="M31">MEDIAN(IF($C$3:$C$29=$C31,M$3:M$29,""))</f>
        <v>14.15</v>
      </c>
      <c r="N31">
        <f t="array" ref="N31">MEDIAN(IF($C$3:$C$29=$C31,N$3:N$29,""))</f>
        <v>12.45</v>
      </c>
      <c r="O31">
        <f t="array" ref="O31">MEDIAN(IF($C$3:$C$29=$C31,O$3:O$29,""))</f>
        <v>13.25</v>
      </c>
      <c r="P31">
        <f t="array" ref="P31">MEDIAN(IF($C$3:$C$29=$C31,P$3:P$29,""))</f>
        <v>11.1</v>
      </c>
      <c r="Q31">
        <f t="array" ref="Q31">MEDIAN(IF($C$3:$C$29=$C31,Q$3:Q$29,""))</f>
        <v>12.850000000000001</v>
      </c>
      <c r="R31">
        <f t="array" ref="R31">MEDIAN(IF($C$3:$C$29=$C31,R$3:R$29,""))</f>
        <v>11.1</v>
      </c>
      <c r="S31">
        <f t="array" ref="S31">MEDIAN(IF($C$3:$C$29=$C31,S$3:S$29,""))</f>
        <v>16.450000000000003</v>
      </c>
      <c r="T31">
        <f t="array" ref="T31">MEDIAN(IF($C$3:$C$29=$C31,T$3:T$29,""))</f>
        <v>12.2</v>
      </c>
      <c r="U31">
        <f t="array" ref="U31">MEDIAN(IF($C$3:$C$29=$C31,U$3:U$29,""))</f>
        <v>9.4</v>
      </c>
      <c r="V31">
        <f t="array" ref="V31">MEDIAN(IF($C$3:$C$29=$C31,V$3:V$29,""))</f>
        <v>12.1</v>
      </c>
      <c r="W31">
        <f t="array" ref="W31">MEDIAN(IF($C$3:$C$29=$C31,W$3:W$29,""))</f>
        <v>11.75</v>
      </c>
      <c r="X31">
        <f t="array" ref="X31">MEDIAN(IF($C$3:$C$29=$C31,X$3:X$29,""))</f>
        <v>10.95</v>
      </c>
      <c r="Y31">
        <f t="array" ref="Y31">MEDIAN(IF($C$3:$C$29=$C31,Y$3:Y$29,""))</f>
        <v>11.15</v>
      </c>
      <c r="Z31">
        <f t="array" ref="Z31">MEDIAN(IF($C$3:$C$29=$C31,Z$3:Z$29,""))</f>
        <v>11.600000000000001</v>
      </c>
      <c r="AA31">
        <f t="array" ref="AA31">MEDIAN(IF($C$3:$C$29=$C31,AA$3:AA$29,""))</f>
        <v>12.75</v>
      </c>
    </row>
    <row r="32" spans="1:27" x14ac:dyDescent="0.25">
      <c r="C32">
        <v>2</v>
      </c>
      <c r="D32">
        <f t="array" ref="D32">MEDIAN(IF($C$3:$C$29=$C32,D$3:D$29,""))</f>
        <v>18.45</v>
      </c>
      <c r="E32">
        <f t="array" ref="E32">MEDIAN(IF($C$3:$C$29=$C32,E$3:E$29,""))</f>
        <v>13.4</v>
      </c>
      <c r="F32">
        <f t="array" ref="F32">MEDIAN(IF($C$3:$C$29=$C32,F$3:F$29,""))</f>
        <v>0</v>
      </c>
      <c r="G32">
        <v>26</v>
      </c>
      <c r="H32">
        <f t="array" ref="H32">MEDIAN(IF($C$3:$C$29=$C32,H$3:H$29,""))</f>
        <v>15.95</v>
      </c>
      <c r="I32">
        <f t="array" ref="I32">MEDIAN(IF($C$3:$C$29=$C32,I$3:I$29,""))</f>
        <v>11</v>
      </c>
      <c r="J32">
        <f t="array" ref="J32">MEDIAN(IF($C$3:$C$29=$C32,J$3:J$29,""))</f>
        <v>11.2</v>
      </c>
      <c r="K32">
        <f t="array" ref="K32">MEDIAN(IF($C$3:$C$29=$C32,K$3:K$29,""))</f>
        <v>8.4499999999999993</v>
      </c>
      <c r="L32">
        <f t="array" ref="L32">MEDIAN(IF($C$3:$C$29=$C32,L$3:L$29,""))</f>
        <v>9.0500000000000007</v>
      </c>
      <c r="M32">
        <f t="array" ref="M32">MEDIAN(IF($C$3:$C$29=$C32,M$3:M$29,""))</f>
        <v>7.4</v>
      </c>
      <c r="N32">
        <f t="array" ref="N32">MEDIAN(IF($C$3:$C$29=$C32,N$3:N$29,""))</f>
        <v>9.3999999999999986</v>
      </c>
      <c r="O32">
        <f t="array" ref="O32">MEDIAN(IF($C$3:$C$29=$C32,O$3:O$29,""))</f>
        <v>6.85</v>
      </c>
      <c r="P32">
        <f t="array" ref="P32">MEDIAN(IF($C$3:$C$29=$C32,P$3:P$29,""))</f>
        <v>7.65</v>
      </c>
      <c r="Q32">
        <f t="array" ref="Q32">MEDIAN(IF($C$3:$C$29=$C32,Q$3:Q$29,""))</f>
        <v>7.1</v>
      </c>
      <c r="R32">
        <f t="array" ref="R32">MEDIAN(IF($C$3:$C$29=$C32,R$3:R$29,""))</f>
        <v>7.75</v>
      </c>
      <c r="S32">
        <f t="array" ref="S32">MEDIAN(IF($C$3:$C$29=$C32,S$3:S$29,""))</f>
        <v>7.4</v>
      </c>
      <c r="T32">
        <f t="array" ref="T32">MEDIAN(IF($C$3:$C$29=$C32,T$3:T$29,""))</f>
        <v>5.4499999999999993</v>
      </c>
      <c r="U32">
        <f t="array" ref="U32">MEDIAN(IF($C$3:$C$29=$C32,U$3:U$29,""))</f>
        <v>6.55</v>
      </c>
      <c r="V32">
        <f t="array" ref="V32">MEDIAN(IF($C$3:$C$29=$C32,V$3:V$29,""))</f>
        <v>7.7</v>
      </c>
      <c r="W32">
        <f t="array" ref="W32">MEDIAN(IF($C$3:$C$29=$C32,W$3:W$29,""))</f>
        <v>5.0500000000000007</v>
      </c>
      <c r="X32">
        <f t="array" ref="X32">MEDIAN(IF($C$3:$C$29=$C32,X$3:X$29,""))</f>
        <v>6.85</v>
      </c>
      <c r="Y32">
        <f t="array" ref="Y32">MEDIAN(IF($C$3:$C$29=$C32,Y$3:Y$29,""))</f>
        <v>6.9499999999999993</v>
      </c>
      <c r="Z32">
        <f t="array" ref="Z32">MEDIAN(IF($C$3:$C$29=$C32,Z$3:Z$29,""))</f>
        <v>7.05</v>
      </c>
      <c r="AA32">
        <f t="array" ref="AA32">MEDIAN(IF($C$3:$C$29=$C32,AA$3:AA$29,""))</f>
        <v>10.3</v>
      </c>
    </row>
    <row r="33" spans="3:27" x14ac:dyDescent="0.25">
      <c r="C33">
        <v>3</v>
      </c>
      <c r="D33">
        <f t="array" ref="D33">MEDIAN(IF($C$3:$C$29=$C33,D$3:D$29,""))</f>
        <v>16.8</v>
      </c>
      <c r="E33">
        <f t="array" ref="E33">MEDIAN(IF($C$3:$C$29=$C33,E$3:E$29,""))</f>
        <v>18.649999999999999</v>
      </c>
      <c r="F33">
        <f t="array" ref="F33">MEDIAN(IF($C$3:$C$29=$C33,F$3:F$29,""))</f>
        <v>0</v>
      </c>
      <c r="G33">
        <v>26</v>
      </c>
      <c r="H33">
        <f t="array" ref="H33">MEDIAN(IF($C$3:$C$29=$C33,H$3:H$29,""))</f>
        <v>13.8</v>
      </c>
      <c r="I33">
        <f t="array" ref="I33">MEDIAN(IF($C$3:$C$29=$C33,I$3:I$29,""))</f>
        <v>11.1</v>
      </c>
      <c r="J33">
        <f t="array" ref="J33">MEDIAN(IF($C$3:$C$29=$C33,J$3:J$29,""))</f>
        <v>7.6</v>
      </c>
      <c r="K33">
        <f t="array" ref="K33">MEDIAN(IF($C$3:$C$29=$C33,K$3:K$29,""))</f>
        <v>5.9499999999999993</v>
      </c>
      <c r="L33">
        <f t="array" ref="L33">MEDIAN(IF($C$3:$C$29=$C33,L$3:L$29,""))</f>
        <v>7.05</v>
      </c>
      <c r="M33">
        <f t="array" ref="M33">MEDIAN(IF($C$3:$C$29=$C33,M$3:M$29,""))</f>
        <v>8.1999999999999993</v>
      </c>
      <c r="N33">
        <f t="array" ref="N33">MEDIAN(IF($C$3:$C$29=$C33,N$3:N$29,""))</f>
        <v>8.8000000000000007</v>
      </c>
      <c r="O33">
        <f t="array" ref="O33">MEDIAN(IF($C$3:$C$29=$C33,O$3:O$29,""))</f>
        <v>9.75</v>
      </c>
      <c r="P33">
        <f t="array" ref="P33">MEDIAN(IF($C$3:$C$29=$C33,P$3:P$29,""))</f>
        <v>8.8000000000000007</v>
      </c>
      <c r="Q33">
        <f t="array" ref="Q33">MEDIAN(IF($C$3:$C$29=$C33,Q$3:Q$29,""))</f>
        <v>8.3000000000000007</v>
      </c>
      <c r="R33">
        <f t="array" ref="R33">MEDIAN(IF($C$3:$C$29=$C33,R$3:R$29,""))</f>
        <v>8.8000000000000007</v>
      </c>
      <c r="S33">
        <f t="array" ref="S33">MEDIAN(IF($C$3:$C$29=$C33,S$3:S$29,""))</f>
        <v>7.5500000000000007</v>
      </c>
      <c r="T33">
        <f t="array" ref="T33">MEDIAN(IF($C$3:$C$29=$C33,T$3:T$29,""))</f>
        <v>6.85</v>
      </c>
      <c r="U33">
        <f t="array" ref="U33">MEDIAN(IF($C$3:$C$29=$C33,U$3:U$29,""))</f>
        <v>7.45</v>
      </c>
      <c r="V33">
        <f t="array" ref="V33">MEDIAN(IF($C$3:$C$29=$C33,V$3:V$29,""))</f>
        <v>6.45</v>
      </c>
      <c r="W33">
        <f t="array" ref="W33">MEDIAN(IF($C$3:$C$29=$C33,W$3:W$29,""))</f>
        <v>6.4499999999999993</v>
      </c>
      <c r="X33">
        <f t="array" ref="X33">MEDIAN(IF($C$3:$C$29=$C33,X$3:X$29,""))</f>
        <v>9.9499999999999993</v>
      </c>
      <c r="Y33">
        <f t="array" ref="Y33">MEDIAN(IF($C$3:$C$29=$C33,Y$3:Y$29,""))</f>
        <v>11.25</v>
      </c>
      <c r="Z33">
        <f t="array" ref="Z33">MEDIAN(IF($C$3:$C$29=$C33,Z$3:Z$29,""))</f>
        <v>10.5</v>
      </c>
      <c r="AA33">
        <f t="array" ref="AA33">MEDIAN(IF($C$3:$C$29=$C33,AA$3:AA$29,""))</f>
        <v>15.85</v>
      </c>
    </row>
    <row r="34" spans="3:27" x14ac:dyDescent="0.25">
      <c r="C34">
        <v>4</v>
      </c>
      <c r="D34">
        <f t="array" ref="D34">MEDIAN(IF($C$3:$C$29=$C34,D$3:D$29,""))</f>
        <v>17.5</v>
      </c>
      <c r="E34">
        <f t="array" ref="E34">MEDIAN(IF($C$3:$C$29=$C34,E$3:E$29,""))</f>
        <v>16.25</v>
      </c>
      <c r="F34">
        <f t="array" ref="F34">MEDIAN(IF($C$3:$C$29=$C34,F$3:F$29,""))</f>
        <v>0</v>
      </c>
      <c r="G34">
        <v>26</v>
      </c>
      <c r="H34">
        <f t="array" ref="H34">MEDIAN(IF($C$3:$C$29=$C34,H$3:H$29,""))</f>
        <v>18.649999999999999</v>
      </c>
      <c r="I34">
        <f t="array" ref="I34">MEDIAN(IF($C$3:$C$29=$C34,I$3:I$29,""))</f>
        <v>12.25</v>
      </c>
      <c r="J34">
        <f t="array" ref="J34">MEDIAN(IF($C$3:$C$29=$C34,J$3:J$29,""))</f>
        <v>6.3000000000000007</v>
      </c>
      <c r="K34">
        <f t="array" ref="K34">MEDIAN(IF($C$3:$C$29=$C34,K$3:K$29,""))</f>
        <v>6.15</v>
      </c>
      <c r="L34">
        <f t="array" ref="L34">MEDIAN(IF($C$3:$C$29=$C34,L$3:L$29,""))</f>
        <v>7.6</v>
      </c>
      <c r="M34">
        <f t="array" ref="M34">MEDIAN(IF($C$3:$C$29=$C34,M$3:M$29,""))</f>
        <v>8.6000000000000014</v>
      </c>
      <c r="N34">
        <f t="array" ref="N34">MEDIAN(IF($C$3:$C$29=$C34,N$3:N$29,""))</f>
        <v>8.3500000000000014</v>
      </c>
      <c r="O34">
        <f t="array" ref="O34">MEDIAN(IF($C$3:$C$29=$C34,O$3:O$29,""))</f>
        <v>9.75</v>
      </c>
      <c r="P34">
        <f t="array" ref="P34">MEDIAN(IF($C$3:$C$29=$C34,P$3:P$29,""))</f>
        <v>7.75</v>
      </c>
      <c r="Q34">
        <f t="array" ref="Q34">MEDIAN(IF($C$3:$C$29=$C34,Q$3:Q$29,""))</f>
        <v>7.4499999999999993</v>
      </c>
      <c r="R34">
        <f t="array" ref="R34">MEDIAN(IF($C$3:$C$29=$C34,R$3:R$29,""))</f>
        <v>9.35</v>
      </c>
      <c r="S34">
        <f t="array" ref="S34">MEDIAN(IF($C$3:$C$29=$C34,S$3:S$29,""))</f>
        <v>8.1</v>
      </c>
      <c r="T34">
        <f t="array" ref="T34">MEDIAN(IF($C$3:$C$29=$C34,T$3:T$29,""))</f>
        <v>7.25</v>
      </c>
      <c r="U34">
        <f t="array" ref="U34">MEDIAN(IF($C$3:$C$29=$C34,U$3:U$29,""))</f>
        <v>6.95</v>
      </c>
      <c r="V34">
        <f t="array" ref="V34">MEDIAN(IF($C$3:$C$29=$C34,V$3:V$29,""))</f>
        <v>5.85</v>
      </c>
      <c r="W34">
        <f t="array" ref="W34">MEDIAN(IF($C$3:$C$29=$C34,W$3:W$29,""))</f>
        <v>8.5</v>
      </c>
      <c r="X34">
        <f t="array" ref="X34">MEDIAN(IF($C$3:$C$29=$C34,X$3:X$29,""))</f>
        <v>6.95</v>
      </c>
      <c r="Y34">
        <f t="array" ref="Y34">MEDIAN(IF($C$3:$C$29=$C34,Y$3:Y$29,""))</f>
        <v>10</v>
      </c>
      <c r="Z34">
        <f t="array" ref="Z34">MEDIAN(IF($C$3:$C$29=$C34,Z$3:Z$29,""))</f>
        <v>11.899999999999999</v>
      </c>
      <c r="AA34">
        <f t="array" ref="AA34">MEDIAN(IF($C$3:$C$29=$C34,AA$3:AA$29,""))</f>
        <v>11.25</v>
      </c>
    </row>
    <row r="35" spans="3:27" x14ac:dyDescent="0.25">
      <c r="C35">
        <v>5</v>
      </c>
      <c r="D35">
        <f t="array" ref="D35">MEDIAN(IF($C$3:$C$29=$C35,D$3:D$29,""))</f>
        <v>16.55</v>
      </c>
      <c r="E35">
        <f t="array" ref="E35">MEDIAN(IF($C$3:$C$29=$C35,E$3:E$29,""))</f>
        <v>15.600000000000001</v>
      </c>
      <c r="F35">
        <f t="array" ref="F35">MEDIAN(IF($C$3:$C$29=$C35,F$3:F$29,""))</f>
        <v>0</v>
      </c>
      <c r="G35">
        <v>26</v>
      </c>
      <c r="H35">
        <f t="array" ref="H35">MEDIAN(IF($C$3:$C$29=$C35,H$3:H$29,""))</f>
        <v>16.049999999999997</v>
      </c>
      <c r="I35">
        <f t="array" ref="I35">MEDIAN(IF($C$3:$C$29=$C35,I$3:I$29,""))</f>
        <v>13.7</v>
      </c>
      <c r="J35">
        <f t="array" ref="J35">MEDIAN(IF($C$3:$C$29=$C35,J$3:J$29,""))</f>
        <v>7.65</v>
      </c>
      <c r="K35">
        <f t="array" ref="K35">MEDIAN(IF($C$3:$C$29=$C35,K$3:K$29,""))</f>
        <v>6</v>
      </c>
      <c r="L35">
        <f t="array" ref="L35">MEDIAN(IF($C$3:$C$29=$C35,L$3:L$29,""))</f>
        <v>6.75</v>
      </c>
      <c r="M35">
        <f t="array" ref="M35">MEDIAN(IF($C$3:$C$29=$C35,M$3:M$29,""))</f>
        <v>8.8000000000000007</v>
      </c>
      <c r="N35">
        <f t="array" ref="N35">MEDIAN(IF($C$3:$C$29=$C35,N$3:N$29,""))</f>
        <v>8.1</v>
      </c>
      <c r="O35">
        <f t="array" ref="O35">MEDIAN(IF($C$3:$C$29=$C35,O$3:O$29,""))</f>
        <v>8.4499999999999993</v>
      </c>
      <c r="P35">
        <f t="array" ref="P35">MEDIAN(IF($C$3:$C$29=$C35,P$3:P$29,""))</f>
        <v>9.15</v>
      </c>
      <c r="Q35">
        <f t="array" ref="Q35">MEDIAN(IF($C$3:$C$29=$C35,Q$3:Q$29,""))</f>
        <v>7.5</v>
      </c>
      <c r="R35">
        <f t="array" ref="R35">MEDIAN(IF($C$3:$C$29=$C35,R$3:R$29,""))</f>
        <v>8.5</v>
      </c>
      <c r="S35">
        <f t="array" ref="S35">MEDIAN(IF($C$3:$C$29=$C35,S$3:S$29,""))</f>
        <v>8.4</v>
      </c>
      <c r="T35">
        <f t="array" ref="T35">MEDIAN(IF($C$3:$C$29=$C35,T$3:T$29,""))</f>
        <v>8</v>
      </c>
      <c r="U35">
        <f t="array" ref="U35">MEDIAN(IF($C$3:$C$29=$C35,U$3:U$29,""))</f>
        <v>6.35</v>
      </c>
      <c r="V35">
        <f t="array" ref="V35">MEDIAN(IF($C$3:$C$29=$C35,V$3:V$29,""))</f>
        <v>6.2</v>
      </c>
      <c r="W35">
        <f t="array" ref="W35">MEDIAN(IF($C$3:$C$29=$C35,W$3:W$29,""))</f>
        <v>7.5</v>
      </c>
      <c r="X35">
        <f t="array" ref="X35">MEDIAN(IF($C$3:$C$29=$C35,X$3:X$29,""))</f>
        <v>9</v>
      </c>
      <c r="Y35">
        <f t="array" ref="Y35">MEDIAN(IF($C$3:$C$29=$C35,Y$3:Y$29,""))</f>
        <v>8.9499999999999993</v>
      </c>
      <c r="Z35">
        <f t="array" ref="Z35">MEDIAN(IF($C$3:$C$29=$C35,Z$3:Z$29,""))</f>
        <v>10.8</v>
      </c>
      <c r="AA35">
        <f t="array" ref="AA35">MEDIAN(IF($C$3:$C$29=$C35,AA$3:AA$29,""))</f>
        <v>13.3</v>
      </c>
    </row>
    <row r="36" spans="3:27" x14ac:dyDescent="0.25">
      <c r="C36">
        <v>6</v>
      </c>
      <c r="D36">
        <f t="array" ref="D36">MEDIAN(IF($C$3:$C$29=$C36,D$3:D$29,""))</f>
        <v>16.399999999999999</v>
      </c>
      <c r="E36">
        <f t="array" ref="E36">MEDIAN(IF($C$3:$C$29=$C36,E$3:E$29,""))</f>
        <v>19</v>
      </c>
      <c r="F36">
        <f t="array" ref="F36">MEDIAN(IF($C$3:$C$29=$C36,F$3:F$29,""))</f>
        <v>0</v>
      </c>
      <c r="G36">
        <v>26</v>
      </c>
      <c r="H36">
        <f t="array" ref="H36">MEDIAN(IF($C$3:$C$29=$C36,H$3:H$29,""))</f>
        <v>18</v>
      </c>
      <c r="I36">
        <f t="array" ref="I36">MEDIAN(IF($C$3:$C$29=$C36,I$3:I$29,""))</f>
        <v>10.4</v>
      </c>
      <c r="J36">
        <f t="array" ref="J36">MEDIAN(IF($C$3:$C$29=$C36,J$3:J$29,""))</f>
        <v>9.3000000000000007</v>
      </c>
      <c r="K36">
        <f t="array" ref="K36">MEDIAN(IF($C$3:$C$29=$C36,K$3:K$29,""))</f>
        <v>6.8</v>
      </c>
      <c r="L36">
        <f t="array" ref="L36">MEDIAN(IF($C$3:$C$29=$C36,L$3:L$29,""))</f>
        <v>7.2</v>
      </c>
      <c r="M36">
        <f t="array" ref="M36">MEDIAN(IF($C$3:$C$29=$C36,M$3:M$29,""))</f>
        <v>8.6</v>
      </c>
      <c r="N36">
        <f t="array" ref="N36">MEDIAN(IF($C$3:$C$29=$C36,N$3:N$29,""))</f>
        <v>9.1</v>
      </c>
      <c r="O36">
        <f t="array" ref="O36">MEDIAN(IF($C$3:$C$29=$C36,O$3:O$29,""))</f>
        <v>8.6</v>
      </c>
      <c r="P36">
        <f t="array" ref="P36">MEDIAN(IF($C$3:$C$29=$C36,P$3:P$29,""))</f>
        <v>8.8000000000000007</v>
      </c>
      <c r="Q36">
        <f t="array" ref="Q36">MEDIAN(IF($C$3:$C$29=$C36,Q$3:Q$29,""))</f>
        <v>8.6</v>
      </c>
      <c r="R36">
        <f t="array" ref="R36">MEDIAN(IF($C$3:$C$29=$C36,R$3:R$29,""))</f>
        <v>7.3</v>
      </c>
      <c r="S36">
        <f t="array" ref="S36">MEDIAN(IF($C$3:$C$29=$C36,S$3:S$29,""))</f>
        <v>8.1999999999999993</v>
      </c>
      <c r="T36">
        <f t="array" ref="T36">MEDIAN(IF($C$3:$C$29=$C36,T$3:T$29,""))</f>
        <v>7.8</v>
      </c>
      <c r="U36">
        <f t="array" ref="U36">MEDIAN(IF($C$3:$C$29=$C36,U$3:U$29,""))</f>
        <v>8</v>
      </c>
      <c r="V36">
        <f t="array" ref="V36">MEDIAN(IF($C$3:$C$29=$C36,V$3:V$29,""))</f>
        <v>6.5</v>
      </c>
      <c r="W36">
        <f t="array" ref="W36">MEDIAN(IF($C$3:$C$29=$C36,W$3:W$29,""))</f>
        <v>6.6</v>
      </c>
      <c r="X36">
        <f t="array" ref="X36">MEDIAN(IF($C$3:$C$29=$C36,X$3:X$29,""))</f>
        <v>7.4</v>
      </c>
      <c r="Y36">
        <f t="array" ref="Y36">MEDIAN(IF($C$3:$C$29=$C36,Y$3:Y$29,""))</f>
        <v>9.4</v>
      </c>
      <c r="Z36">
        <f t="array" ref="Z36">MEDIAN(IF($C$3:$C$29=$C36,Z$3:Z$29,""))</f>
        <v>11.1</v>
      </c>
      <c r="AA36">
        <f t="array" ref="AA36">MEDIAN(IF($C$3:$C$29=$C36,AA$3:AA$29,""))</f>
        <v>15.2</v>
      </c>
    </row>
    <row r="37" spans="3:27" x14ac:dyDescent="0.25">
      <c r="C37">
        <v>7</v>
      </c>
      <c r="D37">
        <f t="array" ref="D37">MEDIAN(IF($C$3:$C$29=$C37,D$3:D$29,""))</f>
        <v>17.95</v>
      </c>
      <c r="E37">
        <f t="array" ref="E37">MEDIAN(IF($C$3:$C$29=$C37,E$3:E$29,""))</f>
        <v>19.149999999999999</v>
      </c>
      <c r="F37">
        <f t="array" ref="F37">MEDIAN(IF($C$3:$C$29=$C37,F$3:F$29,""))</f>
        <v>0</v>
      </c>
      <c r="G37">
        <v>26</v>
      </c>
      <c r="H37">
        <f t="array" ref="H37">MEDIAN(IF($C$3:$C$29=$C37,H$3:H$29,""))</f>
        <v>12.7</v>
      </c>
      <c r="I37">
        <f t="array" ref="I37">MEDIAN(IF($C$3:$C$29=$C37,I$3:I$29,""))</f>
        <v>11.35</v>
      </c>
      <c r="J37">
        <f t="array" ref="J37">MEDIAN(IF($C$3:$C$29=$C37,J$3:J$29,""))</f>
        <v>7.4499999999999993</v>
      </c>
      <c r="K37">
        <f t="array" ref="K37">MEDIAN(IF($C$3:$C$29=$C37,K$3:K$29,""))</f>
        <v>5.65</v>
      </c>
      <c r="L37">
        <f t="array" ref="L37">MEDIAN(IF($C$3:$C$29=$C37,L$3:L$29,""))</f>
        <v>6.9</v>
      </c>
      <c r="M37">
        <f t="array" ref="M37">MEDIAN(IF($C$3:$C$29=$C37,M$3:M$29,""))</f>
        <v>8.4499999999999993</v>
      </c>
      <c r="N37">
        <f t="array" ref="N37">MEDIAN(IF($C$3:$C$29=$C37,N$3:N$29,""))</f>
        <v>7.7</v>
      </c>
      <c r="O37">
        <f t="array" ref="O37">MEDIAN(IF($C$3:$C$29=$C37,O$3:O$29,""))</f>
        <v>8.8000000000000007</v>
      </c>
      <c r="P37">
        <f t="array" ref="P37">MEDIAN(IF($C$3:$C$29=$C37,P$3:P$29,""))</f>
        <v>9.1999999999999993</v>
      </c>
      <c r="Q37">
        <f t="array" ref="Q37">MEDIAN(IF($C$3:$C$29=$C37,Q$3:Q$29,""))</f>
        <v>8.0500000000000007</v>
      </c>
      <c r="R37">
        <f t="array" ref="R37">MEDIAN(IF($C$3:$C$29=$C37,R$3:R$29,""))</f>
        <v>8.4499999999999993</v>
      </c>
      <c r="S37">
        <f t="array" ref="S37">MEDIAN(IF($C$3:$C$29=$C37,S$3:S$29,""))</f>
        <v>8.5</v>
      </c>
      <c r="T37">
        <f t="array" ref="T37">MEDIAN(IF($C$3:$C$29=$C37,T$3:T$29,""))</f>
        <v>6.1999999999999993</v>
      </c>
      <c r="U37">
        <f t="array" ref="U37">MEDIAN(IF($C$3:$C$29=$C37,U$3:U$29,""))</f>
        <v>6.75</v>
      </c>
      <c r="V37">
        <f t="array" ref="V37">MEDIAN(IF($C$3:$C$29=$C37,V$3:V$29,""))</f>
        <v>3.95</v>
      </c>
      <c r="W37">
        <f t="array" ref="W37">MEDIAN(IF($C$3:$C$29=$C37,W$3:W$29,""))</f>
        <v>6.15</v>
      </c>
      <c r="X37">
        <f t="array" ref="X37">MEDIAN(IF($C$3:$C$29=$C37,X$3:X$29,""))</f>
        <v>7.3000000000000007</v>
      </c>
      <c r="Y37">
        <f t="array" ref="Y37">MEDIAN(IF($C$3:$C$29=$C37,Y$3:Y$29,""))</f>
        <v>6.5500000000000007</v>
      </c>
      <c r="Z37">
        <f t="array" ref="Z37">MEDIAN(IF($C$3:$C$29=$C37,Z$3:Z$29,""))</f>
        <v>11.65</v>
      </c>
      <c r="AA37">
        <f t="array" ref="AA37">MEDIAN(IF($C$3:$C$29=$C37,AA$3:AA$29,""))</f>
        <v>12.95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/>
  <dimension ref="A1:AA37"/>
  <sheetViews>
    <sheetView workbookViewId="0">
      <selection activeCell="G31" sqref="G31:G37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11.5</v>
      </c>
      <c r="H3">
        <v>16.100000000000001</v>
      </c>
      <c r="I3">
        <v>13.8</v>
      </c>
      <c r="J3">
        <v>11.1</v>
      </c>
      <c r="K3">
        <v>8.8000000000000007</v>
      </c>
      <c r="L3">
        <v>9.1</v>
      </c>
      <c r="M3">
        <v>13.1</v>
      </c>
      <c r="N3">
        <v>14.5</v>
      </c>
      <c r="O3">
        <v>14.4</v>
      </c>
      <c r="P3">
        <v>11.2</v>
      </c>
      <c r="Q3">
        <v>9.9</v>
      </c>
      <c r="R3">
        <v>14.4</v>
      </c>
      <c r="S3">
        <v>10</v>
      </c>
      <c r="T3">
        <v>8</v>
      </c>
      <c r="U3">
        <v>7</v>
      </c>
      <c r="V3">
        <v>7.4</v>
      </c>
      <c r="W3">
        <v>7</v>
      </c>
      <c r="X3">
        <v>8.3000000000000007</v>
      </c>
      <c r="Y3">
        <v>8.5</v>
      </c>
      <c r="Z3">
        <v>11</v>
      </c>
      <c r="AA3">
        <v>17.399999999999999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17.8</v>
      </c>
      <c r="H4">
        <v>13.4</v>
      </c>
      <c r="I4">
        <v>13.8</v>
      </c>
      <c r="J4">
        <v>14.5</v>
      </c>
      <c r="K4">
        <v>9</v>
      </c>
      <c r="L4">
        <v>12.5</v>
      </c>
      <c r="M4">
        <v>9.9</v>
      </c>
      <c r="N4">
        <v>15.2</v>
      </c>
      <c r="O4">
        <v>11.6</v>
      </c>
      <c r="P4">
        <v>12.5</v>
      </c>
      <c r="Q4">
        <v>6.9</v>
      </c>
      <c r="R4">
        <v>10.5</v>
      </c>
      <c r="S4">
        <v>8.5</v>
      </c>
      <c r="T4">
        <v>10.3</v>
      </c>
      <c r="U4">
        <v>7.2</v>
      </c>
      <c r="V4">
        <v>11.5</v>
      </c>
      <c r="W4">
        <v>17.3</v>
      </c>
      <c r="X4">
        <v>9.6</v>
      </c>
      <c r="Y4">
        <v>7.9</v>
      </c>
      <c r="Z4">
        <v>8.4</v>
      </c>
      <c r="AA4">
        <v>5.8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19</v>
      </c>
      <c r="E5">
        <v>21</v>
      </c>
      <c r="H5">
        <v>15.5</v>
      </c>
      <c r="I5">
        <v>21.4</v>
      </c>
      <c r="J5">
        <v>14.4</v>
      </c>
      <c r="K5">
        <v>18.399999999999999</v>
      </c>
      <c r="L5">
        <v>14.4</v>
      </c>
      <c r="M5">
        <v>16</v>
      </c>
      <c r="N5">
        <v>14.9</v>
      </c>
      <c r="O5">
        <v>15.3</v>
      </c>
      <c r="P5">
        <v>13.7</v>
      </c>
      <c r="Q5">
        <v>16.399999999999999</v>
      </c>
      <c r="R5">
        <v>12.9</v>
      </c>
      <c r="S5">
        <v>13.7</v>
      </c>
      <c r="T5">
        <v>16.3</v>
      </c>
      <c r="U5">
        <v>11.8</v>
      </c>
      <c r="V5">
        <v>16.899999999999999</v>
      </c>
      <c r="W5">
        <v>12.7</v>
      </c>
      <c r="X5">
        <v>10.6</v>
      </c>
      <c r="Y5">
        <v>13.4</v>
      </c>
      <c r="Z5">
        <v>14.4</v>
      </c>
      <c r="AA5">
        <v>18.2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11.1</v>
      </c>
      <c r="H6">
        <v>14.7</v>
      </c>
      <c r="I6">
        <v>13.2</v>
      </c>
      <c r="J6">
        <v>8.3000000000000007</v>
      </c>
      <c r="K6">
        <v>10.1</v>
      </c>
      <c r="L6">
        <v>9.5</v>
      </c>
      <c r="M6">
        <v>11.6</v>
      </c>
      <c r="N6">
        <v>11.4</v>
      </c>
      <c r="O6">
        <v>11.5</v>
      </c>
      <c r="P6">
        <v>17.3</v>
      </c>
      <c r="Q6">
        <v>8</v>
      </c>
      <c r="R6">
        <v>11.5</v>
      </c>
      <c r="S6">
        <v>12.1</v>
      </c>
      <c r="T6">
        <v>8.1</v>
      </c>
      <c r="U6">
        <v>8.6</v>
      </c>
      <c r="V6">
        <v>7.5</v>
      </c>
      <c r="W6">
        <v>7.9</v>
      </c>
      <c r="X6">
        <v>12.1</v>
      </c>
      <c r="Y6">
        <v>14.7</v>
      </c>
      <c r="Z6">
        <v>14.7</v>
      </c>
      <c r="AA6">
        <v>20.399999999999999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17.5</v>
      </c>
      <c r="H7">
        <v>22.7</v>
      </c>
      <c r="I7">
        <v>11.4</v>
      </c>
      <c r="J7">
        <v>8.4</v>
      </c>
      <c r="K7">
        <v>6.8</v>
      </c>
      <c r="L7">
        <v>9.1</v>
      </c>
      <c r="M7">
        <v>9.6</v>
      </c>
      <c r="N7">
        <v>11.3</v>
      </c>
      <c r="O7">
        <v>10.1</v>
      </c>
      <c r="P7">
        <v>9.6999999999999993</v>
      </c>
      <c r="Q7">
        <v>9.1999999999999993</v>
      </c>
      <c r="R7">
        <v>14.3</v>
      </c>
      <c r="S7">
        <v>11.2</v>
      </c>
      <c r="T7">
        <v>9.1</v>
      </c>
      <c r="U7">
        <v>10.7</v>
      </c>
      <c r="V7">
        <v>9.5</v>
      </c>
      <c r="W7">
        <v>9.6999999999999993</v>
      </c>
      <c r="X7">
        <v>7.8</v>
      </c>
      <c r="Y7">
        <v>8.4</v>
      </c>
      <c r="Z7">
        <v>12.6</v>
      </c>
      <c r="AA7">
        <v>17.3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22.4</v>
      </c>
      <c r="H8">
        <v>18.5</v>
      </c>
      <c r="I8">
        <v>15.5</v>
      </c>
      <c r="J8">
        <v>10.3</v>
      </c>
      <c r="K8">
        <v>7.9</v>
      </c>
      <c r="L8">
        <v>7.9</v>
      </c>
      <c r="M8">
        <v>11</v>
      </c>
      <c r="N8">
        <v>9.3000000000000007</v>
      </c>
      <c r="O8">
        <v>7.8</v>
      </c>
      <c r="P8">
        <v>8.1999999999999993</v>
      </c>
      <c r="Q8">
        <v>12.4</v>
      </c>
      <c r="R8">
        <v>11.3</v>
      </c>
      <c r="S8">
        <v>10.199999999999999</v>
      </c>
      <c r="T8">
        <v>11</v>
      </c>
      <c r="U8">
        <v>8.5</v>
      </c>
      <c r="V8">
        <v>10.4</v>
      </c>
      <c r="W8">
        <v>13.6</v>
      </c>
      <c r="X8">
        <v>9.8000000000000007</v>
      </c>
      <c r="Y8">
        <v>10.4</v>
      </c>
      <c r="Z8">
        <v>9.8000000000000007</v>
      </c>
      <c r="AA8">
        <v>18.2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16.5</v>
      </c>
      <c r="H9">
        <v>14.5</v>
      </c>
      <c r="I9">
        <v>13.9</v>
      </c>
      <c r="J9">
        <v>12.3</v>
      </c>
      <c r="K9">
        <v>8</v>
      </c>
      <c r="L9">
        <v>8</v>
      </c>
      <c r="M9">
        <v>9</v>
      </c>
      <c r="N9">
        <v>9.8000000000000007</v>
      </c>
      <c r="O9">
        <v>11.5</v>
      </c>
      <c r="P9">
        <v>13.2</v>
      </c>
      <c r="Q9">
        <v>14.7</v>
      </c>
      <c r="R9">
        <v>8.6999999999999993</v>
      </c>
      <c r="S9">
        <v>11.8</v>
      </c>
      <c r="T9">
        <v>11.9</v>
      </c>
      <c r="U9">
        <v>8.5</v>
      </c>
      <c r="V9">
        <v>7.6</v>
      </c>
      <c r="W9">
        <v>10.5</v>
      </c>
      <c r="X9">
        <v>10.1</v>
      </c>
      <c r="Y9">
        <v>10.3</v>
      </c>
      <c r="Z9">
        <v>13.9</v>
      </c>
      <c r="AA9">
        <v>15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18.600000000000001</v>
      </c>
      <c r="H10">
        <v>20.5</v>
      </c>
      <c r="I10">
        <v>11.2</v>
      </c>
      <c r="J10">
        <v>9.6</v>
      </c>
      <c r="K10">
        <v>5.7</v>
      </c>
      <c r="L10">
        <v>7.4</v>
      </c>
      <c r="M10">
        <v>9</v>
      </c>
      <c r="N10">
        <v>8.8000000000000007</v>
      </c>
      <c r="O10">
        <v>14.1</v>
      </c>
      <c r="P10">
        <v>9.9</v>
      </c>
      <c r="Q10">
        <v>11.1</v>
      </c>
      <c r="R10">
        <v>11.6</v>
      </c>
      <c r="S10">
        <v>10.199999999999999</v>
      </c>
      <c r="T10">
        <v>10</v>
      </c>
      <c r="U10">
        <v>10.4</v>
      </c>
      <c r="V10">
        <v>6</v>
      </c>
      <c r="W10">
        <v>8.9</v>
      </c>
      <c r="X10">
        <v>8.6</v>
      </c>
      <c r="Y10">
        <v>10.6</v>
      </c>
      <c r="Z10">
        <v>18.7</v>
      </c>
      <c r="AA10">
        <v>12.4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19.899999999999999</v>
      </c>
      <c r="H11">
        <v>15</v>
      </c>
      <c r="I11">
        <v>14.3</v>
      </c>
      <c r="J11">
        <v>15.7</v>
      </c>
      <c r="K11">
        <v>11.9</v>
      </c>
      <c r="L11">
        <v>10.9</v>
      </c>
      <c r="M11">
        <v>7.9</v>
      </c>
      <c r="N11">
        <v>12.1</v>
      </c>
      <c r="O11">
        <v>7.5</v>
      </c>
      <c r="P11">
        <v>9.4</v>
      </c>
      <c r="Q11">
        <v>11.9</v>
      </c>
      <c r="R11">
        <v>9</v>
      </c>
      <c r="S11">
        <v>11.6</v>
      </c>
      <c r="T11">
        <v>9.5</v>
      </c>
      <c r="U11">
        <v>9.6999999999999993</v>
      </c>
      <c r="V11">
        <v>10.199999999999999</v>
      </c>
      <c r="W11">
        <v>7.6</v>
      </c>
      <c r="X11">
        <v>9.5</v>
      </c>
      <c r="Y11">
        <v>12.1</v>
      </c>
      <c r="Z11">
        <v>10.1</v>
      </c>
      <c r="AA11">
        <v>22.8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20.9</v>
      </c>
      <c r="E12">
        <v>16</v>
      </c>
      <c r="H12">
        <v>24.7</v>
      </c>
      <c r="I12">
        <v>16.3</v>
      </c>
      <c r="J12">
        <v>22.2</v>
      </c>
      <c r="K12">
        <v>16.600000000000001</v>
      </c>
      <c r="L12">
        <v>16.7</v>
      </c>
      <c r="M12">
        <v>16.600000000000001</v>
      </c>
      <c r="N12">
        <v>16.600000000000001</v>
      </c>
      <c r="O12">
        <v>9.3000000000000007</v>
      </c>
      <c r="P12">
        <v>18.5</v>
      </c>
      <c r="Q12">
        <v>15.6</v>
      </c>
      <c r="R12">
        <v>16.399999999999999</v>
      </c>
      <c r="S12">
        <v>15.3</v>
      </c>
      <c r="T12">
        <v>11.9</v>
      </c>
      <c r="U12">
        <v>14.2</v>
      </c>
      <c r="V12">
        <v>11.2</v>
      </c>
      <c r="W12">
        <v>16.100000000000001</v>
      </c>
      <c r="X12">
        <v>10.199999999999999</v>
      </c>
      <c r="Y12">
        <v>11.4</v>
      </c>
      <c r="Z12">
        <v>12.4</v>
      </c>
      <c r="AA12">
        <v>18.8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15.8</v>
      </c>
      <c r="H13">
        <v>22.8</v>
      </c>
      <c r="I13">
        <v>11.1</v>
      </c>
      <c r="J13">
        <v>10.3</v>
      </c>
      <c r="K13">
        <v>6.9</v>
      </c>
      <c r="L13">
        <v>7.7</v>
      </c>
      <c r="M13">
        <v>9.6</v>
      </c>
      <c r="N13">
        <v>10.9</v>
      </c>
      <c r="O13">
        <v>17.100000000000001</v>
      </c>
      <c r="P13">
        <v>12.3</v>
      </c>
      <c r="Q13">
        <v>10.9</v>
      </c>
      <c r="R13">
        <v>12.1</v>
      </c>
      <c r="S13">
        <v>10.7</v>
      </c>
      <c r="T13">
        <v>9.1999999999999993</v>
      </c>
      <c r="U13">
        <v>9.8000000000000007</v>
      </c>
      <c r="V13">
        <v>7</v>
      </c>
      <c r="W13">
        <v>11.6</v>
      </c>
      <c r="X13">
        <v>12.8</v>
      </c>
      <c r="Y13">
        <v>13.1</v>
      </c>
      <c r="Z13">
        <v>13.2</v>
      </c>
      <c r="AA13">
        <v>22.4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32.799999999999997</v>
      </c>
      <c r="H14">
        <v>24.5</v>
      </c>
      <c r="I14">
        <v>15.3</v>
      </c>
      <c r="J14">
        <v>9.3000000000000007</v>
      </c>
      <c r="K14">
        <v>7.5</v>
      </c>
      <c r="L14">
        <v>8.3000000000000007</v>
      </c>
      <c r="M14">
        <v>12.1</v>
      </c>
      <c r="N14">
        <v>10.199999999999999</v>
      </c>
      <c r="O14">
        <v>12.5</v>
      </c>
      <c r="P14">
        <v>8.1</v>
      </c>
      <c r="Q14">
        <v>9.1999999999999993</v>
      </c>
      <c r="R14">
        <v>12.1</v>
      </c>
      <c r="S14">
        <v>10</v>
      </c>
      <c r="T14">
        <v>9.5</v>
      </c>
      <c r="U14">
        <v>8.8000000000000007</v>
      </c>
      <c r="V14">
        <v>6.4</v>
      </c>
      <c r="W14">
        <v>6.2</v>
      </c>
      <c r="X14">
        <v>12.4</v>
      </c>
      <c r="Y14">
        <v>15.4</v>
      </c>
      <c r="Z14">
        <v>13.9</v>
      </c>
      <c r="AA14">
        <v>13.1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13</v>
      </c>
      <c r="H15">
        <v>11.4</v>
      </c>
      <c r="I15">
        <v>14.7</v>
      </c>
      <c r="J15">
        <v>9.5</v>
      </c>
      <c r="K15">
        <v>6</v>
      </c>
      <c r="L15">
        <v>7.9</v>
      </c>
      <c r="M15">
        <v>9.5</v>
      </c>
      <c r="N15">
        <v>11.7</v>
      </c>
      <c r="O15">
        <v>10.3</v>
      </c>
      <c r="P15">
        <v>12.5</v>
      </c>
      <c r="Q15">
        <v>9.5</v>
      </c>
      <c r="R15">
        <v>10.3</v>
      </c>
      <c r="S15">
        <v>11.6</v>
      </c>
      <c r="T15">
        <v>10</v>
      </c>
      <c r="U15">
        <v>6.5</v>
      </c>
      <c r="V15">
        <v>6.1</v>
      </c>
      <c r="W15">
        <v>12.7</v>
      </c>
      <c r="X15">
        <v>8.3000000000000007</v>
      </c>
      <c r="Y15">
        <v>19.2</v>
      </c>
      <c r="Z15">
        <v>12.8</v>
      </c>
      <c r="AA15">
        <v>15.2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20.100000000000001</v>
      </c>
      <c r="H16">
        <v>15.6</v>
      </c>
      <c r="I16">
        <v>11.7</v>
      </c>
      <c r="J16">
        <v>11.9</v>
      </c>
      <c r="K16">
        <v>9.6</v>
      </c>
      <c r="L16">
        <v>9</v>
      </c>
      <c r="M16">
        <v>12.2</v>
      </c>
      <c r="N16">
        <v>8.4</v>
      </c>
      <c r="O16">
        <v>10.8</v>
      </c>
      <c r="P16">
        <v>10.8</v>
      </c>
      <c r="Q16">
        <v>12.2</v>
      </c>
      <c r="R16">
        <v>12.8</v>
      </c>
      <c r="S16">
        <v>10</v>
      </c>
      <c r="T16">
        <v>11.4</v>
      </c>
      <c r="U16">
        <v>9.6</v>
      </c>
      <c r="V16">
        <v>11.1</v>
      </c>
      <c r="W16">
        <v>7.5</v>
      </c>
      <c r="X16">
        <v>8.5</v>
      </c>
      <c r="Y16">
        <v>13.5</v>
      </c>
      <c r="Z16">
        <v>14.8</v>
      </c>
      <c r="AA16">
        <v>14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21.7</v>
      </c>
      <c r="H17">
        <v>18.100000000000001</v>
      </c>
      <c r="I17">
        <v>14.1</v>
      </c>
      <c r="J17">
        <v>10</v>
      </c>
      <c r="K17">
        <v>7</v>
      </c>
      <c r="L17">
        <v>7.3</v>
      </c>
      <c r="M17">
        <v>10.9</v>
      </c>
      <c r="N17">
        <v>8.5</v>
      </c>
      <c r="O17">
        <v>12.3</v>
      </c>
      <c r="P17">
        <v>14</v>
      </c>
      <c r="Q17">
        <v>9.4</v>
      </c>
      <c r="R17">
        <v>10.1</v>
      </c>
      <c r="S17">
        <v>11</v>
      </c>
      <c r="T17">
        <v>10</v>
      </c>
      <c r="U17">
        <v>6.4</v>
      </c>
      <c r="V17">
        <v>10.199999999999999</v>
      </c>
      <c r="W17">
        <v>8.1</v>
      </c>
      <c r="X17">
        <v>9.1</v>
      </c>
      <c r="Y17">
        <v>7.8</v>
      </c>
      <c r="Z17">
        <v>14</v>
      </c>
      <c r="AA17">
        <v>12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25.4</v>
      </c>
      <c r="H18">
        <v>18.5</v>
      </c>
      <c r="I18">
        <v>10.6</v>
      </c>
      <c r="J18">
        <v>12.8</v>
      </c>
      <c r="K18">
        <v>9.8000000000000007</v>
      </c>
      <c r="L18">
        <v>18</v>
      </c>
      <c r="M18">
        <v>10.8</v>
      </c>
      <c r="N18">
        <v>12.8</v>
      </c>
      <c r="O18">
        <v>8.8000000000000007</v>
      </c>
      <c r="P18">
        <v>9.8000000000000007</v>
      </c>
      <c r="Q18">
        <v>8.6999999999999993</v>
      </c>
      <c r="R18">
        <v>9</v>
      </c>
      <c r="S18">
        <v>9.6999999999999993</v>
      </c>
      <c r="T18">
        <v>7.6</v>
      </c>
      <c r="U18">
        <v>7.1</v>
      </c>
      <c r="V18">
        <v>7.8</v>
      </c>
      <c r="W18">
        <v>3.6</v>
      </c>
      <c r="X18">
        <v>7.3</v>
      </c>
      <c r="Y18">
        <v>10.4</v>
      </c>
      <c r="Z18">
        <v>8.8000000000000007</v>
      </c>
      <c r="AA18">
        <v>17.3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18.2</v>
      </c>
      <c r="H19">
        <v>21</v>
      </c>
      <c r="I19">
        <v>20.9</v>
      </c>
      <c r="J19">
        <v>16.100000000000001</v>
      </c>
      <c r="K19">
        <v>16</v>
      </c>
      <c r="L19">
        <v>17.100000000000001</v>
      </c>
      <c r="M19">
        <v>14.7</v>
      </c>
      <c r="N19">
        <v>14.1</v>
      </c>
      <c r="O19">
        <v>15.7</v>
      </c>
      <c r="P19">
        <v>13.8</v>
      </c>
      <c r="Q19">
        <v>13.9</v>
      </c>
      <c r="R19">
        <v>16.399999999999999</v>
      </c>
      <c r="S19">
        <v>18.5</v>
      </c>
      <c r="T19">
        <v>17</v>
      </c>
      <c r="U19">
        <v>12.4</v>
      </c>
      <c r="V19">
        <v>12.4</v>
      </c>
      <c r="W19">
        <v>9.1</v>
      </c>
      <c r="X19">
        <v>7.7</v>
      </c>
      <c r="Y19">
        <v>18.100000000000001</v>
      </c>
      <c r="Z19">
        <v>17.600000000000001</v>
      </c>
      <c r="AA19">
        <v>18.2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27.6</v>
      </c>
      <c r="H20">
        <v>20.2</v>
      </c>
      <c r="I20">
        <v>12.2</v>
      </c>
      <c r="J20">
        <v>7.6</v>
      </c>
      <c r="K20">
        <v>5.9</v>
      </c>
      <c r="L20">
        <v>9.1</v>
      </c>
      <c r="M20">
        <v>13.2</v>
      </c>
      <c r="N20">
        <v>8.6999999999999993</v>
      </c>
      <c r="O20">
        <v>13.5</v>
      </c>
      <c r="P20">
        <v>10.8</v>
      </c>
      <c r="Q20">
        <v>11.4</v>
      </c>
      <c r="R20">
        <v>9.1</v>
      </c>
      <c r="S20">
        <v>8.5</v>
      </c>
      <c r="T20">
        <v>7.3</v>
      </c>
      <c r="U20">
        <v>9.5</v>
      </c>
      <c r="V20">
        <v>9</v>
      </c>
      <c r="W20">
        <v>8</v>
      </c>
      <c r="X20">
        <v>12.7</v>
      </c>
      <c r="Y20">
        <v>12.5</v>
      </c>
      <c r="Z20">
        <v>15.2</v>
      </c>
      <c r="AA20">
        <v>19.7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27</v>
      </c>
      <c r="H21">
        <v>20.9</v>
      </c>
      <c r="I21">
        <v>17.3</v>
      </c>
      <c r="J21">
        <v>7.5</v>
      </c>
      <c r="K21">
        <v>8.1</v>
      </c>
      <c r="L21">
        <v>8.8000000000000007</v>
      </c>
      <c r="M21">
        <v>10.1</v>
      </c>
      <c r="N21">
        <v>9.1</v>
      </c>
      <c r="O21">
        <v>10.6</v>
      </c>
      <c r="P21">
        <v>14.1</v>
      </c>
      <c r="Q21">
        <v>9.3000000000000007</v>
      </c>
      <c r="R21">
        <v>12.2</v>
      </c>
      <c r="S21">
        <v>12.4</v>
      </c>
      <c r="T21">
        <v>8.4</v>
      </c>
      <c r="U21">
        <v>7.9</v>
      </c>
      <c r="V21">
        <v>10.8</v>
      </c>
      <c r="W21">
        <v>9.9</v>
      </c>
      <c r="X21">
        <v>14.5</v>
      </c>
      <c r="Y21">
        <v>15.9</v>
      </c>
      <c r="Z21">
        <v>10.9</v>
      </c>
      <c r="AA21">
        <v>12.5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23.1</v>
      </c>
      <c r="H22">
        <v>25.5</v>
      </c>
      <c r="I22">
        <v>13.3</v>
      </c>
      <c r="J22">
        <v>9</v>
      </c>
      <c r="K22">
        <v>8.6999999999999993</v>
      </c>
      <c r="L22">
        <v>10</v>
      </c>
      <c r="M22">
        <v>9.8000000000000007</v>
      </c>
      <c r="N22">
        <v>10.199999999999999</v>
      </c>
      <c r="O22">
        <v>11.4</v>
      </c>
      <c r="P22">
        <v>13.9</v>
      </c>
      <c r="Q22">
        <v>9.6999999999999993</v>
      </c>
      <c r="R22">
        <v>9</v>
      </c>
      <c r="S22">
        <v>9.4</v>
      </c>
      <c r="T22">
        <v>7.9</v>
      </c>
      <c r="U22">
        <v>10.7</v>
      </c>
      <c r="V22">
        <v>7.7</v>
      </c>
      <c r="W22">
        <v>8.8000000000000007</v>
      </c>
      <c r="X22">
        <v>13.6</v>
      </c>
      <c r="Y22">
        <v>10.6</v>
      </c>
      <c r="Z22">
        <v>10.5</v>
      </c>
      <c r="AA22">
        <v>14.4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24</v>
      </c>
      <c r="H23">
        <v>25.7</v>
      </c>
      <c r="I23">
        <v>8.6</v>
      </c>
      <c r="J23">
        <v>12</v>
      </c>
      <c r="K23">
        <v>7.9</v>
      </c>
      <c r="L23">
        <v>11</v>
      </c>
      <c r="M23">
        <v>10.4</v>
      </c>
      <c r="N23">
        <v>12.6</v>
      </c>
      <c r="O23">
        <v>12.1</v>
      </c>
      <c r="P23">
        <v>13</v>
      </c>
      <c r="Q23">
        <v>8.8000000000000007</v>
      </c>
      <c r="R23">
        <v>9.6</v>
      </c>
      <c r="S23">
        <v>10.199999999999999</v>
      </c>
      <c r="T23">
        <v>8.9</v>
      </c>
      <c r="U23">
        <v>12.8</v>
      </c>
      <c r="V23">
        <v>8.1999999999999993</v>
      </c>
      <c r="W23">
        <v>8.6</v>
      </c>
      <c r="X23">
        <v>9.9</v>
      </c>
      <c r="Y23">
        <v>9.3000000000000007</v>
      </c>
      <c r="Z23">
        <v>13.3</v>
      </c>
      <c r="AA23">
        <v>16.899999999999999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21.6</v>
      </c>
      <c r="H24">
        <v>18.7</v>
      </c>
      <c r="I24">
        <v>11.9</v>
      </c>
      <c r="J24">
        <v>11</v>
      </c>
      <c r="K24">
        <v>9.1</v>
      </c>
      <c r="L24">
        <v>10.9</v>
      </c>
      <c r="M24">
        <v>11.2</v>
      </c>
      <c r="N24">
        <v>10.7</v>
      </c>
      <c r="O24">
        <v>13.4</v>
      </c>
      <c r="P24">
        <v>9.4</v>
      </c>
      <c r="Q24">
        <v>8.6999999999999993</v>
      </c>
      <c r="R24">
        <v>11</v>
      </c>
      <c r="S24">
        <v>12</v>
      </c>
      <c r="T24">
        <v>10.3</v>
      </c>
      <c r="U24">
        <v>8.8000000000000007</v>
      </c>
      <c r="V24">
        <v>3.7</v>
      </c>
      <c r="W24">
        <v>6</v>
      </c>
      <c r="X24">
        <v>11.8</v>
      </c>
      <c r="Y24">
        <v>15.8</v>
      </c>
      <c r="Z24">
        <v>15</v>
      </c>
      <c r="AA24">
        <v>12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26.3</v>
      </c>
      <c r="H25">
        <v>35.200000000000003</v>
      </c>
      <c r="I25">
        <v>13</v>
      </c>
      <c r="J25">
        <v>12.4</v>
      </c>
      <c r="K25">
        <v>10.6</v>
      </c>
      <c r="L25">
        <v>12.6</v>
      </c>
      <c r="M25">
        <v>11.6</v>
      </c>
      <c r="N25">
        <v>10.8</v>
      </c>
      <c r="O25">
        <v>7.7</v>
      </c>
      <c r="P25">
        <v>9.9</v>
      </c>
      <c r="Q25">
        <v>8.4</v>
      </c>
      <c r="R25">
        <v>7.9</v>
      </c>
      <c r="T25">
        <v>7</v>
      </c>
      <c r="U25">
        <v>12.1</v>
      </c>
      <c r="V25">
        <v>9.1</v>
      </c>
      <c r="X25">
        <v>6.8</v>
      </c>
      <c r="Z25">
        <v>8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35.299999999999997</v>
      </c>
      <c r="E26">
        <v>20.5</v>
      </c>
      <c r="H26">
        <v>24</v>
      </c>
      <c r="I26">
        <v>20</v>
      </c>
      <c r="J26">
        <v>15.7</v>
      </c>
      <c r="K26">
        <v>14.5</v>
      </c>
      <c r="L26">
        <v>14.8</v>
      </c>
      <c r="M26">
        <v>15.9</v>
      </c>
      <c r="N26">
        <v>14.7</v>
      </c>
      <c r="O26">
        <v>14.7</v>
      </c>
      <c r="P26">
        <v>12.7</v>
      </c>
      <c r="Q26">
        <v>15.1</v>
      </c>
      <c r="R26">
        <v>14.4</v>
      </c>
      <c r="S26">
        <v>18.3</v>
      </c>
      <c r="T26">
        <v>13.8</v>
      </c>
      <c r="U26">
        <v>11</v>
      </c>
      <c r="V26">
        <v>14.7</v>
      </c>
      <c r="W26">
        <v>15.2</v>
      </c>
      <c r="X26">
        <v>16.8</v>
      </c>
      <c r="Y26">
        <v>13.7</v>
      </c>
      <c r="Z26">
        <v>19.899999999999999</v>
      </c>
      <c r="AA26">
        <v>15.9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18.600000000000001</v>
      </c>
      <c r="H27">
        <v>7.8</v>
      </c>
      <c r="I27">
        <v>16.100000000000001</v>
      </c>
      <c r="J27">
        <v>11.1</v>
      </c>
      <c r="K27">
        <v>9.5</v>
      </c>
      <c r="L27">
        <v>9.1999999999999993</v>
      </c>
      <c r="M27">
        <v>9.6</v>
      </c>
      <c r="N27">
        <v>8.1</v>
      </c>
      <c r="O27">
        <v>11.3</v>
      </c>
      <c r="P27">
        <v>10.8</v>
      </c>
      <c r="Q27">
        <v>13.8</v>
      </c>
      <c r="R27">
        <v>10.199999999999999</v>
      </c>
      <c r="S27">
        <v>11.6</v>
      </c>
      <c r="T27">
        <v>8.1999999999999993</v>
      </c>
      <c r="U27">
        <v>6.7</v>
      </c>
      <c r="V27">
        <v>7.3</v>
      </c>
      <c r="W27">
        <v>8.5</v>
      </c>
      <c r="X27">
        <v>17.7</v>
      </c>
      <c r="Y27">
        <v>9.6999999999999993</v>
      </c>
      <c r="Z27">
        <v>12.1</v>
      </c>
      <c r="AA27">
        <v>11.4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18.100000000000001</v>
      </c>
      <c r="H28">
        <v>31.3</v>
      </c>
      <c r="I28">
        <v>13.1</v>
      </c>
      <c r="J28">
        <v>8.1999999999999993</v>
      </c>
      <c r="K28">
        <v>7.7</v>
      </c>
      <c r="L28">
        <v>8.8000000000000007</v>
      </c>
      <c r="M28">
        <v>13.6</v>
      </c>
      <c r="N28">
        <v>10.7</v>
      </c>
      <c r="O28">
        <v>15.3</v>
      </c>
      <c r="P28">
        <v>10.5</v>
      </c>
      <c r="Q28">
        <v>14.8</v>
      </c>
      <c r="R28">
        <v>8.9</v>
      </c>
      <c r="S28">
        <v>10.6</v>
      </c>
      <c r="T28">
        <v>9.6999999999999993</v>
      </c>
      <c r="U28">
        <v>8.8000000000000007</v>
      </c>
      <c r="V28">
        <v>7.8</v>
      </c>
      <c r="W28">
        <v>10.7</v>
      </c>
      <c r="X28">
        <v>9.5</v>
      </c>
      <c r="Y28">
        <v>13.6</v>
      </c>
      <c r="Z28">
        <v>13.8</v>
      </c>
      <c r="AA28">
        <v>15.2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21.1</v>
      </c>
      <c r="H29">
        <v>9</v>
      </c>
      <c r="I29">
        <v>14.8</v>
      </c>
      <c r="J29">
        <v>8.3000000000000007</v>
      </c>
      <c r="K29">
        <v>8</v>
      </c>
      <c r="L29">
        <v>8.6</v>
      </c>
      <c r="M29">
        <v>11.1</v>
      </c>
      <c r="N29">
        <v>8.6999999999999993</v>
      </c>
      <c r="O29">
        <v>11.4</v>
      </c>
      <c r="P29">
        <v>10.5</v>
      </c>
      <c r="Q29">
        <v>8</v>
      </c>
      <c r="R29">
        <v>11.9</v>
      </c>
      <c r="S29">
        <v>11.6</v>
      </c>
      <c r="T29">
        <v>9.5</v>
      </c>
      <c r="U29">
        <v>7.2</v>
      </c>
      <c r="V29">
        <v>12.1</v>
      </c>
      <c r="W29">
        <v>8</v>
      </c>
      <c r="X29">
        <v>10.6</v>
      </c>
      <c r="Y29">
        <v>15</v>
      </c>
      <c r="Z29">
        <v>16.899999999999999</v>
      </c>
      <c r="AA29">
        <v>15.2</v>
      </c>
    </row>
    <row r="31" spans="1:27" x14ac:dyDescent="0.25">
      <c r="C31">
        <v>1</v>
      </c>
      <c r="D31">
        <f t="array" ref="D31">MEDIAN(IF($C$3:$C$29=$C31,D$3:D$29,""))</f>
        <v>19.95</v>
      </c>
      <c r="E31">
        <f t="array" ref="E31">MEDIAN(IF($C$3:$C$29=$C31,E$3:E$29,""))</f>
        <v>18.25</v>
      </c>
      <c r="F31">
        <f t="array" ref="F31">MEDIAN(IF($C$3:$C$29=$C31,F$3:F$29,""))</f>
        <v>0</v>
      </c>
      <c r="G31">
        <v>26</v>
      </c>
      <c r="H31">
        <f t="array" ref="H31">MEDIAN(IF($C$3:$C$29=$C31,H$3:H$29,""))</f>
        <v>22.5</v>
      </c>
      <c r="I31">
        <f t="array" ref="I31">MEDIAN(IF($C$3:$C$29=$C31,I$3:I$29,""))</f>
        <v>20.45</v>
      </c>
      <c r="J31">
        <f t="array" ref="J31">MEDIAN(IF($C$3:$C$29=$C31,J$3:J$29,""))</f>
        <v>15.9</v>
      </c>
      <c r="K31">
        <f t="array" ref="K31">MEDIAN(IF($C$3:$C$29=$C31,K$3:K$29,""))</f>
        <v>16.3</v>
      </c>
      <c r="L31">
        <f t="array" ref="L31">MEDIAN(IF($C$3:$C$29=$C31,L$3:L$29,""))</f>
        <v>15.75</v>
      </c>
      <c r="M31">
        <f t="array" ref="M31">MEDIAN(IF($C$3:$C$29=$C31,M$3:M$29,""))</f>
        <v>15.95</v>
      </c>
      <c r="N31">
        <f t="array" ref="N31">MEDIAN(IF($C$3:$C$29=$C31,N$3:N$29,""))</f>
        <v>14.8</v>
      </c>
      <c r="O31">
        <f t="array" ref="O31">MEDIAN(IF($C$3:$C$29=$C31,O$3:O$29,""))</f>
        <v>15</v>
      </c>
      <c r="P31">
        <f t="array" ref="P31">MEDIAN(IF($C$3:$C$29=$C31,P$3:P$29,""))</f>
        <v>13.75</v>
      </c>
      <c r="Q31">
        <f t="array" ref="Q31">MEDIAN(IF($C$3:$C$29=$C31,Q$3:Q$29,""))</f>
        <v>15.35</v>
      </c>
      <c r="R31">
        <f t="array" ref="R31">MEDIAN(IF($C$3:$C$29=$C31,R$3:R$29,""))</f>
        <v>15.399999999999999</v>
      </c>
      <c r="S31">
        <f t="array" ref="S31">MEDIAN(IF($C$3:$C$29=$C31,S$3:S$29,""))</f>
        <v>16.8</v>
      </c>
      <c r="T31">
        <f t="array" ref="T31">MEDIAN(IF($C$3:$C$29=$C31,T$3:T$29,""))</f>
        <v>15.05</v>
      </c>
      <c r="U31">
        <f t="array" ref="U31">MEDIAN(IF($C$3:$C$29=$C31,U$3:U$29,""))</f>
        <v>12.100000000000001</v>
      </c>
      <c r="V31">
        <f t="array" ref="V31">MEDIAN(IF($C$3:$C$29=$C31,V$3:V$29,""))</f>
        <v>13.55</v>
      </c>
      <c r="W31">
        <f t="array" ref="W31">MEDIAN(IF($C$3:$C$29=$C31,W$3:W$29,""))</f>
        <v>13.95</v>
      </c>
      <c r="X31">
        <f t="array" ref="X31">MEDIAN(IF($C$3:$C$29=$C31,X$3:X$29,""))</f>
        <v>10.399999999999999</v>
      </c>
      <c r="Y31">
        <f t="array" ref="Y31">MEDIAN(IF($C$3:$C$29=$C31,Y$3:Y$29,""))</f>
        <v>13.55</v>
      </c>
      <c r="Z31">
        <f t="array" ref="Z31">MEDIAN(IF($C$3:$C$29=$C31,Z$3:Z$29,""))</f>
        <v>16</v>
      </c>
      <c r="AA31">
        <f t="array" ref="AA31">MEDIAN(IF($C$3:$C$29=$C31,AA$3:AA$29,""))</f>
        <v>18.2</v>
      </c>
    </row>
    <row r="32" spans="1:27" x14ac:dyDescent="0.25">
      <c r="C32">
        <v>2</v>
      </c>
      <c r="D32">
        <f t="array" ref="D32">MEDIAN(IF($C$3:$C$29=$C32,D$3:D$29,""))</f>
        <v>22.65</v>
      </c>
      <c r="E32">
        <f t="array" ref="E32">MEDIAN(IF($C$3:$C$29=$C32,E$3:E$29,""))</f>
        <v>0</v>
      </c>
      <c r="F32">
        <f t="array" ref="F32">MEDIAN(IF($C$3:$C$29=$C32,F$3:F$29,""))</f>
        <v>0</v>
      </c>
      <c r="G32">
        <v>26</v>
      </c>
      <c r="H32">
        <f t="array" ref="H32">MEDIAN(IF($C$3:$C$29=$C32,H$3:H$29,""))</f>
        <v>16.75</v>
      </c>
      <c r="I32">
        <f t="array" ref="I32">MEDIAN(IF($C$3:$C$29=$C32,I$3:I$29,""))</f>
        <v>13.4</v>
      </c>
      <c r="J32">
        <f t="array" ref="J32">MEDIAN(IF($C$3:$C$29=$C32,J$3:J$29,""))</f>
        <v>13.65</v>
      </c>
      <c r="K32">
        <f t="array" ref="K32">MEDIAN(IF($C$3:$C$29=$C32,K$3:K$29,""))</f>
        <v>10.199999999999999</v>
      </c>
      <c r="L32">
        <f t="array" ref="L32">MEDIAN(IF($C$3:$C$29=$C32,L$3:L$29,""))</f>
        <v>12.55</v>
      </c>
      <c r="M32">
        <f t="array" ref="M32">MEDIAN(IF($C$3:$C$29=$C32,M$3:M$29,""))</f>
        <v>10.350000000000001</v>
      </c>
      <c r="N32">
        <f t="array" ref="N32">MEDIAN(IF($C$3:$C$29=$C32,N$3:N$29,""))</f>
        <v>12.45</v>
      </c>
      <c r="O32">
        <f t="array" ref="O32">MEDIAN(IF($C$3:$C$29=$C32,O$3:O$29,""))</f>
        <v>8.25</v>
      </c>
      <c r="P32">
        <f t="array" ref="P32">MEDIAN(IF($C$3:$C$29=$C32,P$3:P$29,""))</f>
        <v>9.8500000000000014</v>
      </c>
      <c r="Q32">
        <f t="array" ref="Q32">MEDIAN(IF($C$3:$C$29=$C32,Q$3:Q$29,""))</f>
        <v>8.5500000000000007</v>
      </c>
      <c r="R32">
        <f t="array" ref="R32">MEDIAN(IF($C$3:$C$29=$C32,R$3:R$29,""))</f>
        <v>9</v>
      </c>
      <c r="S32">
        <f t="array" ref="S32">MEDIAN(IF($C$3:$C$29=$C32,S$3:S$29,""))</f>
        <v>9.1</v>
      </c>
      <c r="T32">
        <f t="array" ref="T32">MEDIAN(IF($C$3:$C$29=$C32,T$3:T$29,""))</f>
        <v>8.5500000000000007</v>
      </c>
      <c r="U32">
        <f t="array" ref="U32">MEDIAN(IF($C$3:$C$29=$C32,U$3:U$29,""))</f>
        <v>8.4499999999999993</v>
      </c>
      <c r="V32">
        <f t="array" ref="V32">MEDIAN(IF($C$3:$C$29=$C32,V$3:V$29,""))</f>
        <v>9.6499999999999986</v>
      </c>
      <c r="W32">
        <f t="array" ref="W32">MEDIAN(IF($C$3:$C$29=$C32,W$3:W$29,""))</f>
        <v>5.6</v>
      </c>
      <c r="X32">
        <f t="array" ref="X32">MEDIAN(IF($C$3:$C$29=$C32,X$3:X$29,""))</f>
        <v>8.4</v>
      </c>
      <c r="Y32">
        <f t="array" ref="Y32">MEDIAN(IF($C$3:$C$29=$C32,Y$3:Y$29,""))</f>
        <v>9.15</v>
      </c>
      <c r="Z32">
        <f t="array" ref="Z32">MEDIAN(IF($C$3:$C$29=$C32,Z$3:Z$29,""))</f>
        <v>8.6000000000000014</v>
      </c>
      <c r="AA32">
        <f t="array" ref="AA32">MEDIAN(IF($C$3:$C$29=$C32,AA$3:AA$29,""))</f>
        <v>11.55</v>
      </c>
    </row>
    <row r="33" spans="3:27" x14ac:dyDescent="0.25">
      <c r="C33">
        <v>3</v>
      </c>
      <c r="D33">
        <f t="array" ref="D33">MEDIAN(IF($C$3:$C$29=$C33,D$3:D$29,""))</f>
        <v>17.200000000000003</v>
      </c>
      <c r="E33">
        <f t="array" ref="E33">MEDIAN(IF($C$3:$C$29=$C33,E$3:E$29,""))</f>
        <v>0</v>
      </c>
      <c r="F33">
        <f t="array" ref="F33">MEDIAN(IF($C$3:$C$29=$C33,F$3:F$29,""))</f>
        <v>0</v>
      </c>
      <c r="G33">
        <v>26</v>
      </c>
      <c r="H33">
        <f t="array" ref="H33">MEDIAN(IF($C$3:$C$29=$C33,H$3:H$29,""))</f>
        <v>17.45</v>
      </c>
      <c r="I33">
        <f t="array" ref="I33">MEDIAN(IF($C$3:$C$29=$C33,I$3:I$29,""))</f>
        <v>12.7</v>
      </c>
      <c r="J33">
        <f t="array" ref="J33">MEDIAN(IF($C$3:$C$29=$C33,J$3:J$29,""))</f>
        <v>9.3000000000000007</v>
      </c>
      <c r="K33">
        <f t="array" ref="K33">MEDIAN(IF($C$3:$C$29=$C33,K$3:K$29,""))</f>
        <v>8.1999999999999993</v>
      </c>
      <c r="L33">
        <f t="array" ref="L33">MEDIAN(IF($C$3:$C$29=$C33,L$3:L$29,""))</f>
        <v>9.1499999999999986</v>
      </c>
      <c r="M33">
        <f t="array" ref="M33">MEDIAN(IF($C$3:$C$29=$C33,M$3:M$29,""))</f>
        <v>10.6</v>
      </c>
      <c r="N33">
        <f t="array" ref="N33">MEDIAN(IF($C$3:$C$29=$C33,N$3:N$29,""))</f>
        <v>9.8000000000000007</v>
      </c>
      <c r="O33">
        <f t="array" ref="O33">MEDIAN(IF($C$3:$C$29=$C33,O$3:O$29,""))</f>
        <v>12.5</v>
      </c>
      <c r="P33">
        <f t="array" ref="P33">MEDIAN(IF($C$3:$C$29=$C33,P$3:P$29,""))</f>
        <v>11.55</v>
      </c>
      <c r="Q33">
        <f t="array" ref="Q33">MEDIAN(IF($C$3:$C$29=$C33,Q$3:Q$29,""))</f>
        <v>11.15</v>
      </c>
      <c r="R33">
        <f t="array" ref="R33">MEDIAN(IF($C$3:$C$29=$C33,R$3:R$29,""))</f>
        <v>10.85</v>
      </c>
      <c r="S33">
        <f t="array" ref="S33">MEDIAN(IF($C$3:$C$29=$C33,S$3:S$29,""))</f>
        <v>11.149999999999999</v>
      </c>
      <c r="T33">
        <f t="array" ref="T33">MEDIAN(IF($C$3:$C$29=$C33,T$3:T$29,""))</f>
        <v>8.1499999999999986</v>
      </c>
      <c r="U33">
        <f t="array" ref="U33">MEDIAN(IF($C$3:$C$29=$C33,U$3:U$29,""))</f>
        <v>9.0500000000000007</v>
      </c>
      <c r="V33">
        <f t="array" ref="V33">MEDIAN(IF($C$3:$C$29=$C33,V$3:V$29,""))</f>
        <v>7.4</v>
      </c>
      <c r="W33">
        <f t="array" ref="W33">MEDIAN(IF($C$3:$C$29=$C33,W$3:W$29,""))</f>
        <v>8.25</v>
      </c>
      <c r="X33">
        <f t="array" ref="X33">MEDIAN(IF($C$3:$C$29=$C33,X$3:X$29,""))</f>
        <v>12.75</v>
      </c>
      <c r="Y33">
        <f t="array" ref="Y33">MEDIAN(IF($C$3:$C$29=$C33,Y$3:Y$29,""))</f>
        <v>12.8</v>
      </c>
      <c r="Z33">
        <f t="array" ref="Z33">MEDIAN(IF($C$3:$C$29=$C33,Z$3:Z$29,""))</f>
        <v>13.95</v>
      </c>
      <c r="AA33">
        <f t="array" ref="AA33">MEDIAN(IF($C$3:$C$29=$C33,AA$3:AA$29,""))</f>
        <v>20.049999999999997</v>
      </c>
    </row>
    <row r="34" spans="3:27" x14ac:dyDescent="0.25">
      <c r="C34">
        <v>4</v>
      </c>
      <c r="D34">
        <f t="array" ref="D34">MEDIAN(IF($C$3:$C$29=$C34,D$3:D$29,""))</f>
        <v>22.55</v>
      </c>
      <c r="E34">
        <f t="array" ref="E34">MEDIAN(IF($C$3:$C$29=$C34,E$3:E$29,""))</f>
        <v>0</v>
      </c>
      <c r="F34">
        <f t="array" ref="F34">MEDIAN(IF($C$3:$C$29=$C34,F$3:F$29,""))</f>
        <v>0</v>
      </c>
      <c r="G34">
        <v>26</v>
      </c>
      <c r="H34">
        <f t="array" ref="H34">MEDIAN(IF($C$3:$C$29=$C34,H$3:H$29,""))</f>
        <v>23.6</v>
      </c>
      <c r="I34">
        <f t="array" ref="I34">MEDIAN(IF($C$3:$C$29=$C34,I$3:I$29,""))</f>
        <v>14.2</v>
      </c>
      <c r="J34">
        <f t="array" ref="J34">MEDIAN(IF($C$3:$C$29=$C34,J$3:J$29,""))</f>
        <v>8.3000000000000007</v>
      </c>
      <c r="K34">
        <f t="array" ref="K34">MEDIAN(IF($C$3:$C$29=$C34,K$3:K$29,""))</f>
        <v>7.6</v>
      </c>
      <c r="L34">
        <f t="array" ref="L34">MEDIAN(IF($C$3:$C$29=$C34,L$3:L$29,""))</f>
        <v>8.8000000000000007</v>
      </c>
      <c r="M34">
        <f t="array" ref="M34">MEDIAN(IF($C$3:$C$29=$C34,M$3:M$29,""))</f>
        <v>11.1</v>
      </c>
      <c r="N34">
        <f t="array" ref="N34">MEDIAN(IF($C$3:$C$29=$C34,N$3:N$29,""))</f>
        <v>10.45</v>
      </c>
      <c r="O34">
        <f t="array" ref="O34">MEDIAN(IF($C$3:$C$29=$C34,O$3:O$29,""))</f>
        <v>11.55</v>
      </c>
      <c r="P34">
        <f t="array" ref="P34">MEDIAN(IF($C$3:$C$29=$C34,P$3:P$29,""))</f>
        <v>10.1</v>
      </c>
      <c r="Q34">
        <f t="array" ref="Q34">MEDIAN(IF($C$3:$C$29=$C34,Q$3:Q$29,""))</f>
        <v>9.25</v>
      </c>
      <c r="R34">
        <f t="array" ref="R34">MEDIAN(IF($C$3:$C$29=$C34,R$3:R$29,""))</f>
        <v>12.149999999999999</v>
      </c>
      <c r="S34">
        <f t="array" ref="S34">MEDIAN(IF($C$3:$C$29=$C34,S$3:S$29,""))</f>
        <v>10.899999999999999</v>
      </c>
      <c r="T34">
        <f t="array" ref="T34">MEDIAN(IF($C$3:$C$29=$C34,T$3:T$29,""))</f>
        <v>9.3000000000000007</v>
      </c>
      <c r="U34">
        <f t="array" ref="U34">MEDIAN(IF($C$3:$C$29=$C34,U$3:U$29,""))</f>
        <v>8.8000000000000007</v>
      </c>
      <c r="V34">
        <f t="array" ref="V34">MEDIAN(IF($C$3:$C$29=$C34,V$3:V$29,""))</f>
        <v>8.65</v>
      </c>
      <c r="W34">
        <f t="array" ref="W34">MEDIAN(IF($C$3:$C$29=$C34,W$3:W$29,""))</f>
        <v>9.8000000000000007</v>
      </c>
      <c r="X34">
        <f t="array" ref="X34">MEDIAN(IF($C$3:$C$29=$C34,X$3:X$29,""))</f>
        <v>10.95</v>
      </c>
      <c r="Y34">
        <f t="array" ref="Y34">MEDIAN(IF($C$3:$C$29=$C34,Y$3:Y$29,""))</f>
        <v>14.5</v>
      </c>
      <c r="Z34">
        <f t="array" ref="Z34">MEDIAN(IF($C$3:$C$29=$C34,Z$3:Z$29,""))</f>
        <v>13.2</v>
      </c>
      <c r="AA34">
        <f t="array" ref="AA34">MEDIAN(IF($C$3:$C$29=$C34,AA$3:AA$29,""))</f>
        <v>14.149999999999999</v>
      </c>
    </row>
    <row r="35" spans="3:27" x14ac:dyDescent="0.25">
      <c r="C35">
        <v>5</v>
      </c>
      <c r="D35">
        <f t="array" ref="D35">MEDIAN(IF($C$3:$C$29=$C35,D$3:D$29,""))</f>
        <v>21.75</v>
      </c>
      <c r="E35">
        <f t="array" ref="E35">MEDIAN(IF($C$3:$C$29=$C35,E$3:E$29,""))</f>
        <v>0</v>
      </c>
      <c r="F35">
        <f t="array" ref="F35">MEDIAN(IF($C$3:$C$29=$C35,F$3:F$29,""))</f>
        <v>0</v>
      </c>
      <c r="G35">
        <v>26</v>
      </c>
      <c r="H35">
        <f t="array" ref="H35">MEDIAN(IF($C$3:$C$29=$C35,H$3:H$29,""))</f>
        <v>14.95</v>
      </c>
      <c r="I35">
        <f t="array" ref="I35">MEDIAN(IF($C$3:$C$29=$C35,I$3:I$29,""))</f>
        <v>14.75</v>
      </c>
      <c r="J35">
        <f t="array" ref="J35">MEDIAN(IF($C$3:$C$29=$C35,J$3:J$29,""))</f>
        <v>9.25</v>
      </c>
      <c r="K35">
        <f t="array" ref="K35">MEDIAN(IF($C$3:$C$29=$C35,K$3:K$29,""))</f>
        <v>7.95</v>
      </c>
      <c r="L35">
        <f t="array" ref="L35">MEDIAN(IF($C$3:$C$29=$C35,L$3:L$29,""))</f>
        <v>8.25</v>
      </c>
      <c r="M35">
        <f t="array" ref="M35">MEDIAN(IF($C$3:$C$29=$C35,M$3:M$29,""))</f>
        <v>10.4</v>
      </c>
      <c r="N35">
        <f t="array" ref="N35">MEDIAN(IF($C$3:$C$29=$C35,N$3:N$29,""))</f>
        <v>9.75</v>
      </c>
      <c r="O35">
        <f t="array" ref="O35">MEDIAN(IF($C$3:$C$29=$C35,O$3:O$29,""))</f>
        <v>10.850000000000001</v>
      </c>
      <c r="P35">
        <f t="array" ref="P35">MEDIAN(IF($C$3:$C$29=$C35,P$3:P$29,""))</f>
        <v>11.5</v>
      </c>
      <c r="Q35">
        <f t="array" ref="Q35">MEDIAN(IF($C$3:$C$29=$C35,Q$3:Q$29,""))</f>
        <v>9.6</v>
      </c>
      <c r="R35">
        <f t="array" ref="R35">MEDIAN(IF($C$3:$C$29=$C35,R$3:R$29,""))</f>
        <v>10.8</v>
      </c>
      <c r="S35">
        <f t="array" ref="S35">MEDIAN(IF($C$3:$C$29=$C35,S$3:S$29,""))</f>
        <v>10.899999999999999</v>
      </c>
      <c r="T35">
        <f t="array" ref="T35">MEDIAN(IF($C$3:$C$29=$C35,T$3:T$29,""))</f>
        <v>9.75</v>
      </c>
      <c r="U35">
        <f t="array" ref="U35">MEDIAN(IF($C$3:$C$29=$C35,U$3:U$29,""))</f>
        <v>7.85</v>
      </c>
      <c r="V35">
        <f t="array" ref="V35">MEDIAN(IF($C$3:$C$29=$C35,V$3:V$29,""))</f>
        <v>9.0500000000000007</v>
      </c>
      <c r="W35">
        <f t="array" ref="W35">MEDIAN(IF($C$3:$C$29=$C35,W$3:W$29,""))</f>
        <v>10.75</v>
      </c>
      <c r="X35">
        <f t="array" ref="X35">MEDIAN(IF($C$3:$C$29=$C35,X$3:X$29,""))</f>
        <v>10.199999999999999</v>
      </c>
      <c r="Y35">
        <f t="array" ref="Y35">MEDIAN(IF($C$3:$C$29=$C35,Y$3:Y$29,""))</f>
        <v>12.8</v>
      </c>
      <c r="Z35">
        <f t="array" ref="Z35">MEDIAN(IF($C$3:$C$29=$C35,Z$3:Z$29,""))</f>
        <v>11.65</v>
      </c>
      <c r="AA35">
        <f t="array" ref="AA35">MEDIAN(IF($C$3:$C$29=$C35,AA$3:AA$29,""))</f>
        <v>15.2</v>
      </c>
    </row>
    <row r="36" spans="3:27" x14ac:dyDescent="0.25">
      <c r="C36">
        <v>6</v>
      </c>
      <c r="D36">
        <f t="array" ref="D36">MEDIAN(IF($C$3:$C$29=$C36,D$3:D$29,""))</f>
        <v>20.100000000000001</v>
      </c>
      <c r="E36">
        <f t="array" ref="E36">MEDIAN(IF($C$3:$C$29=$C36,E$3:E$29,""))</f>
        <v>0</v>
      </c>
      <c r="F36">
        <f t="array" ref="F36">MEDIAN(IF($C$3:$C$29=$C36,F$3:F$29,""))</f>
        <v>0</v>
      </c>
      <c r="G36">
        <v>26</v>
      </c>
      <c r="H36">
        <f t="array" ref="H36">MEDIAN(IF($C$3:$C$29=$C36,H$3:H$29,""))</f>
        <v>15.6</v>
      </c>
      <c r="I36">
        <f t="array" ref="I36">MEDIAN(IF($C$3:$C$29=$C36,I$3:I$29,""))</f>
        <v>11.7</v>
      </c>
      <c r="J36">
        <f t="array" ref="J36">MEDIAN(IF($C$3:$C$29=$C36,J$3:J$29,""))</f>
        <v>12</v>
      </c>
      <c r="K36">
        <f t="array" ref="K36">MEDIAN(IF($C$3:$C$29=$C36,K$3:K$29,""))</f>
        <v>8</v>
      </c>
      <c r="L36">
        <f t="array" ref="L36">MEDIAN(IF($C$3:$C$29=$C36,L$3:L$29,""))</f>
        <v>9</v>
      </c>
      <c r="M36">
        <f t="array" ref="M36">MEDIAN(IF($C$3:$C$29=$C36,M$3:M$29,""))</f>
        <v>10.4</v>
      </c>
      <c r="N36">
        <f t="array" ref="N36">MEDIAN(IF($C$3:$C$29=$C36,N$3:N$29,""))</f>
        <v>9.8000000000000007</v>
      </c>
      <c r="O36">
        <f t="array" ref="O36">MEDIAN(IF($C$3:$C$29=$C36,O$3:O$29,""))</f>
        <v>11.5</v>
      </c>
      <c r="P36">
        <f t="array" ref="P36">MEDIAN(IF($C$3:$C$29=$C36,P$3:P$29,""))</f>
        <v>13</v>
      </c>
      <c r="Q36">
        <f t="array" ref="Q36">MEDIAN(IF($C$3:$C$29=$C36,Q$3:Q$29,""))</f>
        <v>12.2</v>
      </c>
      <c r="R36">
        <f t="array" ref="R36">MEDIAN(IF($C$3:$C$29=$C36,R$3:R$29,""))</f>
        <v>9.6</v>
      </c>
      <c r="S36">
        <f t="array" ref="S36">MEDIAN(IF($C$3:$C$29=$C36,S$3:S$29,""))</f>
        <v>10.199999999999999</v>
      </c>
      <c r="T36">
        <f t="array" ref="T36">MEDIAN(IF($C$3:$C$29=$C36,T$3:T$29,""))</f>
        <v>11.4</v>
      </c>
      <c r="U36">
        <f t="array" ref="U36">MEDIAN(IF($C$3:$C$29=$C36,U$3:U$29,""))</f>
        <v>9.6</v>
      </c>
      <c r="V36">
        <f t="array" ref="V36">MEDIAN(IF($C$3:$C$29=$C36,V$3:V$29,""))</f>
        <v>8.1999999999999993</v>
      </c>
      <c r="W36">
        <f t="array" ref="W36">MEDIAN(IF($C$3:$C$29=$C36,W$3:W$29,""))</f>
        <v>8.6</v>
      </c>
      <c r="X36">
        <f t="array" ref="X36">MEDIAN(IF($C$3:$C$29=$C36,X$3:X$29,""))</f>
        <v>9.9</v>
      </c>
      <c r="Y36">
        <f t="array" ref="Y36">MEDIAN(IF($C$3:$C$29=$C36,Y$3:Y$29,""))</f>
        <v>10.3</v>
      </c>
      <c r="Z36">
        <f t="array" ref="Z36">MEDIAN(IF($C$3:$C$29=$C36,Z$3:Z$29,""))</f>
        <v>13.9</v>
      </c>
      <c r="AA36">
        <f t="array" ref="AA36">MEDIAN(IF($C$3:$C$29=$C36,AA$3:AA$29,""))</f>
        <v>15</v>
      </c>
    </row>
    <row r="37" spans="3:27" x14ac:dyDescent="0.25">
      <c r="C37">
        <v>7</v>
      </c>
      <c r="D37">
        <f t="array" ref="D37">MEDIAN(IF($C$3:$C$29=$C37,D$3:D$29,""))</f>
        <v>20.100000000000001</v>
      </c>
      <c r="E37">
        <f t="array" ref="E37">MEDIAN(IF($C$3:$C$29=$C37,E$3:E$29,""))</f>
        <v>0</v>
      </c>
      <c r="F37">
        <f t="array" ref="F37">MEDIAN(IF($C$3:$C$29=$C37,F$3:F$29,""))</f>
        <v>0</v>
      </c>
      <c r="G37">
        <v>26</v>
      </c>
      <c r="H37">
        <f t="array" ref="H37">MEDIAN(IF($C$3:$C$29=$C37,H$3:H$29,""))</f>
        <v>18.399999999999999</v>
      </c>
      <c r="I37">
        <f t="array" ref="I37">MEDIAN(IF($C$3:$C$29=$C37,I$3:I$29,""))</f>
        <v>12.850000000000001</v>
      </c>
      <c r="J37">
        <f t="array" ref="J37">MEDIAN(IF($C$3:$C$29=$C37,J$3:J$29,""))</f>
        <v>10.5</v>
      </c>
      <c r="K37">
        <f t="array" ref="K37">MEDIAN(IF($C$3:$C$29=$C37,K$3:K$29,""))</f>
        <v>7.9</v>
      </c>
      <c r="L37">
        <f t="array" ref="L37">MEDIAN(IF($C$3:$C$29=$C37,L$3:L$29,""))</f>
        <v>8.25</v>
      </c>
      <c r="M37">
        <f t="array" ref="M37">MEDIAN(IF($C$3:$C$29=$C37,M$3:M$29,""))</f>
        <v>11.05</v>
      </c>
      <c r="N37">
        <f t="array" ref="N37">MEDIAN(IF($C$3:$C$29=$C37,N$3:N$29,""))</f>
        <v>9.75</v>
      </c>
      <c r="O37">
        <f t="array" ref="O37">MEDIAN(IF($C$3:$C$29=$C37,O$3:O$29,""))</f>
        <v>13.75</v>
      </c>
      <c r="P37">
        <f t="array" ref="P37">MEDIAN(IF($C$3:$C$29=$C37,P$3:P$29,""))</f>
        <v>10.55</v>
      </c>
      <c r="Q37">
        <f t="array" ref="Q37">MEDIAN(IF($C$3:$C$29=$C37,Q$3:Q$29,""))</f>
        <v>9.65</v>
      </c>
      <c r="R37">
        <f t="array" ref="R37">MEDIAN(IF($C$3:$C$29=$C37,R$3:R$29,""))</f>
        <v>11.3</v>
      </c>
      <c r="S37">
        <f t="array" ref="S37">MEDIAN(IF($C$3:$C$29=$C37,S$3:S$29,""))</f>
        <v>10.6</v>
      </c>
      <c r="T37">
        <f t="array" ref="T37">MEDIAN(IF($C$3:$C$29=$C37,T$3:T$29,""))</f>
        <v>10</v>
      </c>
      <c r="U37">
        <f t="array" ref="U37">MEDIAN(IF($C$3:$C$29=$C37,U$3:U$29,""))</f>
        <v>7.9</v>
      </c>
      <c r="V37">
        <f t="array" ref="V37">MEDIAN(IF($C$3:$C$29=$C37,V$3:V$29,""))</f>
        <v>6.7</v>
      </c>
      <c r="W37">
        <f t="array" ref="W37">MEDIAN(IF($C$3:$C$29=$C37,W$3:W$29,""))</f>
        <v>7.55</v>
      </c>
      <c r="X37">
        <f t="array" ref="X37">MEDIAN(IF($C$3:$C$29=$C37,X$3:X$29,""))</f>
        <v>8.85</v>
      </c>
      <c r="Y37">
        <f t="array" ref="Y37">MEDIAN(IF($C$3:$C$29=$C37,Y$3:Y$29,""))</f>
        <v>9.5500000000000007</v>
      </c>
      <c r="Z37">
        <f t="array" ref="Z37">MEDIAN(IF($C$3:$C$29=$C37,Z$3:Z$29,""))</f>
        <v>14.5</v>
      </c>
      <c r="AA37">
        <f t="array" ref="AA37">MEDIAN(IF($C$3:$C$29=$C37,AA$3:AA$29,""))</f>
        <v>12.2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4"/>
  <dimension ref="A1:AA37"/>
  <sheetViews>
    <sheetView workbookViewId="0">
      <selection activeCell="G32" sqref="G32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27.7</v>
      </c>
      <c r="E3">
        <v>43.5</v>
      </c>
      <c r="F3">
        <v>40.799999999999997</v>
      </c>
      <c r="G3">
        <v>42</v>
      </c>
      <c r="H3">
        <v>20.9</v>
      </c>
      <c r="I3">
        <v>23.7</v>
      </c>
      <c r="J3">
        <v>28.6</v>
      </c>
      <c r="K3">
        <v>16.100000000000001</v>
      </c>
      <c r="L3">
        <v>14.2</v>
      </c>
      <c r="M3">
        <v>18.3</v>
      </c>
      <c r="N3">
        <v>18.600000000000001</v>
      </c>
      <c r="O3">
        <v>24.5</v>
      </c>
      <c r="P3">
        <v>16.2</v>
      </c>
      <c r="Q3">
        <v>16.5</v>
      </c>
      <c r="R3">
        <v>20.8</v>
      </c>
      <c r="S3">
        <v>16.5</v>
      </c>
      <c r="T3">
        <v>15.3</v>
      </c>
      <c r="U3">
        <v>10.3</v>
      </c>
      <c r="V3">
        <v>22.9</v>
      </c>
      <c r="W3">
        <v>17.7</v>
      </c>
      <c r="X3">
        <v>13.8</v>
      </c>
      <c r="Y3">
        <v>18</v>
      </c>
      <c r="Z3">
        <v>16.600000000000001</v>
      </c>
      <c r="AA3">
        <v>18.8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24.6</v>
      </c>
      <c r="E4">
        <v>32.9</v>
      </c>
      <c r="F4">
        <v>34</v>
      </c>
      <c r="G4">
        <v>15</v>
      </c>
      <c r="H4">
        <v>24</v>
      </c>
      <c r="I4">
        <v>24.2</v>
      </c>
      <c r="J4">
        <v>22.8</v>
      </c>
      <c r="K4">
        <v>16.5</v>
      </c>
      <c r="L4">
        <v>18.7</v>
      </c>
      <c r="M4">
        <v>23.5</v>
      </c>
      <c r="N4">
        <v>19.5</v>
      </c>
      <c r="O4">
        <v>19.7</v>
      </c>
      <c r="P4">
        <v>18.3</v>
      </c>
      <c r="Q4">
        <v>17.3</v>
      </c>
      <c r="R4">
        <v>20.9</v>
      </c>
      <c r="S4">
        <v>13.6</v>
      </c>
      <c r="T4">
        <v>20.7</v>
      </c>
      <c r="U4">
        <v>12.5</v>
      </c>
      <c r="V4">
        <v>29.4</v>
      </c>
      <c r="W4">
        <v>23.2</v>
      </c>
      <c r="X4">
        <v>14.5</v>
      </c>
      <c r="Y4">
        <v>13.9</v>
      </c>
      <c r="Z4">
        <v>12.2</v>
      </c>
      <c r="AA4">
        <v>26.8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24</v>
      </c>
      <c r="E5">
        <v>27.2</v>
      </c>
      <c r="H5">
        <v>10.6</v>
      </c>
      <c r="I5">
        <v>20.3</v>
      </c>
      <c r="J5">
        <v>18.8</v>
      </c>
      <c r="K5">
        <v>16.8</v>
      </c>
      <c r="L5">
        <v>18.600000000000001</v>
      </c>
      <c r="M5">
        <v>15.6</v>
      </c>
      <c r="N5">
        <v>15.1</v>
      </c>
      <c r="O5">
        <v>15.6</v>
      </c>
      <c r="P5">
        <v>15.2</v>
      </c>
      <c r="Q5">
        <v>16</v>
      </c>
      <c r="R5">
        <v>14.6</v>
      </c>
      <c r="S5">
        <v>16.100000000000001</v>
      </c>
      <c r="T5">
        <v>19.600000000000001</v>
      </c>
      <c r="U5">
        <v>23.4</v>
      </c>
      <c r="V5">
        <v>23.2</v>
      </c>
      <c r="W5">
        <v>19.3</v>
      </c>
      <c r="X5">
        <v>15.8</v>
      </c>
      <c r="Y5">
        <v>18.5</v>
      </c>
      <c r="Z5">
        <v>19.899999999999999</v>
      </c>
      <c r="AA5">
        <v>25.2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16.399999999999999</v>
      </c>
      <c r="E6">
        <v>33.5</v>
      </c>
      <c r="G6">
        <v>33.299999999999997</v>
      </c>
      <c r="H6">
        <v>19.7</v>
      </c>
      <c r="I6">
        <v>13.1</v>
      </c>
      <c r="J6">
        <v>13.4</v>
      </c>
      <c r="K6">
        <v>15.9</v>
      </c>
      <c r="L6">
        <v>17.3</v>
      </c>
      <c r="M6">
        <v>23.3</v>
      </c>
      <c r="N6">
        <v>17.399999999999999</v>
      </c>
      <c r="O6">
        <v>21.2</v>
      </c>
      <c r="P6">
        <v>19.899999999999999</v>
      </c>
      <c r="Q6">
        <v>14.5</v>
      </c>
      <c r="R6">
        <v>19.100000000000001</v>
      </c>
      <c r="S6">
        <v>21.5</v>
      </c>
      <c r="T6">
        <v>16.600000000000001</v>
      </c>
      <c r="U6">
        <v>16.5</v>
      </c>
      <c r="V6">
        <v>13.4</v>
      </c>
      <c r="W6">
        <v>17.899999999999999</v>
      </c>
      <c r="X6">
        <v>15.8</v>
      </c>
      <c r="Y6">
        <v>17.7</v>
      </c>
      <c r="Z6">
        <v>27.1</v>
      </c>
      <c r="AA6">
        <v>32.6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28.8</v>
      </c>
      <c r="E7">
        <v>48</v>
      </c>
      <c r="G7">
        <v>19.399999999999999</v>
      </c>
      <c r="H7">
        <v>24.2</v>
      </c>
      <c r="I7">
        <v>16.100000000000001</v>
      </c>
      <c r="J7">
        <v>15.9</v>
      </c>
      <c r="K7">
        <v>11</v>
      </c>
      <c r="L7">
        <v>14.2</v>
      </c>
      <c r="M7">
        <v>16.600000000000001</v>
      </c>
      <c r="N7">
        <v>17.899999999999999</v>
      </c>
      <c r="O7">
        <v>13.6</v>
      </c>
      <c r="P7">
        <v>18.5</v>
      </c>
      <c r="Q7">
        <v>13.9</v>
      </c>
      <c r="R7">
        <v>20.5</v>
      </c>
      <c r="S7">
        <v>19.100000000000001</v>
      </c>
      <c r="T7">
        <v>13.6</v>
      </c>
      <c r="U7">
        <v>22.6</v>
      </c>
      <c r="V7">
        <v>13.3</v>
      </c>
      <c r="W7">
        <v>15.7</v>
      </c>
      <c r="X7">
        <v>24.2</v>
      </c>
      <c r="Y7">
        <v>14.4</v>
      </c>
      <c r="Z7">
        <v>18.899999999999999</v>
      </c>
      <c r="AA7">
        <v>23.4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26</v>
      </c>
      <c r="E8">
        <v>39.799999999999997</v>
      </c>
      <c r="G8">
        <v>20.9</v>
      </c>
      <c r="H8">
        <v>18.7</v>
      </c>
      <c r="I8">
        <v>19.399999999999999</v>
      </c>
      <c r="J8">
        <v>19.399999999999999</v>
      </c>
      <c r="K8">
        <v>13.8</v>
      </c>
      <c r="L8">
        <v>12.9</v>
      </c>
      <c r="M8">
        <v>18.2</v>
      </c>
      <c r="N8">
        <v>17</v>
      </c>
      <c r="O8">
        <v>16.600000000000001</v>
      </c>
      <c r="P8">
        <v>15.4</v>
      </c>
      <c r="Q8">
        <v>17.600000000000001</v>
      </c>
      <c r="R8">
        <v>16.7</v>
      </c>
      <c r="S8">
        <v>15.1</v>
      </c>
      <c r="T8">
        <v>15.2</v>
      </c>
      <c r="U8">
        <v>14.6</v>
      </c>
      <c r="V8">
        <v>13.3</v>
      </c>
      <c r="W8">
        <v>17.899999999999999</v>
      </c>
      <c r="X8">
        <v>21.7</v>
      </c>
      <c r="Y8">
        <v>17.399999999999999</v>
      </c>
      <c r="Z8">
        <v>18.2</v>
      </c>
      <c r="AA8">
        <v>22.6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27.6</v>
      </c>
      <c r="E9">
        <v>43.2</v>
      </c>
      <c r="H9">
        <v>21.4</v>
      </c>
      <c r="I9">
        <v>18.2</v>
      </c>
      <c r="J9">
        <v>16.899999999999999</v>
      </c>
      <c r="K9">
        <v>19.7</v>
      </c>
      <c r="L9">
        <v>13.6</v>
      </c>
      <c r="M9">
        <v>19.3</v>
      </c>
      <c r="N9">
        <v>13.4</v>
      </c>
      <c r="O9">
        <v>18.2</v>
      </c>
      <c r="P9">
        <v>17.399999999999999</v>
      </c>
      <c r="Q9">
        <v>21.9</v>
      </c>
      <c r="R9">
        <v>18</v>
      </c>
      <c r="S9">
        <v>18.899999999999999</v>
      </c>
      <c r="T9">
        <v>16.100000000000001</v>
      </c>
      <c r="U9">
        <v>18.899999999999999</v>
      </c>
      <c r="V9">
        <v>15.6</v>
      </c>
      <c r="W9">
        <v>24.1</v>
      </c>
      <c r="X9">
        <v>14.6</v>
      </c>
      <c r="Y9">
        <v>14.4</v>
      </c>
      <c r="Z9">
        <v>20.3</v>
      </c>
      <c r="AA9">
        <v>26.8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27.6</v>
      </c>
      <c r="E10">
        <v>41.4</v>
      </c>
      <c r="F10">
        <v>50.6</v>
      </c>
      <c r="G10">
        <v>19.3</v>
      </c>
      <c r="H10">
        <v>27.2</v>
      </c>
      <c r="I10">
        <v>18.899999999999999</v>
      </c>
      <c r="J10">
        <v>16.600000000000001</v>
      </c>
      <c r="K10">
        <v>10.3</v>
      </c>
      <c r="L10">
        <v>12.2</v>
      </c>
      <c r="M10">
        <v>18.5</v>
      </c>
      <c r="N10">
        <v>14</v>
      </c>
      <c r="O10">
        <v>23.5</v>
      </c>
      <c r="P10">
        <v>15</v>
      </c>
      <c r="Q10">
        <v>21.3</v>
      </c>
      <c r="R10">
        <v>17.2</v>
      </c>
      <c r="S10">
        <v>15.5</v>
      </c>
      <c r="T10">
        <v>15.6</v>
      </c>
      <c r="U10">
        <v>21.5</v>
      </c>
      <c r="V10">
        <v>19</v>
      </c>
      <c r="W10">
        <v>16.8</v>
      </c>
      <c r="X10">
        <v>16.5</v>
      </c>
      <c r="Y10">
        <v>34.9</v>
      </c>
      <c r="Z10">
        <v>22.4</v>
      </c>
      <c r="AA10">
        <v>26.7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20.6</v>
      </c>
      <c r="E11">
        <v>39.200000000000003</v>
      </c>
      <c r="F11">
        <v>39.799999999999997</v>
      </c>
      <c r="G11">
        <v>23.9</v>
      </c>
      <c r="H11">
        <v>24.2</v>
      </c>
      <c r="I11">
        <v>21</v>
      </c>
      <c r="J11">
        <v>21.2</v>
      </c>
      <c r="K11">
        <v>19</v>
      </c>
      <c r="L11">
        <v>16</v>
      </c>
      <c r="M11">
        <v>19.100000000000001</v>
      </c>
      <c r="N11">
        <v>20.8</v>
      </c>
      <c r="O11">
        <v>14.5</v>
      </c>
      <c r="P11">
        <v>17.7</v>
      </c>
      <c r="Q11">
        <v>16.600000000000001</v>
      </c>
      <c r="R11">
        <v>18.3</v>
      </c>
      <c r="S11">
        <v>22.3</v>
      </c>
      <c r="T11">
        <v>18.3</v>
      </c>
      <c r="U11">
        <v>23.2</v>
      </c>
      <c r="V11">
        <v>16.399999999999999</v>
      </c>
      <c r="W11">
        <v>19.7</v>
      </c>
      <c r="X11">
        <v>21.5</v>
      </c>
      <c r="Y11">
        <v>24.6</v>
      </c>
      <c r="Z11">
        <v>21.3</v>
      </c>
      <c r="AA11">
        <v>28.7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30.4</v>
      </c>
      <c r="E12">
        <v>23.2</v>
      </c>
      <c r="F12">
        <v>36</v>
      </c>
      <c r="H12">
        <v>26.7</v>
      </c>
      <c r="I12">
        <v>21.7</v>
      </c>
      <c r="J12">
        <v>18.5</v>
      </c>
      <c r="K12">
        <v>18.7</v>
      </c>
      <c r="L12">
        <v>17.399999999999999</v>
      </c>
      <c r="M12">
        <v>15.5</v>
      </c>
      <c r="N12">
        <v>21</v>
      </c>
      <c r="O12">
        <v>13.8</v>
      </c>
      <c r="P12">
        <v>16.3</v>
      </c>
      <c r="Q12">
        <v>15.3</v>
      </c>
      <c r="R12">
        <v>14.9</v>
      </c>
      <c r="S12">
        <v>15.3</v>
      </c>
      <c r="T12">
        <v>18.600000000000001</v>
      </c>
      <c r="U12">
        <v>19.3</v>
      </c>
      <c r="V12">
        <v>26.2</v>
      </c>
      <c r="W12">
        <v>21.9</v>
      </c>
      <c r="X12">
        <v>15.2</v>
      </c>
      <c r="Y12">
        <v>20.399999999999999</v>
      </c>
      <c r="Z12">
        <v>23.8</v>
      </c>
      <c r="AA12">
        <v>21.2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25.6</v>
      </c>
      <c r="G13">
        <v>48.5</v>
      </c>
      <c r="H13">
        <v>27.5</v>
      </c>
      <c r="I13">
        <v>18.100000000000001</v>
      </c>
      <c r="J13">
        <v>15.9</v>
      </c>
      <c r="K13">
        <v>15.1</v>
      </c>
      <c r="L13">
        <v>12.3</v>
      </c>
      <c r="M13">
        <v>18.600000000000001</v>
      </c>
      <c r="N13">
        <v>18</v>
      </c>
      <c r="O13">
        <v>24.1</v>
      </c>
      <c r="P13">
        <v>18.2</v>
      </c>
      <c r="Q13">
        <v>22.6</v>
      </c>
      <c r="R13">
        <v>18.899999999999999</v>
      </c>
      <c r="S13">
        <v>19.7</v>
      </c>
      <c r="T13">
        <v>13.1</v>
      </c>
      <c r="U13">
        <v>16.600000000000001</v>
      </c>
      <c r="V13">
        <v>16.600000000000001</v>
      </c>
      <c r="W13">
        <v>17</v>
      </c>
      <c r="X13">
        <v>17.8</v>
      </c>
      <c r="Y13">
        <v>18.8</v>
      </c>
      <c r="Z13">
        <v>19</v>
      </c>
      <c r="AA13">
        <v>22.3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34.4</v>
      </c>
      <c r="E14">
        <v>36.1</v>
      </c>
      <c r="G14">
        <v>25.3</v>
      </c>
      <c r="H14">
        <v>24.9</v>
      </c>
      <c r="I14">
        <v>20.2</v>
      </c>
      <c r="J14">
        <v>13.1</v>
      </c>
      <c r="K14">
        <v>11.5</v>
      </c>
      <c r="L14">
        <v>16</v>
      </c>
      <c r="M14">
        <v>20</v>
      </c>
      <c r="N14">
        <v>18.899999999999999</v>
      </c>
      <c r="O14">
        <v>21.9</v>
      </c>
      <c r="P14">
        <v>14.2</v>
      </c>
      <c r="Q14">
        <v>13.9</v>
      </c>
      <c r="R14">
        <v>17.2</v>
      </c>
      <c r="S14">
        <v>17.100000000000001</v>
      </c>
      <c r="T14">
        <v>18.2</v>
      </c>
      <c r="U14">
        <v>20.399999999999999</v>
      </c>
      <c r="V14">
        <v>13.8</v>
      </c>
      <c r="W14">
        <v>13</v>
      </c>
      <c r="X14">
        <v>22.4</v>
      </c>
      <c r="Y14">
        <v>21.2</v>
      </c>
      <c r="Z14">
        <v>15.4</v>
      </c>
      <c r="AA14">
        <v>21.7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23.5</v>
      </c>
      <c r="E15">
        <v>35.6</v>
      </c>
      <c r="G15">
        <v>22.1</v>
      </c>
      <c r="H15">
        <v>21.2</v>
      </c>
      <c r="I15">
        <v>20.399999999999999</v>
      </c>
      <c r="J15">
        <v>16.600000000000001</v>
      </c>
      <c r="K15">
        <v>14</v>
      </c>
      <c r="L15">
        <v>15.5</v>
      </c>
      <c r="M15">
        <v>17.2</v>
      </c>
      <c r="N15">
        <v>17.2</v>
      </c>
      <c r="O15">
        <v>21.9</v>
      </c>
      <c r="P15">
        <v>18.5</v>
      </c>
      <c r="Q15">
        <v>16.3</v>
      </c>
      <c r="R15">
        <v>14.4</v>
      </c>
      <c r="S15">
        <v>17.5</v>
      </c>
      <c r="T15">
        <v>14.9</v>
      </c>
      <c r="U15">
        <v>13.4</v>
      </c>
      <c r="V15">
        <v>11.1</v>
      </c>
      <c r="W15">
        <v>18.100000000000001</v>
      </c>
      <c r="X15">
        <v>13.6</v>
      </c>
      <c r="Y15">
        <v>22.2</v>
      </c>
      <c r="Z15">
        <v>19.2</v>
      </c>
      <c r="AA15">
        <v>23.3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29.5</v>
      </c>
      <c r="E16">
        <v>37.299999999999997</v>
      </c>
      <c r="G16">
        <v>28.3</v>
      </c>
      <c r="H16">
        <v>22.3</v>
      </c>
      <c r="I16">
        <v>23.5</v>
      </c>
      <c r="J16">
        <v>17.3</v>
      </c>
      <c r="K16">
        <v>19</v>
      </c>
      <c r="L16">
        <v>15.7</v>
      </c>
      <c r="M16">
        <v>16.5</v>
      </c>
      <c r="N16">
        <v>12.5</v>
      </c>
      <c r="O16">
        <v>15.8</v>
      </c>
      <c r="P16">
        <v>12.5</v>
      </c>
      <c r="Q16">
        <v>18.3</v>
      </c>
      <c r="R16">
        <v>16.7</v>
      </c>
      <c r="S16">
        <v>16</v>
      </c>
      <c r="T16">
        <v>14.8</v>
      </c>
      <c r="U16">
        <v>16</v>
      </c>
      <c r="V16">
        <v>16.5</v>
      </c>
      <c r="W16">
        <v>13.6</v>
      </c>
      <c r="X16">
        <v>18.2</v>
      </c>
      <c r="Y16">
        <v>20.5</v>
      </c>
      <c r="Z16">
        <v>23.1</v>
      </c>
      <c r="AA16">
        <v>24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29.3</v>
      </c>
      <c r="E17">
        <v>38.799999999999997</v>
      </c>
      <c r="F17">
        <v>34.700000000000003</v>
      </c>
      <c r="H17">
        <v>13.8</v>
      </c>
      <c r="I17">
        <v>18.8</v>
      </c>
      <c r="J17">
        <v>14.9</v>
      </c>
      <c r="K17">
        <v>15</v>
      </c>
      <c r="L17">
        <v>19</v>
      </c>
      <c r="M17">
        <v>16.2</v>
      </c>
      <c r="N17">
        <v>15.3</v>
      </c>
      <c r="O17">
        <v>18.2</v>
      </c>
      <c r="P17">
        <v>19.8</v>
      </c>
      <c r="Q17">
        <v>18</v>
      </c>
      <c r="R17">
        <v>23.1</v>
      </c>
      <c r="S17">
        <v>21</v>
      </c>
      <c r="T17">
        <v>16.8</v>
      </c>
      <c r="U17">
        <v>14.8</v>
      </c>
      <c r="V17">
        <v>16.399999999999999</v>
      </c>
      <c r="W17">
        <v>16</v>
      </c>
      <c r="X17">
        <v>17.2</v>
      </c>
      <c r="Y17">
        <v>11.8</v>
      </c>
      <c r="Z17">
        <v>16.5</v>
      </c>
      <c r="AA17">
        <v>16.5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26.3</v>
      </c>
      <c r="E18">
        <v>56.4</v>
      </c>
      <c r="G18">
        <v>44.1</v>
      </c>
      <c r="H18">
        <v>27.7</v>
      </c>
      <c r="I18">
        <v>18.3</v>
      </c>
      <c r="J18">
        <v>19.3</v>
      </c>
      <c r="K18">
        <v>22.3</v>
      </c>
      <c r="L18">
        <v>21.2</v>
      </c>
      <c r="M18">
        <v>18.2</v>
      </c>
      <c r="N18">
        <v>18.7</v>
      </c>
      <c r="O18">
        <v>13.6</v>
      </c>
      <c r="P18">
        <v>16.899999999999999</v>
      </c>
      <c r="Q18">
        <v>17.600000000000001</v>
      </c>
      <c r="R18">
        <v>17.2</v>
      </c>
      <c r="S18">
        <v>14.5</v>
      </c>
      <c r="T18">
        <v>13.6</v>
      </c>
      <c r="U18">
        <v>14</v>
      </c>
      <c r="V18">
        <v>18.8</v>
      </c>
      <c r="W18">
        <v>9</v>
      </c>
      <c r="X18">
        <v>12.4</v>
      </c>
      <c r="Y18">
        <v>35.200000000000003</v>
      </c>
      <c r="Z18">
        <v>31.3</v>
      </c>
      <c r="AA18">
        <v>36.9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20.9</v>
      </c>
      <c r="H19">
        <v>24.5</v>
      </c>
      <c r="I19">
        <v>21.5</v>
      </c>
      <c r="J19">
        <v>18.600000000000001</v>
      </c>
      <c r="K19">
        <v>17.600000000000001</v>
      </c>
      <c r="L19">
        <v>17.7</v>
      </c>
      <c r="M19">
        <v>14</v>
      </c>
      <c r="N19">
        <v>14.2</v>
      </c>
      <c r="O19">
        <v>17.8</v>
      </c>
      <c r="P19">
        <v>13.7</v>
      </c>
      <c r="Q19">
        <v>13.8</v>
      </c>
      <c r="R19">
        <v>18</v>
      </c>
      <c r="S19">
        <v>16.3</v>
      </c>
      <c r="T19">
        <v>26</v>
      </c>
      <c r="U19">
        <v>23.2</v>
      </c>
      <c r="V19">
        <v>17.2</v>
      </c>
      <c r="W19">
        <v>28.9</v>
      </c>
      <c r="X19">
        <v>19.7</v>
      </c>
      <c r="Y19">
        <v>26</v>
      </c>
      <c r="Z19">
        <v>21.5</v>
      </c>
      <c r="AA19">
        <v>23.3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29.4</v>
      </c>
      <c r="E20">
        <v>36.6</v>
      </c>
      <c r="G20">
        <v>24.9</v>
      </c>
      <c r="H20">
        <v>31.5</v>
      </c>
      <c r="I20">
        <v>23.4</v>
      </c>
      <c r="J20">
        <v>11.2</v>
      </c>
      <c r="K20">
        <v>11.3</v>
      </c>
      <c r="L20">
        <v>15</v>
      </c>
      <c r="M20">
        <v>18.5</v>
      </c>
      <c r="N20">
        <v>17</v>
      </c>
      <c r="O20">
        <v>17.8</v>
      </c>
      <c r="P20">
        <v>15.4</v>
      </c>
      <c r="Q20">
        <v>14.9</v>
      </c>
      <c r="R20">
        <v>15.3</v>
      </c>
      <c r="S20">
        <v>13.6</v>
      </c>
      <c r="T20">
        <v>13.5</v>
      </c>
      <c r="U20">
        <v>18.8</v>
      </c>
      <c r="V20">
        <v>15.3</v>
      </c>
      <c r="W20">
        <v>19.100000000000001</v>
      </c>
      <c r="X20">
        <v>14.9</v>
      </c>
      <c r="Y20">
        <v>23.3</v>
      </c>
      <c r="Z20">
        <v>24.9</v>
      </c>
      <c r="AA20">
        <v>25.2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31</v>
      </c>
      <c r="G21">
        <v>35</v>
      </c>
      <c r="H21">
        <v>24</v>
      </c>
      <c r="I21">
        <v>22.1</v>
      </c>
      <c r="J21">
        <v>13.7</v>
      </c>
      <c r="K21">
        <v>13.3</v>
      </c>
      <c r="L21">
        <v>15.4</v>
      </c>
      <c r="M21">
        <v>17</v>
      </c>
      <c r="N21">
        <v>15.5</v>
      </c>
      <c r="O21">
        <v>19.8</v>
      </c>
      <c r="P21">
        <v>22.5</v>
      </c>
      <c r="Q21">
        <v>14</v>
      </c>
      <c r="R21">
        <v>20.8</v>
      </c>
      <c r="S21">
        <v>20</v>
      </c>
      <c r="T21">
        <v>15.6</v>
      </c>
      <c r="U21">
        <v>13</v>
      </c>
      <c r="V21">
        <v>15.4</v>
      </c>
      <c r="W21">
        <v>18.8</v>
      </c>
      <c r="X21">
        <v>23.9</v>
      </c>
      <c r="Y21">
        <v>22.1</v>
      </c>
      <c r="Z21">
        <v>19.600000000000001</v>
      </c>
      <c r="AA21">
        <v>21.7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30.1</v>
      </c>
      <c r="E22">
        <v>33.4</v>
      </c>
      <c r="G22">
        <v>18.3</v>
      </c>
      <c r="H22">
        <v>27.2</v>
      </c>
      <c r="I22">
        <v>18.899999999999999</v>
      </c>
      <c r="J22">
        <v>13.7</v>
      </c>
      <c r="K22">
        <v>17.399999999999999</v>
      </c>
      <c r="L22">
        <v>13.3</v>
      </c>
      <c r="M22">
        <v>15.2</v>
      </c>
      <c r="N22">
        <v>18.5</v>
      </c>
      <c r="O22">
        <v>19.399999999999999</v>
      </c>
      <c r="P22">
        <v>20.2</v>
      </c>
      <c r="Q22">
        <v>17.100000000000001</v>
      </c>
      <c r="R22">
        <v>13.8</v>
      </c>
      <c r="S22">
        <v>17</v>
      </c>
      <c r="T22">
        <v>15.1</v>
      </c>
      <c r="U22">
        <v>18.600000000000001</v>
      </c>
      <c r="V22">
        <v>12.7</v>
      </c>
      <c r="W22">
        <v>19.899999999999999</v>
      </c>
      <c r="X22">
        <v>14.3</v>
      </c>
      <c r="Y22">
        <v>20.100000000000001</v>
      </c>
      <c r="Z22">
        <v>18.600000000000001</v>
      </c>
      <c r="AA22">
        <v>25.6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29</v>
      </c>
      <c r="E23">
        <v>43.3</v>
      </c>
      <c r="G23">
        <v>21.7</v>
      </c>
      <c r="H23">
        <v>26.4</v>
      </c>
      <c r="I23">
        <v>22.2</v>
      </c>
      <c r="J23">
        <v>14.7</v>
      </c>
      <c r="K23">
        <v>14.3</v>
      </c>
      <c r="L23">
        <v>20</v>
      </c>
      <c r="M23">
        <v>18.3</v>
      </c>
      <c r="N23">
        <v>22.1</v>
      </c>
      <c r="O23">
        <v>16.899999999999999</v>
      </c>
      <c r="P23">
        <v>21.5</v>
      </c>
      <c r="Q23">
        <v>14.4</v>
      </c>
      <c r="R23">
        <v>15.8</v>
      </c>
      <c r="S23">
        <v>18.7</v>
      </c>
      <c r="T23">
        <v>18.899999999999999</v>
      </c>
      <c r="U23">
        <v>23.7</v>
      </c>
      <c r="V23">
        <v>12.4</v>
      </c>
      <c r="W23">
        <v>12.9</v>
      </c>
      <c r="X23">
        <v>15.3</v>
      </c>
      <c r="Y23">
        <v>15.1</v>
      </c>
      <c r="Z23">
        <v>22.2</v>
      </c>
      <c r="AA23">
        <v>19.8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26.4</v>
      </c>
      <c r="E24">
        <v>39.299999999999997</v>
      </c>
      <c r="F24">
        <v>37</v>
      </c>
      <c r="G24">
        <v>19.2</v>
      </c>
      <c r="H24">
        <v>37.6</v>
      </c>
      <c r="I24">
        <v>16.600000000000001</v>
      </c>
      <c r="J24">
        <v>16.8</v>
      </c>
      <c r="K24">
        <v>12.7</v>
      </c>
      <c r="L24">
        <v>17.7</v>
      </c>
      <c r="M24">
        <v>19.399999999999999</v>
      </c>
      <c r="N24">
        <v>18.2</v>
      </c>
      <c r="O24">
        <v>20</v>
      </c>
      <c r="P24">
        <v>18.8</v>
      </c>
      <c r="Q24">
        <v>12.5</v>
      </c>
      <c r="R24">
        <v>17.7</v>
      </c>
      <c r="S24">
        <v>17.7</v>
      </c>
      <c r="T24">
        <v>16.3</v>
      </c>
      <c r="U24">
        <v>20.2</v>
      </c>
      <c r="V24">
        <v>10.3</v>
      </c>
      <c r="W24">
        <v>16.899999999999999</v>
      </c>
      <c r="X24">
        <v>17.899999999999999</v>
      </c>
      <c r="Y24">
        <v>19.8</v>
      </c>
      <c r="Z24">
        <v>24.6</v>
      </c>
      <c r="AA24">
        <v>18.600000000000001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27.6</v>
      </c>
      <c r="F25">
        <v>36.700000000000003</v>
      </c>
      <c r="G25">
        <v>22.7</v>
      </c>
      <c r="H25">
        <v>22.3</v>
      </c>
      <c r="I25">
        <v>17.7</v>
      </c>
      <c r="J25">
        <v>20.399999999999999</v>
      </c>
      <c r="K25">
        <v>19.8</v>
      </c>
      <c r="L25">
        <v>17.899999999999999</v>
      </c>
      <c r="M25">
        <v>21.4</v>
      </c>
      <c r="N25">
        <v>17.5</v>
      </c>
      <c r="O25">
        <v>12.5</v>
      </c>
      <c r="P25">
        <v>20.6</v>
      </c>
      <c r="Q25">
        <v>11.9</v>
      </c>
      <c r="R25">
        <v>12.7</v>
      </c>
      <c r="T25">
        <v>20.9</v>
      </c>
      <c r="U25">
        <v>15</v>
      </c>
      <c r="V25">
        <v>14.3</v>
      </c>
      <c r="X25">
        <v>24.1</v>
      </c>
      <c r="Y25">
        <v>13.6</v>
      </c>
      <c r="Z25">
        <v>13.2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36.6</v>
      </c>
      <c r="E26">
        <v>30.8</v>
      </c>
      <c r="H26">
        <v>24</v>
      </c>
      <c r="I26">
        <v>20.100000000000001</v>
      </c>
      <c r="J26">
        <v>19.600000000000001</v>
      </c>
      <c r="K26">
        <v>18.899999999999999</v>
      </c>
      <c r="L26">
        <v>17.3</v>
      </c>
      <c r="M26">
        <v>15.9</v>
      </c>
      <c r="N26">
        <v>14.7</v>
      </c>
      <c r="O26">
        <v>14.7</v>
      </c>
      <c r="P26">
        <v>13.9</v>
      </c>
      <c r="Q26">
        <v>14.3</v>
      </c>
      <c r="R26">
        <v>14.5</v>
      </c>
      <c r="S26">
        <v>19.100000000000001</v>
      </c>
      <c r="T26">
        <v>20.5</v>
      </c>
      <c r="U26">
        <v>24.8</v>
      </c>
      <c r="V26">
        <v>20.7</v>
      </c>
      <c r="W26">
        <v>21.7</v>
      </c>
      <c r="X26">
        <v>23.7</v>
      </c>
      <c r="Y26">
        <v>23.2</v>
      </c>
      <c r="Z26">
        <v>24</v>
      </c>
      <c r="AA26">
        <v>32.6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23.5</v>
      </c>
      <c r="G27">
        <v>19.100000000000001</v>
      </c>
      <c r="H27">
        <v>18.7</v>
      </c>
      <c r="I27">
        <v>23.2</v>
      </c>
      <c r="J27">
        <v>15.2</v>
      </c>
      <c r="K27">
        <v>14.3</v>
      </c>
      <c r="L27">
        <v>22.7</v>
      </c>
      <c r="M27">
        <v>16.7</v>
      </c>
      <c r="N27">
        <v>14.6</v>
      </c>
      <c r="O27">
        <v>16.5</v>
      </c>
      <c r="P27">
        <v>17.399999999999999</v>
      </c>
      <c r="Q27">
        <v>14.8</v>
      </c>
      <c r="R27">
        <v>19.2</v>
      </c>
      <c r="S27">
        <v>23</v>
      </c>
      <c r="T27">
        <v>14.7</v>
      </c>
      <c r="U27">
        <v>12</v>
      </c>
      <c r="V27">
        <v>15.5</v>
      </c>
      <c r="W27">
        <v>19.100000000000001</v>
      </c>
      <c r="X27">
        <v>20.399999999999999</v>
      </c>
      <c r="Y27">
        <v>14</v>
      </c>
      <c r="Z27">
        <v>20.2</v>
      </c>
      <c r="AA27">
        <v>20.2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20.6</v>
      </c>
      <c r="E28">
        <v>37.4</v>
      </c>
      <c r="G28">
        <v>29.3</v>
      </c>
      <c r="H28">
        <v>20.7</v>
      </c>
      <c r="I28">
        <v>22.7</v>
      </c>
      <c r="J28">
        <v>23</v>
      </c>
      <c r="K28">
        <v>11.3</v>
      </c>
      <c r="L28">
        <v>15.1</v>
      </c>
      <c r="M28">
        <v>18.3</v>
      </c>
      <c r="N28">
        <v>22.5</v>
      </c>
      <c r="O28">
        <v>21.6</v>
      </c>
      <c r="P28">
        <v>18.399999999999999</v>
      </c>
      <c r="Q28">
        <v>20.100000000000001</v>
      </c>
      <c r="R28">
        <v>19.8</v>
      </c>
      <c r="S28">
        <v>18.399999999999999</v>
      </c>
      <c r="T28">
        <v>16.2</v>
      </c>
      <c r="U28">
        <v>15.6</v>
      </c>
      <c r="V28">
        <v>15.3</v>
      </c>
      <c r="W28">
        <v>16.600000000000001</v>
      </c>
      <c r="X28">
        <v>18.3</v>
      </c>
      <c r="Y28">
        <v>18.2</v>
      </c>
      <c r="Z28">
        <v>17.2</v>
      </c>
      <c r="AA28">
        <v>37.5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26.5</v>
      </c>
      <c r="E29">
        <v>32</v>
      </c>
      <c r="G29">
        <v>20.100000000000001</v>
      </c>
      <c r="H29">
        <v>19</v>
      </c>
      <c r="I29">
        <v>19.899999999999999</v>
      </c>
      <c r="J29">
        <v>15.7</v>
      </c>
      <c r="K29">
        <v>15.2</v>
      </c>
      <c r="L29">
        <v>15.7</v>
      </c>
      <c r="M29">
        <v>19.600000000000001</v>
      </c>
      <c r="N29">
        <v>14.4</v>
      </c>
      <c r="O29">
        <v>16.7</v>
      </c>
      <c r="P29">
        <v>16.5</v>
      </c>
      <c r="Q29">
        <v>14.6</v>
      </c>
      <c r="R29">
        <v>19.3</v>
      </c>
      <c r="S29">
        <v>17</v>
      </c>
      <c r="T29">
        <v>16.100000000000001</v>
      </c>
      <c r="U29">
        <v>17.100000000000001</v>
      </c>
      <c r="V29">
        <v>13.2</v>
      </c>
      <c r="W29">
        <v>18.5</v>
      </c>
      <c r="X29">
        <v>18</v>
      </c>
      <c r="Y29">
        <v>19.899999999999999</v>
      </c>
      <c r="Z29">
        <v>20.7</v>
      </c>
      <c r="AA29">
        <v>30.6</v>
      </c>
    </row>
    <row r="31" spans="1:27" x14ac:dyDescent="0.25">
      <c r="C31">
        <v>1</v>
      </c>
      <c r="D31">
        <f t="array" ref="D31">MEDIAN(IF($C$3:$C$29=$C31,D$3:D$29,""))</f>
        <v>27.2</v>
      </c>
      <c r="E31">
        <f t="array" ref="E31">MEDIAN(IF($C$3:$C$29=$C31,E$3:E$29,""))</f>
        <v>25.2</v>
      </c>
      <c r="F31">
        <f t="array" ref="F31">MEDIAN(IF($C$3:$C$29=$C31,F$3:F$29,""))</f>
        <v>0</v>
      </c>
      <c r="G31">
        <v>26</v>
      </c>
      <c r="H31">
        <f t="array" ref="H31">MEDIAN(IF($C$3:$C$29=$C31,H$3:H$29,""))</f>
        <v>24.25</v>
      </c>
      <c r="I31">
        <f t="array" ref="I31">MEDIAN(IF($C$3:$C$29=$C31,I$3:I$29,""))</f>
        <v>20.9</v>
      </c>
      <c r="J31">
        <f t="array" ref="J31">MEDIAN(IF($C$3:$C$29=$C31,J$3:J$29,""))</f>
        <v>18.700000000000003</v>
      </c>
      <c r="K31">
        <f t="array" ref="K31">MEDIAN(IF($C$3:$C$29=$C31,K$3:K$29,""))</f>
        <v>18.149999999999999</v>
      </c>
      <c r="L31">
        <f t="array" ref="L31">MEDIAN(IF($C$3:$C$29=$C31,L$3:L$29,""))</f>
        <v>17.549999999999997</v>
      </c>
      <c r="M31">
        <f t="array" ref="M31">MEDIAN(IF($C$3:$C$29=$C31,M$3:M$29,""))</f>
        <v>15.55</v>
      </c>
      <c r="N31">
        <f t="array" ref="N31">MEDIAN(IF($C$3:$C$29=$C31,N$3:N$29,""))</f>
        <v>14.899999999999999</v>
      </c>
      <c r="O31">
        <f t="array" ref="O31">MEDIAN(IF($C$3:$C$29=$C31,O$3:O$29,""))</f>
        <v>15.149999999999999</v>
      </c>
      <c r="P31">
        <f t="array" ref="P31">MEDIAN(IF($C$3:$C$29=$C31,P$3:P$29,""))</f>
        <v>14.55</v>
      </c>
      <c r="Q31">
        <f t="array" ref="Q31">MEDIAN(IF($C$3:$C$29=$C31,Q$3:Q$29,""))</f>
        <v>14.8</v>
      </c>
      <c r="R31">
        <f t="array" ref="R31">MEDIAN(IF($C$3:$C$29=$C31,R$3:R$29,""))</f>
        <v>14.75</v>
      </c>
      <c r="S31">
        <f t="array" ref="S31">MEDIAN(IF($C$3:$C$29=$C31,S$3:S$29,""))</f>
        <v>16.200000000000003</v>
      </c>
      <c r="T31">
        <f t="array" ref="T31">MEDIAN(IF($C$3:$C$29=$C31,T$3:T$29,""))</f>
        <v>20.05</v>
      </c>
      <c r="U31">
        <f t="array" ref="U31">MEDIAN(IF($C$3:$C$29=$C31,U$3:U$29,""))</f>
        <v>23.299999999999997</v>
      </c>
      <c r="V31">
        <f t="array" ref="V31">MEDIAN(IF($C$3:$C$29=$C31,V$3:V$29,""))</f>
        <v>21.95</v>
      </c>
      <c r="W31">
        <f t="array" ref="W31">MEDIAN(IF($C$3:$C$29=$C31,W$3:W$29,""))</f>
        <v>21.799999999999997</v>
      </c>
      <c r="X31">
        <f t="array" ref="X31">MEDIAN(IF($C$3:$C$29=$C31,X$3:X$29,""))</f>
        <v>17.75</v>
      </c>
      <c r="Y31">
        <f t="array" ref="Y31">MEDIAN(IF($C$3:$C$29=$C31,Y$3:Y$29,""))</f>
        <v>21.799999999999997</v>
      </c>
      <c r="Z31">
        <f t="array" ref="Z31">MEDIAN(IF($C$3:$C$29=$C31,Z$3:Z$29,""))</f>
        <v>22.65</v>
      </c>
      <c r="AA31">
        <f t="array" ref="AA31">MEDIAN(IF($C$3:$C$29=$C31,AA$3:AA$29,""))</f>
        <v>24.25</v>
      </c>
    </row>
    <row r="32" spans="1:27" x14ac:dyDescent="0.25">
      <c r="C32">
        <v>2</v>
      </c>
      <c r="D32">
        <f t="array" ref="D32">MEDIAN(IF($C$3:$C$29=$C32,D$3:D$29,""))</f>
        <v>25.450000000000003</v>
      </c>
      <c r="E32">
        <f t="array" ref="E32">MEDIAN(IF($C$3:$C$29=$C32,E$3:E$29,""))</f>
        <v>36.049999999999997</v>
      </c>
      <c r="F32">
        <f t="array" ref="F32">MEDIAN(IF($C$3:$C$29=$C32,F$3:F$29,""))</f>
        <v>35.35</v>
      </c>
      <c r="G32">
        <f t="array" ref="G32">MEDIAN(IF($C$3:$C$29=$C32,G$3:G$29,""))</f>
        <v>23.299999999999997</v>
      </c>
      <c r="H32">
        <f t="array" ref="H32">MEDIAN(IF($C$3:$C$29=$C32,H$3:H$29,""))</f>
        <v>24.1</v>
      </c>
      <c r="I32">
        <f t="array" ref="I32">MEDIAN(IF($C$3:$C$29=$C32,I$3:I$29,""))</f>
        <v>19.649999999999999</v>
      </c>
      <c r="J32">
        <f t="array" ref="J32">MEDIAN(IF($C$3:$C$29=$C32,J$3:J$29,""))</f>
        <v>20.799999999999997</v>
      </c>
      <c r="K32">
        <f t="array" ref="K32">MEDIAN(IF($C$3:$C$29=$C32,K$3:K$29,""))</f>
        <v>19.399999999999999</v>
      </c>
      <c r="L32">
        <f t="array" ref="L32">MEDIAN(IF($C$3:$C$29=$C32,L$3:L$29,""))</f>
        <v>18.299999999999997</v>
      </c>
      <c r="M32">
        <f t="array" ref="M32">MEDIAN(IF($C$3:$C$29=$C32,M$3:M$29,""))</f>
        <v>20.25</v>
      </c>
      <c r="N32">
        <f t="array" ref="N32">MEDIAN(IF($C$3:$C$29=$C32,N$3:N$29,""))</f>
        <v>19.100000000000001</v>
      </c>
      <c r="O32">
        <f t="array" ref="O32">MEDIAN(IF($C$3:$C$29=$C32,O$3:O$29,""))</f>
        <v>14.05</v>
      </c>
      <c r="P32">
        <f t="array" ref="P32">MEDIAN(IF($C$3:$C$29=$C32,P$3:P$29,""))</f>
        <v>18</v>
      </c>
      <c r="Q32">
        <f t="array" ref="Q32">MEDIAN(IF($C$3:$C$29=$C32,Q$3:Q$29,""))</f>
        <v>16.950000000000003</v>
      </c>
      <c r="R32">
        <f t="array" ref="R32">MEDIAN(IF($C$3:$C$29=$C32,R$3:R$29,""))</f>
        <v>17.75</v>
      </c>
      <c r="S32">
        <f t="array" ref="S32">MEDIAN(IF($C$3:$C$29=$C32,S$3:S$29,""))</f>
        <v>14.05</v>
      </c>
      <c r="T32">
        <f t="array" ref="T32">MEDIAN(IF($C$3:$C$29=$C32,T$3:T$29,""))</f>
        <v>19.5</v>
      </c>
      <c r="U32">
        <f t="array" ref="U32">MEDIAN(IF($C$3:$C$29=$C32,U$3:U$29,""))</f>
        <v>14.5</v>
      </c>
      <c r="V32">
        <f t="array" ref="V32">MEDIAN(IF($C$3:$C$29=$C32,V$3:V$29,""))</f>
        <v>17.600000000000001</v>
      </c>
      <c r="W32">
        <f t="array" ref="W32">MEDIAN(IF($C$3:$C$29=$C32,W$3:W$29,""))</f>
        <v>14.35</v>
      </c>
      <c r="X32">
        <f t="array" ref="X32">MEDIAN(IF($C$3:$C$29=$C32,X$3:X$29,""))</f>
        <v>18</v>
      </c>
      <c r="Y32">
        <f t="array" ref="Y32">MEDIAN(IF($C$3:$C$29=$C32,Y$3:Y$29,""))</f>
        <v>19.25</v>
      </c>
      <c r="Z32">
        <f t="array" ref="Z32">MEDIAN(IF($C$3:$C$29=$C32,Z$3:Z$29,""))</f>
        <v>17.25</v>
      </c>
      <c r="AA32">
        <f t="array" ref="AA32">MEDIAN(IF($C$3:$C$29=$C32,AA$3:AA$29,""))</f>
        <v>27.75</v>
      </c>
    </row>
    <row r="33" spans="3:27" x14ac:dyDescent="0.25">
      <c r="C33">
        <v>3</v>
      </c>
      <c r="D33">
        <f t="array" ref="D33">MEDIAN(IF($C$3:$C$29=$C33,D$3:D$29,""))</f>
        <v>24.55</v>
      </c>
      <c r="E33">
        <f t="array" ref="E33">MEDIAN(IF($C$3:$C$29=$C33,E$3:E$29,""))</f>
        <v>16.75</v>
      </c>
      <c r="F33">
        <f t="array" ref="F33">MEDIAN(IF($C$3:$C$29=$C33,F$3:F$29,""))</f>
        <v>0</v>
      </c>
      <c r="G33">
        <f t="array" ref="G33">MEDIAN(IF($C$3:$C$29=$C33,G$3:G$29,""))</f>
        <v>29.099999999999998</v>
      </c>
      <c r="H33">
        <f t="array" ref="H33">MEDIAN(IF($C$3:$C$29=$C33,H$3:H$29,""))</f>
        <v>23.6</v>
      </c>
      <c r="I33">
        <f t="array" ref="I33">MEDIAN(IF($C$3:$C$29=$C33,I$3:I$29,""))</f>
        <v>20.65</v>
      </c>
      <c r="J33">
        <f t="array" ref="J33">MEDIAN(IF($C$3:$C$29=$C33,J$3:J$29,""))</f>
        <v>14.3</v>
      </c>
      <c r="K33">
        <f t="array" ref="K33">MEDIAN(IF($C$3:$C$29=$C33,K$3:K$29,""))</f>
        <v>14.7</v>
      </c>
      <c r="L33">
        <f t="array" ref="L33">MEDIAN(IF($C$3:$C$29=$C33,L$3:L$29,""))</f>
        <v>16.149999999999999</v>
      </c>
      <c r="M33">
        <f t="array" ref="M33">MEDIAN(IF($C$3:$C$29=$C33,M$3:M$29,""))</f>
        <v>18.55</v>
      </c>
      <c r="N33">
        <f t="array" ref="N33">MEDIAN(IF($C$3:$C$29=$C33,N$3:N$29,""))</f>
        <v>17.2</v>
      </c>
      <c r="O33">
        <f t="array" ref="O33">MEDIAN(IF($C$3:$C$29=$C33,O$3:O$29,""))</f>
        <v>19.5</v>
      </c>
      <c r="P33">
        <f t="array" ref="P33">MEDIAN(IF($C$3:$C$29=$C33,P$3:P$29,""))</f>
        <v>17.799999999999997</v>
      </c>
      <c r="Q33">
        <f t="array" ref="Q33">MEDIAN(IF($C$3:$C$29=$C33,Q$3:Q$29,""))</f>
        <v>14.850000000000001</v>
      </c>
      <c r="R33">
        <f t="array" ref="R33">MEDIAN(IF($C$3:$C$29=$C33,R$3:R$29,""))</f>
        <v>19</v>
      </c>
      <c r="S33">
        <f t="array" ref="S33">MEDIAN(IF($C$3:$C$29=$C33,S$3:S$29,""))</f>
        <v>20.6</v>
      </c>
      <c r="T33">
        <f t="array" ref="T33">MEDIAN(IF($C$3:$C$29=$C33,T$3:T$29,""))</f>
        <v>14.1</v>
      </c>
      <c r="U33">
        <f t="array" ref="U33">MEDIAN(IF($C$3:$C$29=$C33,U$3:U$29,""))</f>
        <v>16.55</v>
      </c>
      <c r="V33">
        <f t="array" ref="V33">MEDIAN(IF($C$3:$C$29=$C33,V$3:V$29,""))</f>
        <v>15.4</v>
      </c>
      <c r="W33">
        <f t="array" ref="W33">MEDIAN(IF($C$3:$C$29=$C33,W$3:W$29,""))</f>
        <v>18.5</v>
      </c>
      <c r="X33">
        <f t="array" ref="X33">MEDIAN(IF($C$3:$C$29=$C33,X$3:X$29,""))</f>
        <v>16.8</v>
      </c>
      <c r="Y33">
        <f t="array" ref="Y33">MEDIAN(IF($C$3:$C$29=$C33,Y$3:Y$29,""))</f>
        <v>18.25</v>
      </c>
      <c r="Z33">
        <f t="array" ref="Z33">MEDIAN(IF($C$3:$C$29=$C33,Z$3:Z$29,""))</f>
        <v>22.549999999999997</v>
      </c>
      <c r="AA33">
        <f t="array" ref="AA33">MEDIAN(IF($C$3:$C$29=$C33,AA$3:AA$29,""))</f>
        <v>23.75</v>
      </c>
    </row>
    <row r="34" spans="3:27" x14ac:dyDescent="0.25">
      <c r="C34">
        <v>4</v>
      </c>
      <c r="D34">
        <f t="array" ref="D34">MEDIAN(IF($C$3:$C$29=$C34,D$3:D$29,""))</f>
        <v>29.9</v>
      </c>
      <c r="E34">
        <f t="array" ref="E34">MEDIAN(IF($C$3:$C$29=$C34,E$3:E$29,""))</f>
        <v>36.75</v>
      </c>
      <c r="F34">
        <f t="array" ref="F34">MEDIAN(IF($C$3:$C$29=$C34,F$3:F$29,""))</f>
        <v>0</v>
      </c>
      <c r="G34">
        <f t="array" ref="G34">MEDIAN(IF($C$3:$C$29=$C34,G$3:G$29,""))</f>
        <v>27.3</v>
      </c>
      <c r="H34">
        <f t="array" ref="H34">MEDIAN(IF($C$3:$C$29=$C34,H$3:H$29,""))</f>
        <v>24.1</v>
      </c>
      <c r="I34">
        <f t="array" ref="I34">MEDIAN(IF($C$3:$C$29=$C34,I$3:I$29,""))</f>
        <v>21.15</v>
      </c>
      <c r="J34">
        <f t="array" ref="J34">MEDIAN(IF($C$3:$C$29=$C34,J$3:J$29,""))</f>
        <v>14.8</v>
      </c>
      <c r="K34">
        <f t="array" ref="K34">MEDIAN(IF($C$3:$C$29=$C34,K$3:K$29,""))</f>
        <v>11.4</v>
      </c>
      <c r="L34">
        <f t="array" ref="L34">MEDIAN(IF($C$3:$C$29=$C34,L$3:L$29,""))</f>
        <v>15.25</v>
      </c>
      <c r="M34">
        <f t="array" ref="M34">MEDIAN(IF($C$3:$C$29=$C34,M$3:M$29,""))</f>
        <v>17.649999999999999</v>
      </c>
      <c r="N34">
        <f t="array" ref="N34">MEDIAN(IF($C$3:$C$29=$C34,N$3:N$29,""))</f>
        <v>18.399999999999999</v>
      </c>
      <c r="O34">
        <f t="array" ref="O34">MEDIAN(IF($C$3:$C$29=$C34,O$3:O$29,""))</f>
        <v>20.700000000000003</v>
      </c>
      <c r="P34">
        <f t="array" ref="P34">MEDIAN(IF($C$3:$C$29=$C34,P$3:P$29,""))</f>
        <v>18.45</v>
      </c>
      <c r="Q34">
        <f t="array" ref="Q34">MEDIAN(IF($C$3:$C$29=$C34,Q$3:Q$29,""))</f>
        <v>13.95</v>
      </c>
      <c r="R34">
        <f t="array" ref="R34">MEDIAN(IF($C$3:$C$29=$C34,R$3:R$29,""))</f>
        <v>20.149999999999999</v>
      </c>
      <c r="S34">
        <f t="array" ref="S34">MEDIAN(IF($C$3:$C$29=$C34,S$3:S$29,""))</f>
        <v>18.75</v>
      </c>
      <c r="T34">
        <f t="array" ref="T34">MEDIAN(IF($C$3:$C$29=$C34,T$3:T$29,""))</f>
        <v>15.899999999999999</v>
      </c>
      <c r="U34">
        <f t="array" ref="U34">MEDIAN(IF($C$3:$C$29=$C34,U$3:U$29,""))</f>
        <v>18</v>
      </c>
      <c r="V34">
        <f t="array" ref="V34">MEDIAN(IF($C$3:$C$29=$C34,V$3:V$29,""))</f>
        <v>14.55</v>
      </c>
      <c r="W34">
        <f t="array" ref="W34">MEDIAN(IF($C$3:$C$29=$C34,W$3:W$29,""))</f>
        <v>16.149999999999999</v>
      </c>
      <c r="X34">
        <f t="array" ref="X34">MEDIAN(IF($C$3:$C$29=$C34,X$3:X$29,""))</f>
        <v>23.15</v>
      </c>
      <c r="Y34">
        <f t="array" ref="Y34">MEDIAN(IF($C$3:$C$29=$C34,Y$3:Y$29,""))</f>
        <v>19.7</v>
      </c>
      <c r="Z34">
        <f t="array" ref="Z34">MEDIAN(IF($C$3:$C$29=$C34,Z$3:Z$29,""))</f>
        <v>18.049999999999997</v>
      </c>
      <c r="AA34">
        <f t="array" ref="AA34">MEDIAN(IF($C$3:$C$29=$C34,AA$3:AA$29,""))</f>
        <v>22.549999999999997</v>
      </c>
    </row>
    <row r="35" spans="3:27" x14ac:dyDescent="0.25">
      <c r="C35">
        <v>5</v>
      </c>
      <c r="D35">
        <f t="array" ref="D35">MEDIAN(IF($C$3:$C$29=$C35,D$3:D$29,""))</f>
        <v>26.25</v>
      </c>
      <c r="E35">
        <f t="array" ref="E35">MEDIAN(IF($C$3:$C$29=$C35,E$3:E$29,""))</f>
        <v>34.5</v>
      </c>
      <c r="F35">
        <f t="array" ref="F35">MEDIAN(IF($C$3:$C$29=$C35,F$3:F$29,""))</f>
        <v>0</v>
      </c>
      <c r="G35">
        <f t="array" ref="G35">MEDIAN(IF($C$3:$C$29=$C35,G$3:G$29,""))</f>
        <v>20.5</v>
      </c>
      <c r="H35">
        <f t="array" ref="H35">MEDIAN(IF($C$3:$C$29=$C35,H$3:H$29,""))</f>
        <v>20.100000000000001</v>
      </c>
      <c r="I35">
        <f t="array" ref="I35">MEDIAN(IF($C$3:$C$29=$C35,I$3:I$29,""))</f>
        <v>19.649999999999999</v>
      </c>
      <c r="J35">
        <f t="array" ref="J35">MEDIAN(IF($C$3:$C$29=$C35,J$3:J$29,""))</f>
        <v>16.149999999999999</v>
      </c>
      <c r="K35">
        <f t="array" ref="K35">MEDIAN(IF($C$3:$C$29=$C35,K$3:K$29,""))</f>
        <v>14.6</v>
      </c>
      <c r="L35">
        <f t="array" ref="L35">MEDIAN(IF($C$3:$C$29=$C35,L$3:L$29,""))</f>
        <v>14.4</v>
      </c>
      <c r="M35">
        <f t="array" ref="M35">MEDIAN(IF($C$3:$C$29=$C35,M$3:M$29,""))</f>
        <v>17.7</v>
      </c>
      <c r="N35">
        <f t="array" ref="N35">MEDIAN(IF($C$3:$C$29=$C35,N$3:N$29,""))</f>
        <v>17.100000000000001</v>
      </c>
      <c r="O35">
        <f t="array" ref="O35">MEDIAN(IF($C$3:$C$29=$C35,O$3:O$29,""))</f>
        <v>18.049999999999997</v>
      </c>
      <c r="P35">
        <f t="array" ref="P35">MEDIAN(IF($C$3:$C$29=$C35,P$3:P$29,""))</f>
        <v>17.5</v>
      </c>
      <c r="Q35">
        <f t="array" ref="Q35">MEDIAN(IF($C$3:$C$29=$C35,Q$3:Q$29,""))</f>
        <v>16.700000000000003</v>
      </c>
      <c r="R35">
        <f t="array" ref="R35">MEDIAN(IF($C$3:$C$29=$C35,R$3:R$29,""))</f>
        <v>15.55</v>
      </c>
      <c r="S35">
        <f t="array" ref="S35">MEDIAN(IF($C$3:$C$29=$C35,S$3:S$29,""))</f>
        <v>17</v>
      </c>
      <c r="T35">
        <f t="array" ref="T35">MEDIAN(IF($C$3:$C$29=$C35,T$3:T$29,""))</f>
        <v>15.149999999999999</v>
      </c>
      <c r="U35">
        <f t="array" ref="U35">MEDIAN(IF($C$3:$C$29=$C35,U$3:U$29,""))</f>
        <v>15.850000000000001</v>
      </c>
      <c r="V35">
        <f t="array" ref="V35">MEDIAN(IF($C$3:$C$29=$C35,V$3:V$29,""))</f>
        <v>12.95</v>
      </c>
      <c r="W35">
        <f t="array" ref="W35">MEDIAN(IF($C$3:$C$29=$C35,W$3:W$29,""))</f>
        <v>18.3</v>
      </c>
      <c r="X35">
        <f t="array" ref="X35">MEDIAN(IF($C$3:$C$29=$C35,X$3:X$29,""))</f>
        <v>16.149999999999999</v>
      </c>
      <c r="Y35">
        <f t="array" ref="Y35">MEDIAN(IF($C$3:$C$29=$C35,Y$3:Y$29,""))</f>
        <v>20</v>
      </c>
      <c r="Z35">
        <f t="array" ref="Z35">MEDIAN(IF($C$3:$C$29=$C35,Z$3:Z$29,""))</f>
        <v>18.899999999999999</v>
      </c>
      <c r="AA35">
        <f t="array" ref="AA35">MEDIAN(IF($C$3:$C$29=$C35,AA$3:AA$29,""))</f>
        <v>24.450000000000003</v>
      </c>
    </row>
    <row r="36" spans="3:27" x14ac:dyDescent="0.25">
      <c r="C36">
        <v>6</v>
      </c>
      <c r="D36">
        <f t="array" ref="D36">MEDIAN(IF($C$3:$C$29=$C36,D$3:D$29,""))</f>
        <v>29</v>
      </c>
      <c r="E36">
        <f t="array" ref="E36">MEDIAN(IF($C$3:$C$29=$C36,E$3:E$29,""))</f>
        <v>43.2</v>
      </c>
      <c r="F36">
        <f t="array" ref="F36">MEDIAN(IF($C$3:$C$29=$C36,F$3:F$29,""))</f>
        <v>0</v>
      </c>
      <c r="G36">
        <f t="array" ref="G36">MEDIAN(IF($C$3:$C$29=$C36,G$3:G$29,""))</f>
        <v>21.7</v>
      </c>
      <c r="H36">
        <f t="array" ref="H36">MEDIAN(IF($C$3:$C$29=$C36,H$3:H$29,""))</f>
        <v>22.3</v>
      </c>
      <c r="I36">
        <f t="array" ref="I36">MEDIAN(IF($C$3:$C$29=$C36,I$3:I$29,""))</f>
        <v>22.2</v>
      </c>
      <c r="J36">
        <f t="array" ref="J36">MEDIAN(IF($C$3:$C$29=$C36,J$3:J$29,""))</f>
        <v>16.899999999999999</v>
      </c>
      <c r="K36">
        <f t="array" ref="K36">MEDIAN(IF($C$3:$C$29=$C36,K$3:K$29,""))</f>
        <v>19</v>
      </c>
      <c r="L36">
        <f t="array" ref="L36">MEDIAN(IF($C$3:$C$29=$C36,L$3:L$29,""))</f>
        <v>15.7</v>
      </c>
      <c r="M36">
        <f t="array" ref="M36">MEDIAN(IF($C$3:$C$29=$C36,M$3:M$29,""))</f>
        <v>18.3</v>
      </c>
      <c r="N36">
        <f t="array" ref="N36">MEDIAN(IF($C$3:$C$29=$C36,N$3:N$29,""))</f>
        <v>13.4</v>
      </c>
      <c r="O36">
        <f t="array" ref="O36">MEDIAN(IF($C$3:$C$29=$C36,O$3:O$29,""))</f>
        <v>16.899999999999999</v>
      </c>
      <c r="P36">
        <f t="array" ref="P36">MEDIAN(IF($C$3:$C$29=$C36,P$3:P$29,""))</f>
        <v>17.399999999999999</v>
      </c>
      <c r="Q36">
        <f t="array" ref="Q36">MEDIAN(IF($C$3:$C$29=$C36,Q$3:Q$29,""))</f>
        <v>18.3</v>
      </c>
      <c r="R36">
        <f t="array" ref="R36">MEDIAN(IF($C$3:$C$29=$C36,R$3:R$29,""))</f>
        <v>16.7</v>
      </c>
      <c r="S36">
        <f t="array" ref="S36">MEDIAN(IF($C$3:$C$29=$C36,S$3:S$29,""))</f>
        <v>18.7</v>
      </c>
      <c r="T36">
        <f t="array" ref="T36">MEDIAN(IF($C$3:$C$29=$C36,T$3:T$29,""))</f>
        <v>16.100000000000001</v>
      </c>
      <c r="U36">
        <f t="array" ref="U36">MEDIAN(IF($C$3:$C$29=$C36,U$3:U$29,""))</f>
        <v>18.899999999999999</v>
      </c>
      <c r="V36">
        <f t="array" ref="V36">MEDIAN(IF($C$3:$C$29=$C36,V$3:V$29,""))</f>
        <v>15.6</v>
      </c>
      <c r="W36">
        <f t="array" ref="W36">MEDIAN(IF($C$3:$C$29=$C36,W$3:W$29,""))</f>
        <v>13.6</v>
      </c>
      <c r="X36">
        <f t="array" ref="X36">MEDIAN(IF($C$3:$C$29=$C36,X$3:X$29,""))</f>
        <v>15.3</v>
      </c>
      <c r="Y36">
        <f t="array" ref="Y36">MEDIAN(IF($C$3:$C$29=$C36,Y$3:Y$29,""))</f>
        <v>15.1</v>
      </c>
      <c r="Z36">
        <f t="array" ref="Z36">MEDIAN(IF($C$3:$C$29=$C36,Z$3:Z$29,""))</f>
        <v>22.2</v>
      </c>
      <c r="AA36">
        <f t="array" ref="AA36">MEDIAN(IF($C$3:$C$29=$C36,AA$3:AA$29,""))</f>
        <v>24</v>
      </c>
    </row>
    <row r="37" spans="3:27" x14ac:dyDescent="0.25">
      <c r="C37">
        <v>7</v>
      </c>
      <c r="D37">
        <f t="array" ref="D37">MEDIAN(IF($C$3:$C$29=$C37,D$3:D$29,""))</f>
        <v>27.65</v>
      </c>
      <c r="E37">
        <f t="array" ref="E37">MEDIAN(IF($C$3:$C$29=$C37,E$3:E$29,""))</f>
        <v>40.349999999999994</v>
      </c>
      <c r="F37">
        <f t="array" ref="F37">MEDIAN(IF($C$3:$C$29=$C37,F$3:F$29,""))</f>
        <v>38.9</v>
      </c>
      <c r="G37">
        <f t="array" ref="G37">MEDIAN(IF($C$3:$C$29=$C37,G$3:G$29,""))</f>
        <v>19.25</v>
      </c>
      <c r="H37">
        <f t="array" ref="H37">MEDIAN(IF($C$3:$C$29=$C37,H$3:H$29,""))</f>
        <v>24.049999999999997</v>
      </c>
      <c r="I37">
        <f t="array" ref="I37">MEDIAN(IF($C$3:$C$29=$C37,I$3:I$29,""))</f>
        <v>18.850000000000001</v>
      </c>
      <c r="J37">
        <f t="array" ref="J37">MEDIAN(IF($C$3:$C$29=$C37,J$3:J$29,""))</f>
        <v>16.700000000000003</v>
      </c>
      <c r="K37">
        <f t="array" ref="K37">MEDIAN(IF($C$3:$C$29=$C37,K$3:K$29,""))</f>
        <v>13.85</v>
      </c>
      <c r="L37">
        <f t="array" ref="L37">MEDIAN(IF($C$3:$C$29=$C37,L$3:L$29,""))</f>
        <v>15.95</v>
      </c>
      <c r="M37">
        <f t="array" ref="M37">MEDIAN(IF($C$3:$C$29=$C37,M$3:M$29,""))</f>
        <v>18.399999999999999</v>
      </c>
      <c r="N37">
        <f t="array" ref="N37">MEDIAN(IF($C$3:$C$29=$C37,N$3:N$29,""))</f>
        <v>16.75</v>
      </c>
      <c r="O37">
        <f t="array" ref="O37">MEDIAN(IF($C$3:$C$29=$C37,O$3:O$29,""))</f>
        <v>21.75</v>
      </c>
      <c r="P37">
        <f t="array" ref="P37">MEDIAN(IF($C$3:$C$29=$C37,P$3:P$29,""))</f>
        <v>17.5</v>
      </c>
      <c r="Q37">
        <f t="array" ref="Q37">MEDIAN(IF($C$3:$C$29=$C37,Q$3:Q$29,""))</f>
        <v>17.25</v>
      </c>
      <c r="R37">
        <f t="array" ref="R37">MEDIAN(IF($C$3:$C$29=$C37,R$3:R$29,""))</f>
        <v>19.25</v>
      </c>
      <c r="S37">
        <f t="array" ref="S37">MEDIAN(IF($C$3:$C$29=$C37,S$3:S$29,""))</f>
        <v>17.100000000000001</v>
      </c>
      <c r="T37">
        <f t="array" ref="T37">MEDIAN(IF($C$3:$C$29=$C37,T$3:T$29,""))</f>
        <v>15.95</v>
      </c>
      <c r="U37">
        <f t="array" ref="U37">MEDIAN(IF($C$3:$C$29=$C37,U$3:U$29,""))</f>
        <v>17.5</v>
      </c>
      <c r="V37">
        <f t="array" ref="V37">MEDIAN(IF($C$3:$C$29=$C37,V$3:V$29,""))</f>
        <v>17.7</v>
      </c>
      <c r="W37">
        <f t="array" ref="W37">MEDIAN(IF($C$3:$C$29=$C37,W$3:W$29,""))</f>
        <v>16.850000000000001</v>
      </c>
      <c r="X37">
        <f t="array" ref="X37">MEDIAN(IF($C$3:$C$29=$C37,X$3:X$29,""))</f>
        <v>16.850000000000001</v>
      </c>
      <c r="Y37">
        <f t="array" ref="Y37">MEDIAN(IF($C$3:$C$29=$C37,Y$3:Y$29,""))</f>
        <v>18.899999999999999</v>
      </c>
      <c r="Z37">
        <f t="array" ref="Z37">MEDIAN(IF($C$3:$C$29=$C37,Z$3:Z$29,""))</f>
        <v>19.5</v>
      </c>
      <c r="AA37">
        <f t="array" ref="AA37">MEDIAN(IF($C$3:$C$29=$C37,AA$3:AA$29,""))</f>
        <v>18.700000000000003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5"/>
  <dimension ref="A1:AA37"/>
  <sheetViews>
    <sheetView workbookViewId="0">
      <selection activeCell="G31" sqref="G31:G37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24.6</v>
      </c>
      <c r="H3">
        <v>26.6</v>
      </c>
      <c r="I3">
        <v>24.9</v>
      </c>
      <c r="J3">
        <v>24.3</v>
      </c>
      <c r="K3">
        <v>15.3</v>
      </c>
      <c r="L3">
        <v>17.100000000000001</v>
      </c>
      <c r="M3">
        <v>19.899999999999999</v>
      </c>
      <c r="N3">
        <v>23.4</v>
      </c>
      <c r="O3">
        <v>24.1</v>
      </c>
      <c r="P3">
        <v>22</v>
      </c>
      <c r="Q3">
        <v>18.899999999999999</v>
      </c>
      <c r="R3">
        <v>18</v>
      </c>
      <c r="S3">
        <v>22.8</v>
      </c>
      <c r="T3">
        <v>21.4</v>
      </c>
      <c r="U3">
        <v>23.4</v>
      </c>
      <c r="V3">
        <v>16.899999999999999</v>
      </c>
      <c r="W3">
        <v>20.3</v>
      </c>
      <c r="X3">
        <v>23.8</v>
      </c>
      <c r="Y3">
        <v>24.7</v>
      </c>
      <c r="Z3">
        <v>26.8</v>
      </c>
      <c r="AA3">
        <v>27.6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27</v>
      </c>
      <c r="H4">
        <v>33.5</v>
      </c>
      <c r="I4">
        <v>26.3</v>
      </c>
      <c r="J4">
        <v>22.2</v>
      </c>
      <c r="K4">
        <v>25.6</v>
      </c>
      <c r="L4">
        <v>20.3</v>
      </c>
      <c r="M4">
        <v>22</v>
      </c>
      <c r="N4">
        <v>22</v>
      </c>
      <c r="O4">
        <v>20.8</v>
      </c>
      <c r="P4">
        <v>19.399999999999999</v>
      </c>
      <c r="Q4">
        <v>27.7</v>
      </c>
      <c r="R4">
        <v>17.7</v>
      </c>
      <c r="S4">
        <v>23.7</v>
      </c>
      <c r="T4">
        <v>31.9</v>
      </c>
      <c r="U4">
        <v>18.8</v>
      </c>
      <c r="V4">
        <v>18.899999999999999</v>
      </c>
      <c r="W4">
        <v>25.4</v>
      </c>
      <c r="X4">
        <v>18.899999999999999</v>
      </c>
      <c r="Y4">
        <v>38.5</v>
      </c>
      <c r="Z4">
        <v>27.1</v>
      </c>
      <c r="AA4">
        <v>32.1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31.7</v>
      </c>
      <c r="E5">
        <v>38.5</v>
      </c>
      <c r="H5">
        <v>12.7</v>
      </c>
      <c r="I5">
        <v>23.6</v>
      </c>
      <c r="J5">
        <v>17.899999999999999</v>
      </c>
      <c r="K5">
        <v>25.3</v>
      </c>
      <c r="L5">
        <v>21.1</v>
      </c>
      <c r="M5">
        <v>17.2</v>
      </c>
      <c r="N5">
        <v>14.7</v>
      </c>
      <c r="O5">
        <v>14.4</v>
      </c>
      <c r="P5">
        <v>13.8</v>
      </c>
      <c r="Q5">
        <v>16.2</v>
      </c>
      <c r="R5">
        <v>16.3</v>
      </c>
      <c r="S5">
        <v>14</v>
      </c>
      <c r="T5">
        <v>19.899999999999999</v>
      </c>
      <c r="U5">
        <v>24.5</v>
      </c>
      <c r="V5">
        <v>27</v>
      </c>
      <c r="W5">
        <v>27.7</v>
      </c>
      <c r="X5">
        <v>25.8</v>
      </c>
      <c r="Y5">
        <v>24.3</v>
      </c>
      <c r="Z5">
        <v>28.3</v>
      </c>
      <c r="AA5">
        <v>28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22.2</v>
      </c>
      <c r="H6">
        <v>25.9</v>
      </c>
      <c r="I6">
        <v>24.1</v>
      </c>
      <c r="J6">
        <v>16.7</v>
      </c>
      <c r="K6">
        <v>15.6</v>
      </c>
      <c r="L6">
        <v>19.899999999999999</v>
      </c>
      <c r="M6">
        <v>23.1</v>
      </c>
      <c r="N6">
        <v>18.600000000000001</v>
      </c>
      <c r="O6">
        <v>27.1</v>
      </c>
      <c r="P6">
        <v>19.7</v>
      </c>
      <c r="Q6">
        <v>27</v>
      </c>
      <c r="R6">
        <v>20.6</v>
      </c>
      <c r="S6">
        <v>22.3</v>
      </c>
      <c r="T6">
        <v>17.600000000000001</v>
      </c>
      <c r="U6">
        <v>22.2</v>
      </c>
      <c r="V6">
        <v>21.8</v>
      </c>
      <c r="W6">
        <v>20.7</v>
      </c>
      <c r="X6">
        <v>28</v>
      </c>
      <c r="Y6">
        <v>20.2</v>
      </c>
      <c r="Z6">
        <v>28.8</v>
      </c>
      <c r="AA6">
        <v>29.9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19.100000000000001</v>
      </c>
      <c r="H7">
        <v>26.7</v>
      </c>
      <c r="I7">
        <v>23</v>
      </c>
      <c r="J7">
        <v>13.3</v>
      </c>
      <c r="K7">
        <v>15.8</v>
      </c>
      <c r="L7">
        <v>18.3</v>
      </c>
      <c r="M7">
        <v>22.7</v>
      </c>
      <c r="N7">
        <v>18.8</v>
      </c>
      <c r="O7">
        <v>19.100000000000001</v>
      </c>
      <c r="P7">
        <v>20.8</v>
      </c>
      <c r="Q7">
        <v>23.4</v>
      </c>
      <c r="R7">
        <v>21.2</v>
      </c>
      <c r="S7">
        <v>20.3</v>
      </c>
      <c r="T7">
        <v>23.3</v>
      </c>
      <c r="U7">
        <v>16.3</v>
      </c>
      <c r="V7">
        <v>16.899999999999999</v>
      </c>
      <c r="W7">
        <v>19.5</v>
      </c>
      <c r="X7">
        <v>25.9</v>
      </c>
      <c r="Y7">
        <v>22.7</v>
      </c>
      <c r="Z7">
        <v>24.4</v>
      </c>
      <c r="AA7">
        <v>30.7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24.6</v>
      </c>
      <c r="H8">
        <v>25.1</v>
      </c>
      <c r="I8">
        <v>22</v>
      </c>
      <c r="J8">
        <v>14.4</v>
      </c>
      <c r="K8">
        <v>16.600000000000001</v>
      </c>
      <c r="L8">
        <v>19</v>
      </c>
      <c r="M8">
        <v>18</v>
      </c>
      <c r="N8">
        <v>23.4</v>
      </c>
      <c r="O8">
        <v>23.5</v>
      </c>
      <c r="P8">
        <v>20.9</v>
      </c>
      <c r="Q8">
        <v>19.100000000000001</v>
      </c>
      <c r="R8">
        <v>25.2</v>
      </c>
      <c r="S8">
        <v>20.7</v>
      </c>
      <c r="T8">
        <v>18</v>
      </c>
      <c r="U8">
        <v>18.600000000000001</v>
      </c>
      <c r="V8">
        <v>8</v>
      </c>
      <c r="W8">
        <v>25.3</v>
      </c>
      <c r="X8">
        <v>27.1</v>
      </c>
      <c r="Y8">
        <v>31</v>
      </c>
      <c r="Z8">
        <v>25.9</v>
      </c>
      <c r="AA8">
        <v>22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27.1</v>
      </c>
      <c r="H9">
        <v>22.2</v>
      </c>
      <c r="I9">
        <v>24.3</v>
      </c>
      <c r="J9">
        <v>20.100000000000001</v>
      </c>
      <c r="K9">
        <v>16.600000000000001</v>
      </c>
      <c r="L9">
        <v>21.3</v>
      </c>
      <c r="M9">
        <v>18.2</v>
      </c>
      <c r="N9">
        <v>20.399999999999999</v>
      </c>
      <c r="O9">
        <v>27.1</v>
      </c>
      <c r="P9">
        <v>18.899999999999999</v>
      </c>
      <c r="Q9">
        <v>24.6</v>
      </c>
      <c r="R9">
        <v>20.8</v>
      </c>
      <c r="S9">
        <v>23.8</v>
      </c>
      <c r="T9">
        <v>21.3</v>
      </c>
      <c r="U9">
        <v>17.2</v>
      </c>
      <c r="V9">
        <v>17.899999999999999</v>
      </c>
      <c r="W9">
        <v>22</v>
      </c>
      <c r="X9">
        <v>29.3</v>
      </c>
      <c r="Y9">
        <v>17.8</v>
      </c>
      <c r="Z9">
        <v>24.3</v>
      </c>
      <c r="AA9">
        <v>27.7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28.7</v>
      </c>
      <c r="H10">
        <v>27.9</v>
      </c>
      <c r="I10">
        <v>22.3</v>
      </c>
      <c r="J10">
        <v>15.2</v>
      </c>
      <c r="K10">
        <v>17.600000000000001</v>
      </c>
      <c r="L10">
        <v>18.100000000000001</v>
      </c>
      <c r="M10">
        <v>22.2</v>
      </c>
      <c r="N10">
        <v>22.5</v>
      </c>
      <c r="O10">
        <v>23.2</v>
      </c>
      <c r="P10">
        <v>13.8</v>
      </c>
      <c r="Q10">
        <v>18.399999999999999</v>
      </c>
      <c r="R10">
        <v>23</v>
      </c>
      <c r="S10">
        <v>21.2</v>
      </c>
      <c r="T10">
        <v>25.8</v>
      </c>
      <c r="U10">
        <v>18.899999999999999</v>
      </c>
      <c r="V10">
        <v>18.899999999999999</v>
      </c>
      <c r="W10">
        <v>16.600000000000001</v>
      </c>
      <c r="X10">
        <v>21.9</v>
      </c>
      <c r="Y10">
        <v>30.5</v>
      </c>
      <c r="Z10">
        <v>27.5</v>
      </c>
      <c r="AA10">
        <v>31.9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21.7</v>
      </c>
      <c r="H11">
        <v>29.3</v>
      </c>
      <c r="I11">
        <v>28.3</v>
      </c>
      <c r="J11">
        <v>23.8</v>
      </c>
      <c r="K11">
        <v>19.5</v>
      </c>
      <c r="L11">
        <v>23.5</v>
      </c>
      <c r="M11">
        <v>25</v>
      </c>
      <c r="N11">
        <v>25.4</v>
      </c>
      <c r="O11">
        <v>22.2</v>
      </c>
      <c r="P11">
        <v>17.100000000000001</v>
      </c>
      <c r="Q11">
        <v>14.5</v>
      </c>
      <c r="R11">
        <v>19.2</v>
      </c>
      <c r="S11">
        <v>18.5</v>
      </c>
      <c r="T11">
        <v>19.100000000000001</v>
      </c>
      <c r="U11">
        <v>29.7</v>
      </c>
      <c r="V11">
        <v>23.1</v>
      </c>
      <c r="W11">
        <v>29.6</v>
      </c>
      <c r="X11">
        <v>21.7</v>
      </c>
      <c r="Y11">
        <v>36.5</v>
      </c>
      <c r="Z11">
        <v>32.9</v>
      </c>
      <c r="AA11">
        <v>33.6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29.4</v>
      </c>
      <c r="E12">
        <v>39.6</v>
      </c>
      <c r="H12">
        <v>18.8</v>
      </c>
      <c r="I12">
        <v>21.1</v>
      </c>
      <c r="J12">
        <v>20.9</v>
      </c>
      <c r="K12">
        <v>16.399999999999999</v>
      </c>
      <c r="L12">
        <v>16.600000000000001</v>
      </c>
      <c r="M12">
        <v>15.9</v>
      </c>
      <c r="N12">
        <v>14.1</v>
      </c>
      <c r="O12">
        <v>14.9</v>
      </c>
      <c r="P12">
        <v>14.9</v>
      </c>
      <c r="Q12">
        <v>14.1</v>
      </c>
      <c r="R12">
        <v>15.9</v>
      </c>
      <c r="S12">
        <v>14.5</v>
      </c>
      <c r="T12">
        <v>24.7</v>
      </c>
      <c r="U12">
        <v>18</v>
      </c>
      <c r="V12">
        <v>25.3</v>
      </c>
      <c r="W12">
        <v>17.8</v>
      </c>
      <c r="X12">
        <v>28.7</v>
      </c>
      <c r="Y12">
        <v>25.6</v>
      </c>
      <c r="Z12">
        <v>24.9</v>
      </c>
      <c r="AA12">
        <v>26.8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21.6</v>
      </c>
      <c r="H13">
        <v>22.3</v>
      </c>
      <c r="I13">
        <v>22.6</v>
      </c>
      <c r="J13">
        <v>15.1</v>
      </c>
      <c r="K13">
        <v>16.8</v>
      </c>
      <c r="L13">
        <v>22</v>
      </c>
      <c r="M13">
        <v>18.600000000000001</v>
      </c>
      <c r="N13">
        <v>23.9</v>
      </c>
      <c r="O13">
        <v>29.9</v>
      </c>
      <c r="P13">
        <v>18.5</v>
      </c>
      <c r="Q13">
        <v>20.5</v>
      </c>
      <c r="R13">
        <v>25.9</v>
      </c>
      <c r="S13">
        <v>21.7</v>
      </c>
      <c r="T13">
        <v>18.2</v>
      </c>
      <c r="U13">
        <v>25.5</v>
      </c>
      <c r="V13">
        <v>20.5</v>
      </c>
      <c r="W13">
        <v>19.100000000000001</v>
      </c>
      <c r="X13">
        <v>19.3</v>
      </c>
      <c r="Y13">
        <v>24.2</v>
      </c>
      <c r="Z13">
        <v>27</v>
      </c>
      <c r="AA13">
        <v>27.2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22.3</v>
      </c>
      <c r="H14">
        <v>26</v>
      </c>
      <c r="I14">
        <v>22.1</v>
      </c>
      <c r="J14">
        <v>14.3</v>
      </c>
      <c r="K14">
        <v>17.8</v>
      </c>
      <c r="L14">
        <v>20.8</v>
      </c>
      <c r="M14">
        <v>18.899999999999999</v>
      </c>
      <c r="N14">
        <v>21.3</v>
      </c>
      <c r="O14">
        <v>20.399999999999999</v>
      </c>
      <c r="P14">
        <v>16.2</v>
      </c>
      <c r="Q14">
        <v>19.8</v>
      </c>
      <c r="R14">
        <v>16.2</v>
      </c>
      <c r="S14">
        <v>21.3</v>
      </c>
      <c r="T14">
        <v>20.8</v>
      </c>
      <c r="U14">
        <v>16.8</v>
      </c>
      <c r="V14">
        <v>16.3</v>
      </c>
      <c r="W14">
        <v>21.5</v>
      </c>
      <c r="X14">
        <v>19</v>
      </c>
      <c r="Y14">
        <v>22.2</v>
      </c>
      <c r="Z14">
        <v>27.3</v>
      </c>
      <c r="AA14">
        <v>27.9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29.2</v>
      </c>
      <c r="H15">
        <v>27.6</v>
      </c>
      <c r="I15">
        <v>21.9</v>
      </c>
      <c r="J15">
        <v>14.7</v>
      </c>
      <c r="K15">
        <v>16.7</v>
      </c>
      <c r="L15">
        <v>17.899999999999999</v>
      </c>
      <c r="M15">
        <v>24.6</v>
      </c>
      <c r="N15">
        <v>18.399999999999999</v>
      </c>
      <c r="O15">
        <v>28</v>
      </c>
      <c r="P15">
        <v>20.399999999999999</v>
      </c>
      <c r="Q15">
        <v>29.1</v>
      </c>
      <c r="R15">
        <v>23.7</v>
      </c>
      <c r="S15">
        <v>20.8</v>
      </c>
      <c r="T15">
        <v>22.8</v>
      </c>
      <c r="U15">
        <v>16.899999999999999</v>
      </c>
      <c r="V15">
        <v>16.899999999999999</v>
      </c>
      <c r="W15">
        <v>27</v>
      </c>
      <c r="X15">
        <v>28.2</v>
      </c>
      <c r="Y15">
        <v>21.6</v>
      </c>
      <c r="Z15">
        <v>22.2</v>
      </c>
      <c r="AA15">
        <v>27.7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25.3</v>
      </c>
      <c r="H16">
        <v>26</v>
      </c>
      <c r="I16">
        <v>23.5</v>
      </c>
      <c r="J16">
        <v>14.6</v>
      </c>
      <c r="K16">
        <v>16.399999999999999</v>
      </c>
      <c r="L16">
        <v>17.7</v>
      </c>
      <c r="M16">
        <v>15.5</v>
      </c>
      <c r="N16">
        <v>19.7</v>
      </c>
      <c r="O16">
        <v>20.2</v>
      </c>
      <c r="P16">
        <v>15.2</v>
      </c>
      <c r="Q16">
        <v>16.5</v>
      </c>
      <c r="R16">
        <v>17.899999999999999</v>
      </c>
      <c r="S16">
        <v>20.9</v>
      </c>
      <c r="T16">
        <v>19.2</v>
      </c>
      <c r="U16">
        <v>16.2</v>
      </c>
      <c r="V16">
        <v>18.3</v>
      </c>
      <c r="W16">
        <v>19.7</v>
      </c>
      <c r="X16">
        <v>23.1</v>
      </c>
      <c r="Y16">
        <v>18.100000000000001</v>
      </c>
      <c r="Z16">
        <v>24.8</v>
      </c>
      <c r="AA16">
        <v>32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27.7</v>
      </c>
      <c r="H17">
        <v>26.8</v>
      </c>
      <c r="I17">
        <v>26.8</v>
      </c>
      <c r="J17">
        <v>17.7</v>
      </c>
      <c r="K17">
        <v>15.2</v>
      </c>
      <c r="L17">
        <v>14.9</v>
      </c>
      <c r="M17">
        <v>22.8</v>
      </c>
      <c r="N17">
        <v>19.8</v>
      </c>
      <c r="O17">
        <v>20.7</v>
      </c>
      <c r="P17">
        <v>20.6</v>
      </c>
      <c r="Q17">
        <v>20.8</v>
      </c>
      <c r="R17">
        <v>21</v>
      </c>
      <c r="S17">
        <v>20.9</v>
      </c>
      <c r="T17">
        <v>14.3</v>
      </c>
      <c r="U17">
        <v>18.2</v>
      </c>
      <c r="V17">
        <v>18.5</v>
      </c>
      <c r="W17">
        <v>16.5</v>
      </c>
      <c r="X17">
        <v>24.4</v>
      </c>
      <c r="Y17">
        <v>21.5</v>
      </c>
      <c r="Z17">
        <v>21.9</v>
      </c>
      <c r="AA17">
        <v>24.1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25.6</v>
      </c>
      <c r="H18">
        <v>28.4</v>
      </c>
      <c r="I18">
        <v>29.2</v>
      </c>
      <c r="J18">
        <v>22</v>
      </c>
      <c r="K18">
        <v>21</v>
      </c>
      <c r="L18">
        <v>22.6</v>
      </c>
      <c r="M18">
        <v>32.700000000000003</v>
      </c>
      <c r="N18">
        <v>23.6</v>
      </c>
      <c r="O18">
        <v>23.5</v>
      </c>
      <c r="P18">
        <v>28.1</v>
      </c>
      <c r="Q18">
        <v>16.100000000000001</v>
      </c>
      <c r="R18">
        <v>22.9</v>
      </c>
      <c r="S18">
        <v>21.7</v>
      </c>
      <c r="T18">
        <v>21.6</v>
      </c>
      <c r="U18">
        <v>27.1</v>
      </c>
      <c r="V18">
        <v>18.2</v>
      </c>
      <c r="W18">
        <v>19.2</v>
      </c>
      <c r="X18">
        <v>21.2</v>
      </c>
      <c r="Y18">
        <v>30.9</v>
      </c>
      <c r="Z18">
        <v>28</v>
      </c>
      <c r="AA18">
        <v>31.6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32.799999999999997</v>
      </c>
      <c r="H19">
        <v>29.3</v>
      </c>
      <c r="I19">
        <v>19.399999999999999</v>
      </c>
      <c r="J19">
        <v>19.399999999999999</v>
      </c>
      <c r="K19">
        <v>21</v>
      </c>
      <c r="L19">
        <v>20</v>
      </c>
      <c r="M19">
        <v>15.4</v>
      </c>
      <c r="N19">
        <v>16.7</v>
      </c>
      <c r="O19">
        <v>12.7</v>
      </c>
      <c r="P19">
        <v>13.9</v>
      </c>
      <c r="Q19">
        <v>14.8</v>
      </c>
      <c r="R19">
        <v>17.100000000000001</v>
      </c>
      <c r="S19">
        <v>14</v>
      </c>
      <c r="T19">
        <v>24.3</v>
      </c>
      <c r="U19">
        <v>27.9</v>
      </c>
      <c r="V19">
        <v>32.9</v>
      </c>
      <c r="W19">
        <v>25.1</v>
      </c>
      <c r="X19">
        <v>26.8</v>
      </c>
      <c r="Y19">
        <v>25.4</v>
      </c>
      <c r="Z19">
        <v>28.7</v>
      </c>
      <c r="AA19">
        <v>31.7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24.7</v>
      </c>
      <c r="H20">
        <v>28.8</v>
      </c>
      <c r="I20">
        <v>29.5</v>
      </c>
      <c r="J20">
        <v>14.9</v>
      </c>
      <c r="K20">
        <v>17</v>
      </c>
      <c r="L20">
        <v>23</v>
      </c>
      <c r="M20">
        <v>28.2</v>
      </c>
      <c r="N20">
        <v>23.6</v>
      </c>
      <c r="O20">
        <v>21</v>
      </c>
      <c r="P20">
        <v>19</v>
      </c>
      <c r="Q20">
        <v>19.7</v>
      </c>
      <c r="R20">
        <v>19.399999999999999</v>
      </c>
      <c r="S20">
        <v>24</v>
      </c>
      <c r="T20">
        <v>16.7</v>
      </c>
      <c r="U20">
        <v>20.100000000000001</v>
      </c>
      <c r="V20">
        <v>18.600000000000001</v>
      </c>
      <c r="W20">
        <v>21.7</v>
      </c>
      <c r="X20">
        <v>19.7</v>
      </c>
      <c r="Y20">
        <v>26.5</v>
      </c>
      <c r="Z20">
        <v>28.1</v>
      </c>
      <c r="AA20">
        <v>29.3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25.9</v>
      </c>
      <c r="H21">
        <v>24.2</v>
      </c>
      <c r="I21">
        <v>24.7</v>
      </c>
      <c r="J21">
        <v>15.7</v>
      </c>
      <c r="K21">
        <v>15.6</v>
      </c>
      <c r="L21">
        <v>18.600000000000001</v>
      </c>
      <c r="M21">
        <v>21.1</v>
      </c>
      <c r="N21">
        <v>23.7</v>
      </c>
      <c r="O21">
        <v>19.2</v>
      </c>
      <c r="P21">
        <v>20.100000000000001</v>
      </c>
      <c r="Q21">
        <v>26.3</v>
      </c>
      <c r="R21">
        <v>20.2</v>
      </c>
      <c r="S21">
        <v>21.7</v>
      </c>
      <c r="T21">
        <v>21.1</v>
      </c>
      <c r="U21">
        <v>18.3</v>
      </c>
      <c r="V21">
        <v>15.9</v>
      </c>
      <c r="W21">
        <v>20.2</v>
      </c>
      <c r="X21">
        <v>28.5</v>
      </c>
      <c r="Y21">
        <v>26.1</v>
      </c>
      <c r="Z21">
        <v>20.2</v>
      </c>
      <c r="AA21">
        <v>29.3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23.1</v>
      </c>
      <c r="H22">
        <v>27.2</v>
      </c>
      <c r="I22">
        <v>24.3</v>
      </c>
      <c r="J22">
        <v>15.1</v>
      </c>
      <c r="K22">
        <v>15.7</v>
      </c>
      <c r="L22">
        <v>17</v>
      </c>
      <c r="M22">
        <v>19.8</v>
      </c>
      <c r="N22">
        <v>19.2</v>
      </c>
      <c r="O22">
        <v>24</v>
      </c>
      <c r="P22">
        <v>19.399999999999999</v>
      </c>
      <c r="Q22">
        <v>18.7</v>
      </c>
      <c r="R22">
        <v>21.1</v>
      </c>
      <c r="S22">
        <v>22.6</v>
      </c>
      <c r="T22">
        <v>20</v>
      </c>
      <c r="U22">
        <v>16.8</v>
      </c>
      <c r="V22">
        <v>15.2</v>
      </c>
      <c r="W22">
        <v>21.9</v>
      </c>
      <c r="X22">
        <v>14.6</v>
      </c>
      <c r="Y22">
        <v>23.2</v>
      </c>
      <c r="Z22">
        <v>26.1</v>
      </c>
      <c r="AA22">
        <v>25.4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21.1</v>
      </c>
      <c r="H23">
        <v>22</v>
      </c>
      <c r="I23">
        <v>25.4</v>
      </c>
      <c r="J23">
        <v>14.7</v>
      </c>
      <c r="K23">
        <v>18.3</v>
      </c>
      <c r="L23">
        <v>16.600000000000001</v>
      </c>
      <c r="M23">
        <v>20.9</v>
      </c>
      <c r="N23">
        <v>22.4</v>
      </c>
      <c r="O23">
        <v>22.5</v>
      </c>
      <c r="P23">
        <v>20.8</v>
      </c>
      <c r="Q23">
        <v>18.5</v>
      </c>
      <c r="R23">
        <v>21.2</v>
      </c>
      <c r="S23">
        <v>26.4</v>
      </c>
      <c r="T23">
        <v>20.2</v>
      </c>
      <c r="U23">
        <v>21.2</v>
      </c>
      <c r="V23">
        <v>18.5</v>
      </c>
      <c r="W23">
        <v>15.1</v>
      </c>
      <c r="X23">
        <v>26</v>
      </c>
      <c r="Y23">
        <v>22.9</v>
      </c>
      <c r="Z23">
        <v>29.4</v>
      </c>
      <c r="AA23">
        <v>25.8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20.9</v>
      </c>
      <c r="H24">
        <v>26.6</v>
      </c>
      <c r="I24">
        <v>22.3</v>
      </c>
      <c r="J24">
        <v>17.5</v>
      </c>
      <c r="K24">
        <v>17.5</v>
      </c>
      <c r="L24">
        <v>18.2</v>
      </c>
      <c r="M24">
        <v>24.5</v>
      </c>
      <c r="N24">
        <v>20.3</v>
      </c>
      <c r="O24">
        <v>25.2</v>
      </c>
      <c r="P24">
        <v>19.899999999999999</v>
      </c>
      <c r="Q24">
        <v>21.4</v>
      </c>
      <c r="R24">
        <v>21.3</v>
      </c>
      <c r="S24">
        <v>20</v>
      </c>
      <c r="T24">
        <v>18</v>
      </c>
      <c r="U24">
        <v>19.8</v>
      </c>
      <c r="V24">
        <v>15.5</v>
      </c>
      <c r="W24">
        <v>22.1</v>
      </c>
      <c r="X24">
        <v>21.1</v>
      </c>
      <c r="Y24">
        <v>29.8</v>
      </c>
      <c r="Z24">
        <v>22.5</v>
      </c>
      <c r="AA24">
        <v>23.1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33.5</v>
      </c>
      <c r="H25">
        <v>29.1</v>
      </c>
      <c r="I25">
        <v>26.8</v>
      </c>
      <c r="J25">
        <v>26.2</v>
      </c>
      <c r="K25">
        <v>23.3</v>
      </c>
      <c r="L25">
        <v>25.2</v>
      </c>
      <c r="M25">
        <v>29.7</v>
      </c>
      <c r="N25">
        <v>23.1</v>
      </c>
      <c r="O25">
        <v>24.1</v>
      </c>
      <c r="P25">
        <v>24.6</v>
      </c>
      <c r="Q25">
        <v>22.5</v>
      </c>
      <c r="R25">
        <v>21.3</v>
      </c>
      <c r="T25">
        <v>18.600000000000001</v>
      </c>
      <c r="V25">
        <v>30.9</v>
      </c>
      <c r="X25">
        <v>21.4</v>
      </c>
      <c r="Z25">
        <v>29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33</v>
      </c>
      <c r="E26">
        <v>32.1</v>
      </c>
      <c r="H26">
        <v>24</v>
      </c>
      <c r="I26">
        <v>20.399999999999999</v>
      </c>
      <c r="J26">
        <v>17.8</v>
      </c>
      <c r="K26">
        <v>19.5</v>
      </c>
      <c r="L26">
        <v>15.6</v>
      </c>
      <c r="M26">
        <v>16</v>
      </c>
      <c r="N26">
        <v>13.2</v>
      </c>
      <c r="O26">
        <v>13</v>
      </c>
      <c r="P26">
        <v>16.899999999999999</v>
      </c>
      <c r="Q26">
        <v>12.3</v>
      </c>
      <c r="R26">
        <v>13.3</v>
      </c>
      <c r="S26">
        <v>17.899999999999999</v>
      </c>
      <c r="T26">
        <v>21.4</v>
      </c>
      <c r="U26">
        <v>29.9</v>
      </c>
      <c r="V26">
        <v>28.2</v>
      </c>
      <c r="W26">
        <v>21.8</v>
      </c>
      <c r="X26">
        <v>25.9</v>
      </c>
      <c r="Y26">
        <v>22.9</v>
      </c>
      <c r="Z26">
        <v>35.299999999999997</v>
      </c>
      <c r="AA26">
        <v>27.2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15.5</v>
      </c>
      <c r="H27">
        <v>29.8</v>
      </c>
      <c r="I27">
        <v>23.6</v>
      </c>
      <c r="J27">
        <v>13.2</v>
      </c>
      <c r="K27">
        <v>15.7</v>
      </c>
      <c r="L27">
        <v>13.7</v>
      </c>
      <c r="M27">
        <v>24.5</v>
      </c>
      <c r="N27">
        <v>25.1</v>
      </c>
      <c r="O27">
        <v>19.8</v>
      </c>
      <c r="P27">
        <v>16.899999999999999</v>
      </c>
      <c r="Q27">
        <v>15.5</v>
      </c>
      <c r="R27">
        <v>21.5</v>
      </c>
      <c r="S27">
        <v>24</v>
      </c>
      <c r="T27">
        <v>14.9</v>
      </c>
      <c r="U27">
        <v>15.7</v>
      </c>
      <c r="V27">
        <v>20.8</v>
      </c>
      <c r="W27">
        <v>22.3</v>
      </c>
      <c r="X27">
        <v>18.7</v>
      </c>
      <c r="Y27">
        <v>23.8</v>
      </c>
      <c r="Z27">
        <v>19.600000000000001</v>
      </c>
      <c r="AA27">
        <v>28.7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20.5</v>
      </c>
      <c r="H28">
        <v>22</v>
      </c>
      <c r="I28">
        <v>24.8</v>
      </c>
      <c r="J28">
        <v>18.2</v>
      </c>
      <c r="K28">
        <v>16.8</v>
      </c>
      <c r="L28">
        <v>17</v>
      </c>
      <c r="M28">
        <v>22.7</v>
      </c>
      <c r="N28">
        <v>17.7</v>
      </c>
      <c r="O28">
        <v>21.6</v>
      </c>
      <c r="P28">
        <v>16.5</v>
      </c>
      <c r="Q28">
        <v>22.3</v>
      </c>
      <c r="R28">
        <v>19.399999999999999</v>
      </c>
      <c r="S28">
        <v>19.899999999999999</v>
      </c>
      <c r="T28">
        <v>20</v>
      </c>
      <c r="U28">
        <v>17.7</v>
      </c>
      <c r="V28">
        <v>18</v>
      </c>
      <c r="W28">
        <v>20.2</v>
      </c>
      <c r="X28">
        <v>23</v>
      </c>
      <c r="Y28">
        <v>29</v>
      </c>
      <c r="Z28">
        <v>22.3</v>
      </c>
      <c r="AA28">
        <v>30.7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23.6</v>
      </c>
      <c r="H29">
        <v>29.4</v>
      </c>
      <c r="I29">
        <v>25.7</v>
      </c>
      <c r="J29">
        <v>17.7</v>
      </c>
      <c r="K29">
        <v>16.3</v>
      </c>
      <c r="L29">
        <v>20.6</v>
      </c>
      <c r="M29">
        <v>18.399999999999999</v>
      </c>
      <c r="N29">
        <v>21.6</v>
      </c>
      <c r="O29">
        <v>20.2</v>
      </c>
      <c r="P29">
        <v>15.8</v>
      </c>
      <c r="Q29">
        <v>21.3</v>
      </c>
      <c r="R29">
        <v>19.899999999999999</v>
      </c>
      <c r="S29">
        <v>18.399999999999999</v>
      </c>
      <c r="T29">
        <v>13.7</v>
      </c>
      <c r="U29">
        <v>19.899999999999999</v>
      </c>
      <c r="V29">
        <v>11.5</v>
      </c>
      <c r="W29">
        <v>22.2</v>
      </c>
      <c r="X29">
        <v>30.6</v>
      </c>
      <c r="Y29">
        <v>21</v>
      </c>
      <c r="Z29">
        <v>26</v>
      </c>
      <c r="AA29">
        <v>33.299999999999997</v>
      </c>
    </row>
    <row r="31" spans="1:27" x14ac:dyDescent="0.25">
      <c r="C31">
        <v>1</v>
      </c>
      <c r="D31">
        <f t="array" ref="D31">MEDIAN(IF($C$3:$C$29=$C31,D$3:D$29,""))</f>
        <v>32.25</v>
      </c>
      <c r="E31">
        <f t="array" ref="E31">MEDIAN(IF($C$3:$C$29=$C31,E$3:E$29,""))</f>
        <v>35.299999999999997</v>
      </c>
      <c r="F31">
        <f t="array" ref="F31">MEDIAN(IF($C$3:$C$29=$C31,F$3:F$29,""))</f>
        <v>0</v>
      </c>
      <c r="G31">
        <v>26</v>
      </c>
      <c r="H31">
        <f t="array" ref="H31">MEDIAN(IF($C$3:$C$29=$C31,H$3:H$29,""))</f>
        <v>21.4</v>
      </c>
      <c r="I31">
        <f t="array" ref="I31">MEDIAN(IF($C$3:$C$29=$C31,I$3:I$29,""))</f>
        <v>20.75</v>
      </c>
      <c r="J31">
        <f t="array" ref="J31">MEDIAN(IF($C$3:$C$29=$C31,J$3:J$29,""))</f>
        <v>18.649999999999999</v>
      </c>
      <c r="K31">
        <f t="array" ref="K31">MEDIAN(IF($C$3:$C$29=$C31,K$3:K$29,""))</f>
        <v>20.25</v>
      </c>
      <c r="L31">
        <f t="array" ref="L31">MEDIAN(IF($C$3:$C$29=$C31,L$3:L$29,""))</f>
        <v>18.3</v>
      </c>
      <c r="M31">
        <f t="array" ref="M31">MEDIAN(IF($C$3:$C$29=$C31,M$3:M$29,""))</f>
        <v>15.95</v>
      </c>
      <c r="N31">
        <f t="array" ref="N31">MEDIAN(IF($C$3:$C$29=$C31,N$3:N$29,""))</f>
        <v>14.399999999999999</v>
      </c>
      <c r="O31">
        <f t="array" ref="O31">MEDIAN(IF($C$3:$C$29=$C31,O$3:O$29,""))</f>
        <v>13.7</v>
      </c>
      <c r="P31">
        <f t="array" ref="P31">MEDIAN(IF($C$3:$C$29=$C31,P$3:P$29,""))</f>
        <v>14.4</v>
      </c>
      <c r="Q31">
        <f t="array" ref="Q31">MEDIAN(IF($C$3:$C$29=$C31,Q$3:Q$29,""))</f>
        <v>14.45</v>
      </c>
      <c r="R31">
        <f t="array" ref="R31">MEDIAN(IF($C$3:$C$29=$C31,R$3:R$29,""))</f>
        <v>16.100000000000001</v>
      </c>
      <c r="S31">
        <f t="array" ref="S31">MEDIAN(IF($C$3:$C$29=$C31,S$3:S$29,""))</f>
        <v>14.25</v>
      </c>
      <c r="T31">
        <f t="array" ref="T31">MEDIAN(IF($C$3:$C$29=$C31,T$3:T$29,""))</f>
        <v>22.85</v>
      </c>
      <c r="U31">
        <f t="array" ref="U31">MEDIAN(IF($C$3:$C$29=$C31,U$3:U$29,""))</f>
        <v>26.2</v>
      </c>
      <c r="V31">
        <f t="array" ref="V31">MEDIAN(IF($C$3:$C$29=$C31,V$3:V$29,""))</f>
        <v>27.6</v>
      </c>
      <c r="W31">
        <f t="array" ref="W31">MEDIAN(IF($C$3:$C$29=$C31,W$3:W$29,""))</f>
        <v>23.450000000000003</v>
      </c>
      <c r="X31">
        <f t="array" ref="X31">MEDIAN(IF($C$3:$C$29=$C31,X$3:X$29,""))</f>
        <v>26.35</v>
      </c>
      <c r="Y31">
        <f t="array" ref="Y31">MEDIAN(IF($C$3:$C$29=$C31,Y$3:Y$29,""))</f>
        <v>24.85</v>
      </c>
      <c r="Z31">
        <f t="array" ref="Z31">MEDIAN(IF($C$3:$C$29=$C31,Z$3:Z$29,""))</f>
        <v>28.5</v>
      </c>
      <c r="AA31">
        <f t="array" ref="AA31">MEDIAN(IF($C$3:$C$29=$C31,AA$3:AA$29,""))</f>
        <v>27.6</v>
      </c>
    </row>
    <row r="32" spans="1:27" x14ac:dyDescent="0.25">
      <c r="C32">
        <v>2</v>
      </c>
      <c r="D32">
        <f t="array" ref="D32">MEDIAN(IF($C$3:$C$29=$C32,D$3:D$29,""))</f>
        <v>26.3</v>
      </c>
      <c r="E32">
        <f t="array" ref="E32">MEDIAN(IF($C$3:$C$29=$C32,E$3:E$29,""))</f>
        <v>0</v>
      </c>
      <c r="F32">
        <f t="array" ref="F32">MEDIAN(IF($C$3:$C$29=$C32,F$3:F$29,""))</f>
        <v>0</v>
      </c>
      <c r="G32">
        <v>26</v>
      </c>
      <c r="H32">
        <f t="array" ref="H32">MEDIAN(IF($C$3:$C$29=$C32,H$3:H$29,""))</f>
        <v>29.200000000000003</v>
      </c>
      <c r="I32">
        <f t="array" ref="I32">MEDIAN(IF($C$3:$C$29=$C32,I$3:I$29,""))</f>
        <v>27.55</v>
      </c>
      <c r="J32">
        <f t="array" ref="J32">MEDIAN(IF($C$3:$C$29=$C32,J$3:J$29,""))</f>
        <v>23</v>
      </c>
      <c r="K32">
        <f t="array" ref="K32">MEDIAN(IF($C$3:$C$29=$C32,K$3:K$29,""))</f>
        <v>22.15</v>
      </c>
      <c r="L32">
        <f t="array" ref="L32">MEDIAN(IF($C$3:$C$29=$C32,L$3:L$29,""))</f>
        <v>23.05</v>
      </c>
      <c r="M32">
        <f t="array" ref="M32">MEDIAN(IF($C$3:$C$29=$C32,M$3:M$29,""))</f>
        <v>27.35</v>
      </c>
      <c r="N32">
        <f t="array" ref="N32">MEDIAN(IF($C$3:$C$29=$C32,N$3:N$29,""))</f>
        <v>23.35</v>
      </c>
      <c r="O32">
        <f t="array" ref="O32">MEDIAN(IF($C$3:$C$29=$C32,O$3:O$29,""))</f>
        <v>22.85</v>
      </c>
      <c r="P32">
        <f t="array" ref="P32">MEDIAN(IF($C$3:$C$29=$C32,P$3:P$29,""))</f>
        <v>22</v>
      </c>
      <c r="Q32">
        <f t="array" ref="Q32">MEDIAN(IF($C$3:$C$29=$C32,Q$3:Q$29,""))</f>
        <v>19.3</v>
      </c>
      <c r="R32">
        <f t="array" ref="R32">MEDIAN(IF($C$3:$C$29=$C32,R$3:R$29,""))</f>
        <v>20.25</v>
      </c>
      <c r="S32">
        <f t="array" ref="S32">MEDIAN(IF($C$3:$C$29=$C32,S$3:S$29,""))</f>
        <v>20.100000000000001</v>
      </c>
      <c r="T32">
        <f t="array" ref="T32">MEDIAN(IF($C$3:$C$29=$C32,T$3:T$29,""))</f>
        <v>20.350000000000001</v>
      </c>
      <c r="U32">
        <f t="array" ref="U32">MEDIAN(IF($C$3:$C$29=$C32,U$3:U$29,""))</f>
        <v>22.950000000000003</v>
      </c>
      <c r="V32">
        <f t="array" ref="V32">MEDIAN(IF($C$3:$C$29=$C32,V$3:V$29,""))</f>
        <v>21</v>
      </c>
      <c r="W32">
        <f t="array" ref="W32">MEDIAN(IF($C$3:$C$29=$C32,W$3:W$29,""))</f>
        <v>22.299999999999997</v>
      </c>
      <c r="X32">
        <f t="array" ref="X32">MEDIAN(IF($C$3:$C$29=$C32,X$3:X$29,""))</f>
        <v>21.299999999999997</v>
      </c>
      <c r="Y32">
        <f t="array" ref="Y32">MEDIAN(IF($C$3:$C$29=$C32,Y$3:Y$29,""))</f>
        <v>33.700000000000003</v>
      </c>
      <c r="Z32">
        <f t="array" ref="Z32">MEDIAN(IF($C$3:$C$29=$C32,Z$3:Z$29,""))</f>
        <v>28.5</v>
      </c>
      <c r="AA32">
        <f t="array" ref="AA32">MEDIAN(IF($C$3:$C$29=$C32,AA$3:AA$29,""))</f>
        <v>31.85</v>
      </c>
    </row>
    <row r="33" spans="3:27" x14ac:dyDescent="0.25">
      <c r="C33">
        <v>3</v>
      </c>
      <c r="D33">
        <f t="array" ref="D33">MEDIAN(IF($C$3:$C$29=$C33,D$3:D$29,""))</f>
        <v>21.9</v>
      </c>
      <c r="E33">
        <f t="array" ref="E33">MEDIAN(IF($C$3:$C$29=$C33,E$3:E$29,""))</f>
        <v>0</v>
      </c>
      <c r="F33">
        <f t="array" ref="F33">MEDIAN(IF($C$3:$C$29=$C33,F$3:F$29,""))</f>
        <v>0</v>
      </c>
      <c r="G33">
        <v>26</v>
      </c>
      <c r="H33">
        <f t="array" ref="H33">MEDIAN(IF($C$3:$C$29=$C33,H$3:H$29,""))</f>
        <v>27.35</v>
      </c>
      <c r="I33">
        <f t="array" ref="I33">MEDIAN(IF($C$3:$C$29=$C33,I$3:I$29,""))</f>
        <v>23.85</v>
      </c>
      <c r="J33">
        <f t="array" ref="J33">MEDIAN(IF($C$3:$C$29=$C33,J$3:J$29,""))</f>
        <v>15</v>
      </c>
      <c r="K33">
        <f t="array" ref="K33">MEDIAN(IF($C$3:$C$29=$C33,K$3:K$29,""))</f>
        <v>16.25</v>
      </c>
      <c r="L33">
        <f t="array" ref="L33">MEDIAN(IF($C$3:$C$29=$C33,L$3:L$29,""))</f>
        <v>20.95</v>
      </c>
      <c r="M33">
        <f t="array" ref="M33">MEDIAN(IF($C$3:$C$29=$C33,M$3:M$29,""))</f>
        <v>23.8</v>
      </c>
      <c r="N33">
        <f t="array" ref="N33">MEDIAN(IF($C$3:$C$29=$C33,N$3:N$29,""))</f>
        <v>23.75</v>
      </c>
      <c r="O33">
        <f t="array" ref="O33">MEDIAN(IF($C$3:$C$29=$C33,O$3:O$29,""))</f>
        <v>24.05</v>
      </c>
      <c r="P33">
        <f t="array" ref="P33">MEDIAN(IF($C$3:$C$29=$C33,P$3:P$29,""))</f>
        <v>18.75</v>
      </c>
      <c r="Q33">
        <f t="array" ref="Q33">MEDIAN(IF($C$3:$C$29=$C33,Q$3:Q$29,""))</f>
        <v>20.100000000000001</v>
      </c>
      <c r="R33">
        <f t="array" ref="R33">MEDIAN(IF($C$3:$C$29=$C33,R$3:R$29,""))</f>
        <v>21.05</v>
      </c>
      <c r="S33">
        <f t="array" ref="S33">MEDIAN(IF($C$3:$C$29=$C33,S$3:S$29,""))</f>
        <v>23.15</v>
      </c>
      <c r="T33">
        <f t="array" ref="T33">MEDIAN(IF($C$3:$C$29=$C33,T$3:T$29,""))</f>
        <v>17.149999999999999</v>
      </c>
      <c r="U33">
        <f t="array" ref="U33">MEDIAN(IF($C$3:$C$29=$C33,U$3:U$29,""))</f>
        <v>21.15</v>
      </c>
      <c r="V33">
        <f t="array" ref="V33">MEDIAN(IF($C$3:$C$29=$C33,V$3:V$29,""))</f>
        <v>20.65</v>
      </c>
      <c r="W33">
        <f t="array" ref="W33">MEDIAN(IF($C$3:$C$29=$C33,W$3:W$29,""))</f>
        <v>21.2</v>
      </c>
      <c r="X33">
        <f t="array" ref="X33">MEDIAN(IF($C$3:$C$29=$C33,X$3:X$29,""))</f>
        <v>19.5</v>
      </c>
      <c r="Y33">
        <f t="array" ref="Y33">MEDIAN(IF($C$3:$C$29=$C33,Y$3:Y$29,""))</f>
        <v>24</v>
      </c>
      <c r="Z33">
        <f t="array" ref="Z33">MEDIAN(IF($C$3:$C$29=$C33,Z$3:Z$29,""))</f>
        <v>27.55</v>
      </c>
      <c r="AA33">
        <f t="array" ref="AA33">MEDIAN(IF($C$3:$C$29=$C33,AA$3:AA$29,""))</f>
        <v>29</v>
      </c>
    </row>
    <row r="34" spans="3:27" x14ac:dyDescent="0.25">
      <c r="C34">
        <v>4</v>
      </c>
      <c r="D34">
        <f t="array" ref="D34">MEDIAN(IF($C$3:$C$29=$C34,D$3:D$29,""))</f>
        <v>21.4</v>
      </c>
      <c r="E34">
        <f t="array" ref="E34">MEDIAN(IF($C$3:$C$29=$C34,E$3:E$29,""))</f>
        <v>0</v>
      </c>
      <c r="F34">
        <f t="array" ref="F34">MEDIAN(IF($C$3:$C$29=$C34,F$3:F$29,""))</f>
        <v>0</v>
      </c>
      <c r="G34">
        <v>26</v>
      </c>
      <c r="H34">
        <f t="array" ref="H34">MEDIAN(IF($C$3:$C$29=$C34,H$3:H$29,""))</f>
        <v>25.1</v>
      </c>
      <c r="I34">
        <f t="array" ref="I34">MEDIAN(IF($C$3:$C$29=$C34,I$3:I$29,""))</f>
        <v>23.85</v>
      </c>
      <c r="J34">
        <f t="array" ref="J34">MEDIAN(IF($C$3:$C$29=$C34,J$3:J$29,""))</f>
        <v>15</v>
      </c>
      <c r="K34">
        <f t="array" ref="K34">MEDIAN(IF($C$3:$C$29=$C34,K$3:K$29,""))</f>
        <v>16.3</v>
      </c>
      <c r="L34">
        <f t="array" ref="L34">MEDIAN(IF($C$3:$C$29=$C34,L$3:L$29,""))</f>
        <v>18.450000000000003</v>
      </c>
      <c r="M34">
        <f t="array" ref="M34">MEDIAN(IF($C$3:$C$29=$C34,M$3:M$29,""))</f>
        <v>21.9</v>
      </c>
      <c r="N34">
        <f t="array" ref="N34">MEDIAN(IF($C$3:$C$29=$C34,N$3:N$29,""))</f>
        <v>20.05</v>
      </c>
      <c r="O34">
        <f t="array" ref="O34">MEDIAN(IF($C$3:$C$29=$C34,O$3:O$29,""))</f>
        <v>19.799999999999997</v>
      </c>
      <c r="P34">
        <f t="array" ref="P34">MEDIAN(IF($C$3:$C$29=$C34,P$3:P$29,""))</f>
        <v>18.3</v>
      </c>
      <c r="Q34">
        <f t="array" ref="Q34">MEDIAN(IF($C$3:$C$29=$C34,Q$3:Q$29,""))</f>
        <v>22.85</v>
      </c>
      <c r="R34">
        <f t="array" ref="R34">MEDIAN(IF($C$3:$C$29=$C34,R$3:R$29,""))</f>
        <v>19.799999999999997</v>
      </c>
      <c r="S34">
        <f t="array" ref="S34">MEDIAN(IF($C$3:$C$29=$C34,S$3:S$29,""))</f>
        <v>20.8</v>
      </c>
      <c r="T34">
        <f t="array" ref="T34">MEDIAN(IF($C$3:$C$29=$C34,T$3:T$29,""))</f>
        <v>20.950000000000003</v>
      </c>
      <c r="U34">
        <f t="array" ref="U34">MEDIAN(IF($C$3:$C$29=$C34,U$3:U$29,""))</f>
        <v>17.25</v>
      </c>
      <c r="V34">
        <f t="array" ref="V34">MEDIAN(IF($C$3:$C$29=$C34,V$3:V$29,""))</f>
        <v>16.600000000000001</v>
      </c>
      <c r="W34">
        <f t="array" ref="W34">MEDIAN(IF($C$3:$C$29=$C34,W$3:W$29,""))</f>
        <v>20.2</v>
      </c>
      <c r="X34">
        <f t="array" ref="X34">MEDIAN(IF($C$3:$C$29=$C34,X$3:X$29,""))</f>
        <v>24.45</v>
      </c>
      <c r="Y34">
        <f t="array" ref="Y34">MEDIAN(IF($C$3:$C$29=$C34,Y$3:Y$29,""))</f>
        <v>24.4</v>
      </c>
      <c r="Z34">
        <f t="array" ref="Z34">MEDIAN(IF($C$3:$C$29=$C34,Z$3:Z$29,""))</f>
        <v>23.35</v>
      </c>
      <c r="AA34">
        <f t="array" ref="AA34">MEDIAN(IF($C$3:$C$29=$C34,AA$3:AA$29,""))</f>
        <v>30</v>
      </c>
    </row>
    <row r="35" spans="3:27" x14ac:dyDescent="0.25">
      <c r="C35">
        <v>5</v>
      </c>
      <c r="D35">
        <f t="array" ref="D35">MEDIAN(IF($C$3:$C$29=$C35,D$3:D$29,""))</f>
        <v>24.1</v>
      </c>
      <c r="E35">
        <f t="array" ref="E35">MEDIAN(IF($C$3:$C$29=$C35,E$3:E$29,""))</f>
        <v>0</v>
      </c>
      <c r="F35">
        <f t="array" ref="F35">MEDIAN(IF($C$3:$C$29=$C35,F$3:F$29,""))</f>
        <v>0</v>
      </c>
      <c r="G35">
        <v>26</v>
      </c>
      <c r="H35">
        <f t="array" ref="H35">MEDIAN(IF($C$3:$C$29=$C35,H$3:H$29,""))</f>
        <v>27.4</v>
      </c>
      <c r="I35">
        <f t="array" ref="I35">MEDIAN(IF($C$3:$C$29=$C35,I$3:I$29,""))</f>
        <v>23.15</v>
      </c>
      <c r="J35">
        <f t="array" ref="J35">MEDIAN(IF($C$3:$C$29=$C35,J$3:J$29,""))</f>
        <v>14.899999999999999</v>
      </c>
      <c r="K35">
        <f t="array" ref="K35">MEDIAN(IF($C$3:$C$29=$C35,K$3:K$29,""))</f>
        <v>16.450000000000003</v>
      </c>
      <c r="L35">
        <f t="array" ref="L35">MEDIAN(IF($C$3:$C$29=$C35,L$3:L$29,""))</f>
        <v>18.45</v>
      </c>
      <c r="M35">
        <f t="array" ref="M35">MEDIAN(IF($C$3:$C$29=$C35,M$3:M$29,""))</f>
        <v>19.100000000000001</v>
      </c>
      <c r="N35">
        <f t="array" ref="N35">MEDIAN(IF($C$3:$C$29=$C35,N$3:N$29,""))</f>
        <v>20.399999999999999</v>
      </c>
      <c r="O35">
        <f t="array" ref="O35">MEDIAN(IF($C$3:$C$29=$C35,O$3:O$29,""))</f>
        <v>23.75</v>
      </c>
      <c r="P35">
        <f t="array" ref="P35">MEDIAN(IF($C$3:$C$29=$C35,P$3:P$29,""))</f>
        <v>19.899999999999999</v>
      </c>
      <c r="Q35">
        <f t="array" ref="Q35">MEDIAN(IF($C$3:$C$29=$C35,Q$3:Q$29,""))</f>
        <v>20.200000000000003</v>
      </c>
      <c r="R35">
        <f t="array" ref="R35">MEDIAN(IF($C$3:$C$29=$C35,R$3:R$29,""))</f>
        <v>22.4</v>
      </c>
      <c r="S35">
        <f t="array" ref="S35">MEDIAN(IF($C$3:$C$29=$C35,S$3:S$29,""))</f>
        <v>20.75</v>
      </c>
      <c r="T35">
        <f t="array" ref="T35">MEDIAN(IF($C$3:$C$29=$C35,T$3:T$29,""))</f>
        <v>19</v>
      </c>
      <c r="U35">
        <f t="array" ref="U35">MEDIAN(IF($C$3:$C$29=$C35,U$3:U$29,""))</f>
        <v>17.75</v>
      </c>
      <c r="V35">
        <f t="array" ref="V35">MEDIAN(IF($C$3:$C$29=$C35,V$3:V$29,""))</f>
        <v>13.35</v>
      </c>
      <c r="W35">
        <f t="array" ref="W35">MEDIAN(IF($C$3:$C$29=$C35,W$3:W$29,""))</f>
        <v>23.75</v>
      </c>
      <c r="X35">
        <f t="array" ref="X35">MEDIAN(IF($C$3:$C$29=$C35,X$3:X$29,""))</f>
        <v>27.65</v>
      </c>
      <c r="Y35">
        <f t="array" ref="Y35">MEDIAN(IF($C$3:$C$29=$C35,Y$3:Y$29,""))</f>
        <v>22.4</v>
      </c>
      <c r="Z35">
        <f t="array" ref="Z35">MEDIAN(IF($C$3:$C$29=$C35,Z$3:Z$29,""))</f>
        <v>25.95</v>
      </c>
      <c r="AA35">
        <f t="array" ref="AA35">MEDIAN(IF($C$3:$C$29=$C35,AA$3:AA$29,""))</f>
        <v>26.549999999999997</v>
      </c>
    </row>
    <row r="36" spans="3:27" x14ac:dyDescent="0.25">
      <c r="C36">
        <v>6</v>
      </c>
      <c r="D36">
        <f t="array" ref="D36">MEDIAN(IF($C$3:$C$29=$C36,D$3:D$29,""))</f>
        <v>25.3</v>
      </c>
      <c r="E36">
        <f t="array" ref="E36">MEDIAN(IF($C$3:$C$29=$C36,E$3:E$29,""))</f>
        <v>0</v>
      </c>
      <c r="F36">
        <f t="array" ref="F36">MEDIAN(IF($C$3:$C$29=$C36,F$3:F$29,""))</f>
        <v>0</v>
      </c>
      <c r="G36">
        <v>26</v>
      </c>
      <c r="H36">
        <f t="array" ref="H36">MEDIAN(IF($C$3:$C$29=$C36,H$3:H$29,""))</f>
        <v>22.2</v>
      </c>
      <c r="I36">
        <f t="array" ref="I36">MEDIAN(IF($C$3:$C$29=$C36,I$3:I$29,""))</f>
        <v>24.3</v>
      </c>
      <c r="J36">
        <f t="array" ref="J36">MEDIAN(IF($C$3:$C$29=$C36,J$3:J$29,""))</f>
        <v>14.7</v>
      </c>
      <c r="K36">
        <f t="array" ref="K36">MEDIAN(IF($C$3:$C$29=$C36,K$3:K$29,""))</f>
        <v>16.600000000000001</v>
      </c>
      <c r="L36">
        <f t="array" ref="L36">MEDIAN(IF($C$3:$C$29=$C36,L$3:L$29,""))</f>
        <v>17.7</v>
      </c>
      <c r="M36">
        <f t="array" ref="M36">MEDIAN(IF($C$3:$C$29=$C36,M$3:M$29,""))</f>
        <v>18.2</v>
      </c>
      <c r="N36">
        <f t="array" ref="N36">MEDIAN(IF($C$3:$C$29=$C36,N$3:N$29,""))</f>
        <v>20.399999999999999</v>
      </c>
      <c r="O36">
        <f t="array" ref="O36">MEDIAN(IF($C$3:$C$29=$C36,O$3:O$29,""))</f>
        <v>22.5</v>
      </c>
      <c r="P36">
        <f t="array" ref="P36">MEDIAN(IF($C$3:$C$29=$C36,P$3:P$29,""))</f>
        <v>18.899999999999999</v>
      </c>
      <c r="Q36">
        <f t="array" ref="Q36">MEDIAN(IF($C$3:$C$29=$C36,Q$3:Q$29,""))</f>
        <v>18.5</v>
      </c>
      <c r="R36">
        <f t="array" ref="R36">MEDIAN(IF($C$3:$C$29=$C36,R$3:R$29,""))</f>
        <v>20.8</v>
      </c>
      <c r="S36">
        <f t="array" ref="S36">MEDIAN(IF($C$3:$C$29=$C36,S$3:S$29,""))</f>
        <v>23.8</v>
      </c>
      <c r="T36">
        <f t="array" ref="T36">MEDIAN(IF($C$3:$C$29=$C36,T$3:T$29,""))</f>
        <v>20.2</v>
      </c>
      <c r="U36">
        <f t="array" ref="U36">MEDIAN(IF($C$3:$C$29=$C36,U$3:U$29,""))</f>
        <v>17.2</v>
      </c>
      <c r="V36">
        <f t="array" ref="V36">MEDIAN(IF($C$3:$C$29=$C36,V$3:V$29,""))</f>
        <v>18.3</v>
      </c>
      <c r="W36">
        <f t="array" ref="W36">MEDIAN(IF($C$3:$C$29=$C36,W$3:W$29,""))</f>
        <v>19.7</v>
      </c>
      <c r="X36">
        <f t="array" ref="X36">MEDIAN(IF($C$3:$C$29=$C36,X$3:X$29,""))</f>
        <v>26</v>
      </c>
      <c r="Y36">
        <f t="array" ref="Y36">MEDIAN(IF($C$3:$C$29=$C36,Y$3:Y$29,""))</f>
        <v>18.100000000000001</v>
      </c>
      <c r="Z36">
        <f t="array" ref="Z36">MEDIAN(IF($C$3:$C$29=$C36,Z$3:Z$29,""))</f>
        <v>24.8</v>
      </c>
      <c r="AA36">
        <f t="array" ref="AA36">MEDIAN(IF($C$3:$C$29=$C36,AA$3:AA$29,""))</f>
        <v>27.7</v>
      </c>
    </row>
    <row r="37" spans="3:27" x14ac:dyDescent="0.25">
      <c r="C37">
        <v>7</v>
      </c>
      <c r="D37">
        <f t="array" ref="D37">MEDIAN(IF($C$3:$C$29=$C37,D$3:D$29,""))</f>
        <v>26.15</v>
      </c>
      <c r="E37">
        <f t="array" ref="E37">MEDIAN(IF($C$3:$C$29=$C37,E$3:E$29,""))</f>
        <v>0</v>
      </c>
      <c r="F37">
        <f t="array" ref="F37">MEDIAN(IF($C$3:$C$29=$C37,F$3:F$29,""))</f>
        <v>0</v>
      </c>
      <c r="G37">
        <v>26</v>
      </c>
      <c r="H37">
        <f t="array" ref="H37">MEDIAN(IF($C$3:$C$29=$C37,H$3:H$29,""))</f>
        <v>26.700000000000003</v>
      </c>
      <c r="I37">
        <f t="array" ref="I37">MEDIAN(IF($C$3:$C$29=$C37,I$3:I$29,""))</f>
        <v>23.6</v>
      </c>
      <c r="J37">
        <f t="array" ref="J37">MEDIAN(IF($C$3:$C$29=$C37,J$3:J$29,""))</f>
        <v>17.600000000000001</v>
      </c>
      <c r="K37">
        <f t="array" ref="K37">MEDIAN(IF($C$3:$C$29=$C37,K$3:K$29,""))</f>
        <v>16.399999999999999</v>
      </c>
      <c r="L37">
        <f t="array" ref="L37">MEDIAN(IF($C$3:$C$29=$C37,L$3:L$29,""))</f>
        <v>17.600000000000001</v>
      </c>
      <c r="M37">
        <f t="array" ref="M37">MEDIAN(IF($C$3:$C$29=$C37,M$3:M$29,""))</f>
        <v>22.5</v>
      </c>
      <c r="N37">
        <f t="array" ref="N37">MEDIAN(IF($C$3:$C$29=$C37,N$3:N$29,""))</f>
        <v>21.4</v>
      </c>
      <c r="O37">
        <f t="array" ref="O37">MEDIAN(IF($C$3:$C$29=$C37,O$3:O$29,""))</f>
        <v>23.65</v>
      </c>
      <c r="P37">
        <f t="array" ref="P37">MEDIAN(IF($C$3:$C$29=$C37,P$3:P$29,""))</f>
        <v>20.25</v>
      </c>
      <c r="Q37">
        <f t="array" ref="Q37">MEDIAN(IF($C$3:$C$29=$C37,Q$3:Q$29,""))</f>
        <v>19.850000000000001</v>
      </c>
      <c r="R37">
        <f t="array" ref="R37">MEDIAN(IF($C$3:$C$29=$C37,R$3:R$29,""))</f>
        <v>21.15</v>
      </c>
      <c r="S37">
        <f t="array" ref="S37">MEDIAN(IF($C$3:$C$29=$C37,S$3:S$29,""))</f>
        <v>21.049999999999997</v>
      </c>
      <c r="T37">
        <f t="array" ref="T37">MEDIAN(IF($C$3:$C$29=$C37,T$3:T$29,""))</f>
        <v>19.7</v>
      </c>
      <c r="U37">
        <f t="array" ref="U37">MEDIAN(IF($C$3:$C$29=$C37,U$3:U$29,""))</f>
        <v>19.350000000000001</v>
      </c>
      <c r="V37">
        <f t="array" ref="V37">MEDIAN(IF($C$3:$C$29=$C37,V$3:V$29,""))</f>
        <v>17.7</v>
      </c>
      <c r="W37">
        <f t="array" ref="W37">MEDIAN(IF($C$3:$C$29=$C37,W$3:W$29,""))</f>
        <v>18.450000000000003</v>
      </c>
      <c r="X37">
        <f t="array" ref="X37">MEDIAN(IF($C$3:$C$29=$C37,X$3:X$29,""))</f>
        <v>22.85</v>
      </c>
      <c r="Y37">
        <f t="array" ref="Y37">MEDIAN(IF($C$3:$C$29=$C37,Y$3:Y$29,""))</f>
        <v>27.25</v>
      </c>
      <c r="Z37">
        <f t="array" ref="Z37">MEDIAN(IF($C$3:$C$29=$C37,Z$3:Z$29,""))</f>
        <v>24.65</v>
      </c>
      <c r="AA37">
        <f t="array" ref="AA37">MEDIAN(IF($C$3:$C$29=$C37,AA$3:AA$29,""))</f>
        <v>25.85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6"/>
  <dimension ref="A1:AA37"/>
  <sheetViews>
    <sheetView workbookViewId="0">
      <selection activeCell="G31" sqref="G31:G37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24.9</v>
      </c>
      <c r="E3">
        <v>31.8</v>
      </c>
      <c r="H3">
        <v>21</v>
      </c>
      <c r="I3">
        <v>24</v>
      </c>
      <c r="J3">
        <v>18.100000000000001</v>
      </c>
      <c r="K3">
        <v>15.1</v>
      </c>
      <c r="L3">
        <v>15.4</v>
      </c>
      <c r="M3">
        <v>18.7</v>
      </c>
      <c r="N3">
        <v>19.2</v>
      </c>
      <c r="O3">
        <v>19.600000000000001</v>
      </c>
      <c r="P3">
        <v>19.899999999999999</v>
      </c>
      <c r="Q3">
        <v>18.600000000000001</v>
      </c>
      <c r="R3">
        <v>18.7</v>
      </c>
      <c r="S3">
        <v>18.899999999999999</v>
      </c>
      <c r="T3">
        <v>17.5</v>
      </c>
      <c r="U3">
        <v>18.7</v>
      </c>
      <c r="V3">
        <v>15</v>
      </c>
      <c r="W3">
        <v>21</v>
      </c>
      <c r="X3">
        <v>23.6</v>
      </c>
      <c r="Y3">
        <v>25.8</v>
      </c>
      <c r="Z3">
        <v>26.8</v>
      </c>
      <c r="AA3">
        <v>27.7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31.5</v>
      </c>
      <c r="E4">
        <v>29.3</v>
      </c>
      <c r="H4">
        <v>29.2</v>
      </c>
      <c r="I4">
        <v>25</v>
      </c>
      <c r="J4">
        <v>22.4</v>
      </c>
      <c r="K4">
        <v>22.4</v>
      </c>
      <c r="L4">
        <v>22.2</v>
      </c>
      <c r="M4">
        <v>25</v>
      </c>
      <c r="N4">
        <v>19.600000000000001</v>
      </c>
      <c r="O4">
        <v>19.399999999999999</v>
      </c>
      <c r="P4">
        <v>18.899999999999999</v>
      </c>
      <c r="Q4">
        <v>21.1</v>
      </c>
      <c r="R4">
        <v>17.7</v>
      </c>
      <c r="S4">
        <v>24.6</v>
      </c>
      <c r="T4">
        <v>15.2</v>
      </c>
      <c r="U4">
        <v>19</v>
      </c>
      <c r="V4">
        <v>21.1</v>
      </c>
      <c r="W4">
        <v>21</v>
      </c>
      <c r="X4">
        <v>22.1</v>
      </c>
      <c r="Y4">
        <v>27</v>
      </c>
      <c r="Z4">
        <v>27.7</v>
      </c>
      <c r="AA4">
        <v>32.6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29.7</v>
      </c>
      <c r="E5">
        <v>31.7</v>
      </c>
      <c r="H5">
        <v>30.1</v>
      </c>
      <c r="I5">
        <v>25.5</v>
      </c>
      <c r="J5">
        <v>19.2</v>
      </c>
      <c r="K5">
        <v>24.4</v>
      </c>
      <c r="L5">
        <v>21.7</v>
      </c>
      <c r="M5">
        <v>18.5</v>
      </c>
      <c r="N5">
        <v>15.8</v>
      </c>
      <c r="O5">
        <v>16.2</v>
      </c>
      <c r="P5">
        <v>14.8</v>
      </c>
      <c r="Q5">
        <v>17.2</v>
      </c>
      <c r="R5">
        <v>16.5</v>
      </c>
      <c r="S5">
        <v>20.9</v>
      </c>
      <c r="T5">
        <v>21.7</v>
      </c>
      <c r="U5">
        <v>29.1</v>
      </c>
      <c r="V5">
        <v>23.8</v>
      </c>
      <c r="W5">
        <v>25.7</v>
      </c>
      <c r="X5">
        <v>36.799999999999997</v>
      </c>
      <c r="Y5">
        <v>26.7</v>
      </c>
      <c r="Z5">
        <v>28.7</v>
      </c>
      <c r="AA5">
        <v>30.2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23</v>
      </c>
      <c r="E6">
        <v>28</v>
      </c>
      <c r="H6">
        <v>25.6</v>
      </c>
      <c r="I6">
        <v>20.8</v>
      </c>
      <c r="J6">
        <v>16.399999999999999</v>
      </c>
      <c r="K6">
        <v>17.600000000000001</v>
      </c>
      <c r="L6">
        <v>16.2</v>
      </c>
      <c r="M6">
        <v>17.3</v>
      </c>
      <c r="N6">
        <v>18.5</v>
      </c>
      <c r="O6">
        <v>20.5</v>
      </c>
      <c r="P6">
        <v>21.3</v>
      </c>
      <c r="Q6">
        <v>21.4</v>
      </c>
      <c r="R6">
        <v>18.600000000000001</v>
      </c>
      <c r="S6">
        <v>22.9</v>
      </c>
      <c r="T6">
        <v>21.5</v>
      </c>
      <c r="U6">
        <v>20.9</v>
      </c>
      <c r="V6">
        <v>19.3</v>
      </c>
      <c r="W6">
        <v>20.5</v>
      </c>
      <c r="X6">
        <v>25.2</v>
      </c>
      <c r="Y6">
        <v>29.6</v>
      </c>
      <c r="Z6">
        <v>27.5</v>
      </c>
      <c r="AA6">
        <v>28.1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26.3</v>
      </c>
      <c r="E7">
        <v>33.4</v>
      </c>
      <c r="H7">
        <v>24.8</v>
      </c>
      <c r="I7">
        <v>20.100000000000001</v>
      </c>
      <c r="J7">
        <v>14.9</v>
      </c>
      <c r="K7">
        <v>17.600000000000001</v>
      </c>
      <c r="L7">
        <v>18.8</v>
      </c>
      <c r="M7">
        <v>17.2</v>
      </c>
      <c r="N7">
        <v>21</v>
      </c>
      <c r="O7">
        <v>18.399999999999999</v>
      </c>
      <c r="P7">
        <v>18.899999999999999</v>
      </c>
      <c r="Q7">
        <v>20.9</v>
      </c>
      <c r="R7">
        <v>16.100000000000001</v>
      </c>
      <c r="S7">
        <v>23.5</v>
      </c>
      <c r="T7">
        <v>17.399999999999999</v>
      </c>
      <c r="U7">
        <v>17.899999999999999</v>
      </c>
      <c r="V7">
        <v>16.3</v>
      </c>
      <c r="W7">
        <v>20.6</v>
      </c>
      <c r="X7">
        <v>25.5</v>
      </c>
      <c r="Y7">
        <v>21.4</v>
      </c>
      <c r="Z7">
        <v>27.9</v>
      </c>
      <c r="AA7">
        <v>28.1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28.5</v>
      </c>
      <c r="E8">
        <v>38.799999999999997</v>
      </c>
      <c r="H8">
        <v>23.1</v>
      </c>
      <c r="I8">
        <v>20.5</v>
      </c>
      <c r="J8">
        <v>17.7</v>
      </c>
      <c r="K8">
        <v>15.9</v>
      </c>
      <c r="L8">
        <v>16.3</v>
      </c>
      <c r="M8">
        <v>16.600000000000001</v>
      </c>
      <c r="N8">
        <v>21.5</v>
      </c>
      <c r="O8">
        <v>22.3</v>
      </c>
      <c r="P8">
        <v>20.6</v>
      </c>
      <c r="Q8">
        <v>20</v>
      </c>
      <c r="R8">
        <v>20.8</v>
      </c>
      <c r="S8">
        <v>19.7</v>
      </c>
      <c r="T8">
        <v>17.7</v>
      </c>
      <c r="U8">
        <v>15.8</v>
      </c>
      <c r="V8">
        <v>22.1</v>
      </c>
      <c r="W8">
        <v>21</v>
      </c>
      <c r="X8">
        <v>27.6</v>
      </c>
      <c r="Y8">
        <v>25.9</v>
      </c>
      <c r="Z8">
        <v>29.2</v>
      </c>
      <c r="AA8">
        <v>27.1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28.2</v>
      </c>
      <c r="E9">
        <v>40.6</v>
      </c>
      <c r="H9">
        <v>19.3</v>
      </c>
      <c r="I9">
        <v>22.4</v>
      </c>
      <c r="J9">
        <v>16.899999999999999</v>
      </c>
      <c r="K9">
        <v>15.7</v>
      </c>
      <c r="L9">
        <v>17.399999999999999</v>
      </c>
      <c r="M9">
        <v>19.100000000000001</v>
      </c>
      <c r="N9">
        <v>20.100000000000001</v>
      </c>
      <c r="O9">
        <v>20.8</v>
      </c>
      <c r="P9">
        <v>17.600000000000001</v>
      </c>
      <c r="Q9">
        <v>18</v>
      </c>
      <c r="R9">
        <v>21.2</v>
      </c>
      <c r="S9">
        <v>21.4</v>
      </c>
      <c r="T9">
        <v>20.100000000000001</v>
      </c>
      <c r="U9">
        <v>19.5</v>
      </c>
      <c r="V9">
        <v>18.8</v>
      </c>
      <c r="W9">
        <v>21.5</v>
      </c>
      <c r="X9">
        <v>24.2</v>
      </c>
      <c r="Y9">
        <v>19.600000000000001</v>
      </c>
      <c r="Z9">
        <v>25.7</v>
      </c>
      <c r="AA9">
        <v>23.9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26</v>
      </c>
      <c r="E10">
        <v>44</v>
      </c>
      <c r="H10">
        <v>21.8</v>
      </c>
      <c r="I10">
        <v>21.6</v>
      </c>
      <c r="J10">
        <v>20.6</v>
      </c>
      <c r="K10">
        <v>19.3</v>
      </c>
      <c r="L10">
        <v>15.5</v>
      </c>
      <c r="M10">
        <v>20.100000000000001</v>
      </c>
      <c r="N10">
        <v>18.600000000000001</v>
      </c>
      <c r="O10">
        <v>23.7</v>
      </c>
      <c r="P10">
        <v>16.399999999999999</v>
      </c>
      <c r="Q10">
        <v>19.2</v>
      </c>
      <c r="R10">
        <v>21</v>
      </c>
      <c r="S10">
        <v>21.7</v>
      </c>
      <c r="T10">
        <v>18.3</v>
      </c>
      <c r="U10">
        <v>17.7</v>
      </c>
      <c r="V10">
        <v>17.3</v>
      </c>
      <c r="W10">
        <v>16.5</v>
      </c>
      <c r="X10">
        <v>21.8</v>
      </c>
      <c r="Y10">
        <v>27.5</v>
      </c>
      <c r="Z10">
        <v>26.2</v>
      </c>
      <c r="AA10">
        <v>29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26.6</v>
      </c>
      <c r="E11">
        <v>36.4</v>
      </c>
      <c r="H11">
        <v>32.4</v>
      </c>
      <c r="I11">
        <v>24.9</v>
      </c>
      <c r="J11">
        <v>22.8</v>
      </c>
      <c r="K11">
        <v>23.3</v>
      </c>
      <c r="L11">
        <v>23.1</v>
      </c>
      <c r="M11">
        <v>21.8</v>
      </c>
      <c r="N11">
        <v>21.5</v>
      </c>
      <c r="O11">
        <v>19.100000000000001</v>
      </c>
      <c r="P11">
        <v>15.6</v>
      </c>
      <c r="Q11">
        <v>20.100000000000001</v>
      </c>
      <c r="R11">
        <v>17.899999999999999</v>
      </c>
      <c r="S11">
        <v>20.100000000000001</v>
      </c>
      <c r="T11">
        <v>18.899999999999999</v>
      </c>
      <c r="U11">
        <v>24.4</v>
      </c>
      <c r="V11">
        <v>24</v>
      </c>
      <c r="W11">
        <v>25.7</v>
      </c>
      <c r="X11">
        <v>21</v>
      </c>
      <c r="Y11">
        <v>22.4</v>
      </c>
      <c r="Z11">
        <v>35.1</v>
      </c>
      <c r="AA11">
        <v>23.4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31.5</v>
      </c>
      <c r="E12">
        <v>18.2</v>
      </c>
      <c r="H12">
        <v>18.8</v>
      </c>
      <c r="I12">
        <v>19.2</v>
      </c>
      <c r="J12">
        <v>21.9</v>
      </c>
      <c r="K12">
        <v>18.3</v>
      </c>
      <c r="L12">
        <v>16.7</v>
      </c>
      <c r="M12">
        <v>16.3</v>
      </c>
      <c r="N12">
        <v>15</v>
      </c>
      <c r="O12">
        <v>17.100000000000001</v>
      </c>
      <c r="P12">
        <v>16.5</v>
      </c>
      <c r="Q12">
        <v>14.9</v>
      </c>
      <c r="R12">
        <v>19.2</v>
      </c>
      <c r="S12">
        <v>17.899999999999999</v>
      </c>
      <c r="T12">
        <v>20.399999999999999</v>
      </c>
      <c r="U12">
        <v>24.2</v>
      </c>
      <c r="V12">
        <v>23.4</v>
      </c>
      <c r="W12">
        <v>22.3</v>
      </c>
      <c r="X12">
        <v>25.7</v>
      </c>
      <c r="Y12">
        <v>23.8</v>
      </c>
      <c r="Z12">
        <v>28.6</v>
      </c>
      <c r="AA12">
        <v>31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25.7</v>
      </c>
      <c r="E13">
        <v>24.9</v>
      </c>
      <c r="H13">
        <v>19.399999999999999</v>
      </c>
      <c r="I13">
        <v>23.9</v>
      </c>
      <c r="J13">
        <v>16.399999999999999</v>
      </c>
      <c r="K13">
        <v>17.100000000000001</v>
      </c>
      <c r="L13">
        <v>17.899999999999999</v>
      </c>
      <c r="M13">
        <v>17.7</v>
      </c>
      <c r="N13">
        <v>20</v>
      </c>
      <c r="O13">
        <v>24.4</v>
      </c>
      <c r="P13">
        <v>18.7</v>
      </c>
      <c r="Q13">
        <v>17</v>
      </c>
      <c r="R13">
        <v>22</v>
      </c>
      <c r="S13">
        <v>21</v>
      </c>
      <c r="T13">
        <v>19.2</v>
      </c>
      <c r="U13">
        <v>17.2</v>
      </c>
      <c r="V13">
        <v>18</v>
      </c>
      <c r="W13">
        <v>18.7</v>
      </c>
      <c r="X13">
        <v>27.8</v>
      </c>
      <c r="Y13">
        <v>22.6</v>
      </c>
      <c r="Z13">
        <v>28.3</v>
      </c>
      <c r="AA13">
        <v>30.2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27.9</v>
      </c>
      <c r="E14">
        <v>33.6</v>
      </c>
      <c r="H14">
        <v>23.9</v>
      </c>
      <c r="I14">
        <v>19.8</v>
      </c>
      <c r="J14">
        <v>15.1</v>
      </c>
      <c r="K14">
        <v>18.3</v>
      </c>
      <c r="L14">
        <v>15.7</v>
      </c>
      <c r="M14">
        <v>18.3</v>
      </c>
      <c r="N14">
        <v>18</v>
      </c>
      <c r="O14">
        <v>20.2</v>
      </c>
      <c r="P14">
        <v>18.100000000000001</v>
      </c>
      <c r="Q14">
        <v>17.3</v>
      </c>
      <c r="R14">
        <v>18.8</v>
      </c>
      <c r="S14">
        <v>20.8</v>
      </c>
      <c r="T14">
        <v>19.5</v>
      </c>
      <c r="U14">
        <v>17.8</v>
      </c>
      <c r="V14">
        <v>16.600000000000001</v>
      </c>
      <c r="W14">
        <v>22.9</v>
      </c>
      <c r="X14">
        <v>23.4</v>
      </c>
      <c r="Y14">
        <v>25.9</v>
      </c>
      <c r="Z14">
        <v>27.3</v>
      </c>
      <c r="AA14">
        <v>30.7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28.7</v>
      </c>
      <c r="E15">
        <v>40.6</v>
      </c>
      <c r="H15">
        <v>30</v>
      </c>
      <c r="I15">
        <v>21.2</v>
      </c>
      <c r="J15">
        <v>17.600000000000001</v>
      </c>
      <c r="K15">
        <v>13.7</v>
      </c>
      <c r="L15">
        <v>16</v>
      </c>
      <c r="M15">
        <v>19.3</v>
      </c>
      <c r="N15">
        <v>21.1</v>
      </c>
      <c r="O15">
        <v>21.6</v>
      </c>
      <c r="P15">
        <v>18.899999999999999</v>
      </c>
      <c r="Q15">
        <v>22.5</v>
      </c>
      <c r="R15">
        <v>20</v>
      </c>
      <c r="S15">
        <v>22.6</v>
      </c>
      <c r="T15">
        <v>19.100000000000001</v>
      </c>
      <c r="U15">
        <v>16.399999999999999</v>
      </c>
      <c r="V15">
        <v>20.100000000000001</v>
      </c>
      <c r="W15">
        <v>25.1</v>
      </c>
      <c r="X15">
        <v>25.8</v>
      </c>
      <c r="Y15">
        <v>26.9</v>
      </c>
      <c r="Z15">
        <v>23.9</v>
      </c>
      <c r="AA15">
        <v>27.2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27.4</v>
      </c>
      <c r="E16">
        <v>41.2</v>
      </c>
      <c r="H16">
        <v>19.2</v>
      </c>
      <c r="I16">
        <v>20.2</v>
      </c>
      <c r="J16">
        <v>15.5</v>
      </c>
      <c r="K16">
        <v>15.8</v>
      </c>
      <c r="L16">
        <v>15.9</v>
      </c>
      <c r="M16">
        <v>17.100000000000001</v>
      </c>
      <c r="N16">
        <v>20.2</v>
      </c>
      <c r="O16">
        <v>20.399999999999999</v>
      </c>
      <c r="P16">
        <v>19.100000000000001</v>
      </c>
      <c r="Q16">
        <v>16.5</v>
      </c>
      <c r="R16">
        <v>18.100000000000001</v>
      </c>
      <c r="S16">
        <v>20.100000000000001</v>
      </c>
      <c r="T16">
        <v>18.8</v>
      </c>
      <c r="U16">
        <v>15.2</v>
      </c>
      <c r="V16">
        <v>20</v>
      </c>
      <c r="W16">
        <v>21.2</v>
      </c>
      <c r="X16">
        <v>26.3</v>
      </c>
      <c r="Y16">
        <v>17.899999999999999</v>
      </c>
      <c r="Z16">
        <v>24.9</v>
      </c>
      <c r="AA16">
        <v>28.4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26.7</v>
      </c>
      <c r="E17">
        <v>26.3</v>
      </c>
      <c r="H17">
        <v>25.8</v>
      </c>
      <c r="I17">
        <v>22.3</v>
      </c>
      <c r="J17">
        <v>16.399999999999999</v>
      </c>
      <c r="K17">
        <v>15.8</v>
      </c>
      <c r="L17">
        <v>15.1</v>
      </c>
      <c r="M17">
        <v>20.100000000000001</v>
      </c>
      <c r="N17">
        <v>21.4</v>
      </c>
      <c r="O17">
        <v>23.4</v>
      </c>
      <c r="P17">
        <v>18.600000000000001</v>
      </c>
      <c r="Q17">
        <v>21.8</v>
      </c>
      <c r="R17">
        <v>21.7</v>
      </c>
      <c r="S17">
        <v>19.8</v>
      </c>
      <c r="T17">
        <v>18.399999999999999</v>
      </c>
      <c r="U17">
        <v>16.7</v>
      </c>
      <c r="V17">
        <v>17.100000000000001</v>
      </c>
      <c r="W17">
        <v>14.9</v>
      </c>
      <c r="X17">
        <v>25.5</v>
      </c>
      <c r="Y17">
        <v>22.3</v>
      </c>
      <c r="Z17">
        <v>27.4</v>
      </c>
      <c r="AA17">
        <v>27.5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25.9</v>
      </c>
      <c r="E18">
        <v>28</v>
      </c>
      <c r="H18">
        <v>37.1</v>
      </c>
      <c r="I18">
        <v>26.6</v>
      </c>
      <c r="J18">
        <v>27.3</v>
      </c>
      <c r="K18">
        <v>24.7</v>
      </c>
      <c r="L18">
        <v>20.9</v>
      </c>
      <c r="M18">
        <v>28.1</v>
      </c>
      <c r="N18">
        <v>19.2</v>
      </c>
      <c r="O18">
        <v>22.7</v>
      </c>
      <c r="P18">
        <v>20.9</v>
      </c>
      <c r="Q18">
        <v>18</v>
      </c>
      <c r="R18">
        <v>22.1</v>
      </c>
      <c r="S18">
        <v>18.7</v>
      </c>
      <c r="T18">
        <v>21.1</v>
      </c>
      <c r="U18">
        <v>23.1</v>
      </c>
      <c r="V18">
        <v>18.899999999999999</v>
      </c>
      <c r="W18">
        <v>18.3</v>
      </c>
      <c r="X18">
        <v>21.5</v>
      </c>
      <c r="Y18">
        <v>25</v>
      </c>
      <c r="Z18">
        <v>28.3</v>
      </c>
      <c r="AA18">
        <v>31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42.2</v>
      </c>
      <c r="H19">
        <v>30.1</v>
      </c>
      <c r="I19">
        <v>21.9</v>
      </c>
      <c r="J19">
        <v>23.3</v>
      </c>
      <c r="K19">
        <v>20.6</v>
      </c>
      <c r="L19">
        <v>19.399999999999999</v>
      </c>
      <c r="M19">
        <v>18.3</v>
      </c>
      <c r="N19">
        <v>15.7</v>
      </c>
      <c r="O19">
        <v>15</v>
      </c>
      <c r="P19">
        <v>14.1</v>
      </c>
      <c r="Q19">
        <v>15.5</v>
      </c>
      <c r="R19">
        <v>17.3</v>
      </c>
      <c r="S19">
        <v>18.8</v>
      </c>
      <c r="T19">
        <v>24.8</v>
      </c>
      <c r="U19">
        <v>23.9</v>
      </c>
      <c r="V19">
        <v>28.2</v>
      </c>
      <c r="W19">
        <v>23.1</v>
      </c>
      <c r="X19">
        <v>21.2</v>
      </c>
      <c r="Y19">
        <v>23.7</v>
      </c>
      <c r="Z19">
        <v>27.6</v>
      </c>
      <c r="AA19">
        <v>28.3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25.3</v>
      </c>
      <c r="E20">
        <v>26.7</v>
      </c>
      <c r="H20">
        <v>28.6</v>
      </c>
      <c r="I20">
        <v>23</v>
      </c>
      <c r="J20">
        <v>17.100000000000001</v>
      </c>
      <c r="K20">
        <v>15.9</v>
      </c>
      <c r="L20">
        <v>17.100000000000001</v>
      </c>
      <c r="M20">
        <v>21.5</v>
      </c>
      <c r="N20">
        <v>19.8</v>
      </c>
      <c r="O20">
        <v>19.899999999999999</v>
      </c>
      <c r="P20">
        <v>18.5</v>
      </c>
      <c r="Q20">
        <v>18.899999999999999</v>
      </c>
      <c r="R20">
        <v>19.100000000000001</v>
      </c>
      <c r="S20">
        <v>19.100000000000001</v>
      </c>
      <c r="T20">
        <v>16.8</v>
      </c>
      <c r="U20">
        <v>17.5</v>
      </c>
      <c r="V20">
        <v>16.399999999999999</v>
      </c>
      <c r="W20">
        <v>22.5</v>
      </c>
      <c r="X20">
        <v>26.3</v>
      </c>
      <c r="Y20">
        <v>28</v>
      </c>
      <c r="Z20">
        <v>30.1</v>
      </c>
      <c r="AA20">
        <v>29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27.2</v>
      </c>
      <c r="E21">
        <v>29.1</v>
      </c>
      <c r="H21">
        <v>23.1</v>
      </c>
      <c r="I21">
        <v>23.3</v>
      </c>
      <c r="J21">
        <v>17.8</v>
      </c>
      <c r="K21">
        <v>15.8</v>
      </c>
      <c r="L21">
        <v>14.4</v>
      </c>
      <c r="M21">
        <v>18.2</v>
      </c>
      <c r="N21">
        <v>18.899999999999999</v>
      </c>
      <c r="O21">
        <v>19.399999999999999</v>
      </c>
      <c r="P21">
        <v>18.5</v>
      </c>
      <c r="Q21">
        <v>20.399999999999999</v>
      </c>
      <c r="R21">
        <v>20.3</v>
      </c>
      <c r="S21">
        <v>17.899999999999999</v>
      </c>
      <c r="T21">
        <v>20</v>
      </c>
      <c r="U21">
        <v>17.899999999999999</v>
      </c>
      <c r="V21">
        <v>13.7</v>
      </c>
      <c r="W21">
        <v>22</v>
      </c>
      <c r="X21">
        <v>26.4</v>
      </c>
      <c r="Y21">
        <v>23.9</v>
      </c>
      <c r="Z21">
        <v>24.8</v>
      </c>
      <c r="AA21">
        <v>27.1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27</v>
      </c>
      <c r="E22">
        <v>33.700000000000003</v>
      </c>
      <c r="H22">
        <v>24.7</v>
      </c>
      <c r="I22">
        <v>21.3</v>
      </c>
      <c r="J22">
        <v>17.5</v>
      </c>
      <c r="K22">
        <v>17</v>
      </c>
      <c r="L22">
        <v>14.6</v>
      </c>
      <c r="M22">
        <v>16.2</v>
      </c>
      <c r="N22">
        <v>19.8</v>
      </c>
      <c r="O22">
        <v>19.8</v>
      </c>
      <c r="P22">
        <v>18.7</v>
      </c>
      <c r="Q22">
        <v>17</v>
      </c>
      <c r="R22">
        <v>20.2</v>
      </c>
      <c r="S22">
        <v>18.100000000000001</v>
      </c>
      <c r="T22">
        <v>19.899999999999999</v>
      </c>
      <c r="U22">
        <v>16</v>
      </c>
      <c r="V22">
        <v>18.399999999999999</v>
      </c>
      <c r="W22">
        <v>21.8</v>
      </c>
      <c r="X22">
        <v>22.4</v>
      </c>
      <c r="Y22">
        <v>22.2</v>
      </c>
      <c r="Z22">
        <v>24.9</v>
      </c>
      <c r="AA22">
        <v>34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24.6</v>
      </c>
      <c r="E23">
        <v>23.6</v>
      </c>
      <c r="H23">
        <v>22</v>
      </c>
      <c r="I23">
        <v>21.3</v>
      </c>
      <c r="J23">
        <v>17</v>
      </c>
      <c r="K23">
        <v>15.2</v>
      </c>
      <c r="L23">
        <v>15.7</v>
      </c>
      <c r="M23">
        <v>17.399999999999999</v>
      </c>
      <c r="N23">
        <v>21.2</v>
      </c>
      <c r="O23">
        <v>19.8</v>
      </c>
      <c r="P23">
        <v>17.899999999999999</v>
      </c>
      <c r="Q23">
        <v>17.100000000000001</v>
      </c>
      <c r="R23">
        <v>21.8</v>
      </c>
      <c r="S23">
        <v>22.4</v>
      </c>
      <c r="T23">
        <v>16.600000000000001</v>
      </c>
      <c r="U23">
        <v>14.9</v>
      </c>
      <c r="V23">
        <v>17.2</v>
      </c>
      <c r="W23">
        <v>13.4</v>
      </c>
      <c r="X23">
        <v>26.2</v>
      </c>
      <c r="Y23">
        <v>22.7</v>
      </c>
      <c r="Z23">
        <v>22.4</v>
      </c>
      <c r="AA23">
        <v>26.9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25.2</v>
      </c>
      <c r="E24">
        <v>35</v>
      </c>
      <c r="H24">
        <v>24.5</v>
      </c>
      <c r="I24">
        <v>20.9</v>
      </c>
      <c r="J24">
        <v>16.899999999999999</v>
      </c>
      <c r="K24">
        <v>14.3</v>
      </c>
      <c r="L24">
        <v>15.4</v>
      </c>
      <c r="M24">
        <v>18.399999999999999</v>
      </c>
      <c r="N24">
        <v>17.2</v>
      </c>
      <c r="O24">
        <v>19.3</v>
      </c>
      <c r="P24">
        <v>19.5</v>
      </c>
      <c r="Q24">
        <v>17.7</v>
      </c>
      <c r="R24">
        <v>22.1</v>
      </c>
      <c r="S24">
        <v>21.4</v>
      </c>
      <c r="T24">
        <v>17.3</v>
      </c>
      <c r="U24">
        <v>15.6</v>
      </c>
      <c r="V24">
        <v>15.4</v>
      </c>
      <c r="W24">
        <v>18.8</v>
      </c>
      <c r="X24">
        <v>22</v>
      </c>
      <c r="Y24">
        <v>22.1</v>
      </c>
      <c r="Z24">
        <v>20.6</v>
      </c>
      <c r="AA24">
        <v>24.5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32.5</v>
      </c>
      <c r="E25">
        <v>31.1</v>
      </c>
      <c r="H25">
        <v>31.5</v>
      </c>
      <c r="I25">
        <v>24.9</v>
      </c>
      <c r="J25">
        <v>24.2</v>
      </c>
      <c r="K25">
        <v>21.3</v>
      </c>
      <c r="L25">
        <v>20.100000000000001</v>
      </c>
      <c r="M25">
        <v>21.2</v>
      </c>
      <c r="N25">
        <v>18.399999999999999</v>
      </c>
      <c r="O25">
        <v>16.8</v>
      </c>
      <c r="P25">
        <v>20.7</v>
      </c>
      <c r="Q25">
        <v>22.2</v>
      </c>
      <c r="R25">
        <v>16.8</v>
      </c>
      <c r="T25">
        <v>17.899999999999999</v>
      </c>
      <c r="V25">
        <v>29.4</v>
      </c>
      <c r="X25">
        <v>21.6</v>
      </c>
      <c r="Z25">
        <v>23.6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31.3</v>
      </c>
      <c r="E26">
        <v>24.4</v>
      </c>
      <c r="H26">
        <v>24</v>
      </c>
      <c r="I26">
        <v>20.8</v>
      </c>
      <c r="J26">
        <v>21.5</v>
      </c>
      <c r="K26">
        <v>20.6</v>
      </c>
      <c r="L26">
        <v>19.600000000000001</v>
      </c>
      <c r="M26">
        <v>16.5</v>
      </c>
      <c r="N26">
        <v>14.2</v>
      </c>
      <c r="O26">
        <v>14.3</v>
      </c>
      <c r="P26">
        <v>16.5</v>
      </c>
      <c r="Q26">
        <v>14.8</v>
      </c>
      <c r="R26">
        <v>13.8</v>
      </c>
      <c r="S26">
        <v>21.1</v>
      </c>
      <c r="T26">
        <v>25.5</v>
      </c>
      <c r="U26">
        <v>28.9</v>
      </c>
      <c r="V26">
        <v>22.9</v>
      </c>
      <c r="W26">
        <v>20</v>
      </c>
      <c r="X26">
        <v>25</v>
      </c>
      <c r="Y26">
        <v>26.1</v>
      </c>
      <c r="Z26">
        <v>20.100000000000001</v>
      </c>
      <c r="AA26">
        <v>28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18.399999999999999</v>
      </c>
      <c r="E27">
        <v>26.6</v>
      </c>
      <c r="H27">
        <v>27.3</v>
      </c>
      <c r="I27">
        <v>22.2</v>
      </c>
      <c r="J27">
        <v>16.7</v>
      </c>
      <c r="K27">
        <v>17.600000000000001</v>
      </c>
      <c r="L27">
        <v>14.4</v>
      </c>
      <c r="M27">
        <v>19.600000000000001</v>
      </c>
      <c r="N27">
        <v>22.1</v>
      </c>
      <c r="O27">
        <v>21</v>
      </c>
      <c r="P27">
        <v>17.5</v>
      </c>
      <c r="Q27">
        <v>16.8</v>
      </c>
      <c r="R27">
        <v>23.4</v>
      </c>
      <c r="S27">
        <v>19.7</v>
      </c>
      <c r="T27">
        <v>15.5</v>
      </c>
      <c r="U27">
        <v>15</v>
      </c>
      <c r="V27">
        <v>18.399999999999999</v>
      </c>
      <c r="W27">
        <v>21.5</v>
      </c>
      <c r="X27">
        <v>23.3</v>
      </c>
      <c r="Y27">
        <v>22</v>
      </c>
      <c r="Z27">
        <v>23.1</v>
      </c>
      <c r="AA27">
        <v>27.7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24</v>
      </c>
      <c r="E28">
        <v>30.8</v>
      </c>
      <c r="H28">
        <v>22</v>
      </c>
      <c r="I28">
        <v>20.9</v>
      </c>
      <c r="J28">
        <v>17</v>
      </c>
      <c r="K28">
        <v>14</v>
      </c>
      <c r="L28">
        <v>17.2</v>
      </c>
      <c r="M28">
        <v>16.600000000000001</v>
      </c>
      <c r="N28">
        <v>18.600000000000001</v>
      </c>
      <c r="O28">
        <v>22.2</v>
      </c>
      <c r="P28">
        <v>18.8</v>
      </c>
      <c r="Q28">
        <v>19.2</v>
      </c>
      <c r="R28">
        <v>18.899999999999999</v>
      </c>
      <c r="S28">
        <v>20.6</v>
      </c>
      <c r="T28">
        <v>18.3</v>
      </c>
      <c r="U28">
        <v>18.3</v>
      </c>
      <c r="V28">
        <v>18.2</v>
      </c>
      <c r="W28">
        <v>20.6</v>
      </c>
      <c r="X28">
        <v>29.8</v>
      </c>
      <c r="Y28">
        <v>22.6</v>
      </c>
      <c r="Z28">
        <v>25.9</v>
      </c>
      <c r="AA28">
        <v>26.9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25.4</v>
      </c>
      <c r="E29">
        <v>33.4</v>
      </c>
      <c r="H29">
        <v>27.3</v>
      </c>
      <c r="I29">
        <v>22.7</v>
      </c>
      <c r="J29">
        <v>17.3</v>
      </c>
      <c r="K29">
        <v>14.7</v>
      </c>
      <c r="L29">
        <v>16.399999999999999</v>
      </c>
      <c r="M29">
        <v>16.399999999999999</v>
      </c>
      <c r="N29">
        <v>19.899999999999999</v>
      </c>
      <c r="O29">
        <v>20.2</v>
      </c>
      <c r="P29">
        <v>18.8</v>
      </c>
      <c r="Q29">
        <v>19.8</v>
      </c>
      <c r="R29">
        <v>21.5</v>
      </c>
      <c r="S29">
        <v>19.600000000000001</v>
      </c>
      <c r="T29">
        <v>18.600000000000001</v>
      </c>
      <c r="U29">
        <v>18.899999999999999</v>
      </c>
      <c r="V29">
        <v>16</v>
      </c>
      <c r="W29">
        <v>23.1</v>
      </c>
      <c r="X29">
        <v>21.5</v>
      </c>
      <c r="Y29">
        <v>26.4</v>
      </c>
      <c r="Z29">
        <v>25.1</v>
      </c>
      <c r="AA29">
        <v>30.7</v>
      </c>
    </row>
    <row r="31" spans="1:27" x14ac:dyDescent="0.25">
      <c r="C31">
        <v>1</v>
      </c>
      <c r="D31">
        <f t="array" ref="D31">MEDIAN(IF($C$3:$C$29=$C31,D$3:D$29,""))</f>
        <v>31.4</v>
      </c>
      <c r="E31">
        <f t="array" ref="E31">MEDIAN(IF($C$3:$C$29=$C31,E$3:E$29,""))</f>
        <v>21.299999999999997</v>
      </c>
      <c r="F31">
        <f t="array" ref="F31">MEDIAN(IF($C$3:$C$29=$C31,F$3:F$29,""))</f>
        <v>0</v>
      </c>
      <c r="G31">
        <v>26</v>
      </c>
      <c r="H31">
        <f t="array" ref="H31">MEDIAN(IF($C$3:$C$29=$C31,H$3:H$29,""))</f>
        <v>27.05</v>
      </c>
      <c r="I31">
        <f t="array" ref="I31">MEDIAN(IF($C$3:$C$29=$C31,I$3:I$29,""))</f>
        <v>21.35</v>
      </c>
      <c r="J31">
        <f t="array" ref="J31">MEDIAN(IF($C$3:$C$29=$C31,J$3:J$29,""))</f>
        <v>21.7</v>
      </c>
      <c r="K31">
        <f t="array" ref="K31">MEDIAN(IF($C$3:$C$29=$C31,K$3:K$29,""))</f>
        <v>20.6</v>
      </c>
      <c r="L31">
        <f t="array" ref="L31">MEDIAN(IF($C$3:$C$29=$C31,L$3:L$29,""))</f>
        <v>19.5</v>
      </c>
      <c r="M31">
        <f t="array" ref="M31">MEDIAN(IF($C$3:$C$29=$C31,M$3:M$29,""))</f>
        <v>17.399999999999999</v>
      </c>
      <c r="N31">
        <f t="array" ref="N31">MEDIAN(IF($C$3:$C$29=$C31,N$3:N$29,""))</f>
        <v>15.35</v>
      </c>
      <c r="O31">
        <f t="array" ref="O31">MEDIAN(IF($C$3:$C$29=$C31,O$3:O$29,""))</f>
        <v>15.6</v>
      </c>
      <c r="P31">
        <f t="array" ref="P31">MEDIAN(IF($C$3:$C$29=$C31,P$3:P$29,""))</f>
        <v>15.65</v>
      </c>
      <c r="Q31">
        <f t="array" ref="Q31">MEDIAN(IF($C$3:$C$29=$C31,Q$3:Q$29,""))</f>
        <v>15.2</v>
      </c>
      <c r="R31">
        <f t="array" ref="R31">MEDIAN(IF($C$3:$C$29=$C31,R$3:R$29,""))</f>
        <v>16.899999999999999</v>
      </c>
      <c r="S31">
        <f t="array" ref="S31">MEDIAN(IF($C$3:$C$29=$C31,S$3:S$29,""))</f>
        <v>19.850000000000001</v>
      </c>
      <c r="T31">
        <f t="array" ref="T31">MEDIAN(IF($C$3:$C$29=$C31,T$3:T$29,""))</f>
        <v>23.25</v>
      </c>
      <c r="U31">
        <f t="array" ref="U31">MEDIAN(IF($C$3:$C$29=$C31,U$3:U$29,""))</f>
        <v>26.549999999999997</v>
      </c>
      <c r="V31">
        <f t="array" ref="V31">MEDIAN(IF($C$3:$C$29=$C31,V$3:V$29,""))</f>
        <v>23.6</v>
      </c>
      <c r="W31">
        <f t="array" ref="W31">MEDIAN(IF($C$3:$C$29=$C31,W$3:W$29,""))</f>
        <v>22.700000000000003</v>
      </c>
      <c r="X31">
        <f t="array" ref="X31">MEDIAN(IF($C$3:$C$29=$C31,X$3:X$29,""))</f>
        <v>25.35</v>
      </c>
      <c r="Y31">
        <f t="array" ref="Y31">MEDIAN(IF($C$3:$C$29=$C31,Y$3:Y$29,""))</f>
        <v>24.950000000000003</v>
      </c>
      <c r="Z31">
        <f t="array" ref="Z31">MEDIAN(IF($C$3:$C$29=$C31,Z$3:Z$29,""))</f>
        <v>28.1</v>
      </c>
      <c r="AA31">
        <f t="array" ref="AA31">MEDIAN(IF($C$3:$C$29=$C31,AA$3:AA$29,""))</f>
        <v>29.25</v>
      </c>
    </row>
    <row r="32" spans="1:27" x14ac:dyDescent="0.25">
      <c r="C32">
        <v>2</v>
      </c>
      <c r="D32">
        <f t="array" ref="D32">MEDIAN(IF($C$3:$C$29=$C32,D$3:D$29,""))</f>
        <v>29.05</v>
      </c>
      <c r="E32">
        <f t="array" ref="E32">MEDIAN(IF($C$3:$C$29=$C32,E$3:E$29,""))</f>
        <v>30.200000000000003</v>
      </c>
      <c r="F32">
        <f t="array" ref="F32">MEDIAN(IF($C$3:$C$29=$C32,F$3:F$29,""))</f>
        <v>0</v>
      </c>
      <c r="G32">
        <v>26</v>
      </c>
      <c r="H32">
        <f t="array" ref="H32">MEDIAN(IF($C$3:$C$29=$C32,H$3:H$29,""))</f>
        <v>31.95</v>
      </c>
      <c r="I32">
        <f t="array" ref="I32">MEDIAN(IF($C$3:$C$29=$C32,I$3:I$29,""))</f>
        <v>24.95</v>
      </c>
      <c r="J32">
        <f t="array" ref="J32">MEDIAN(IF($C$3:$C$29=$C32,J$3:J$29,""))</f>
        <v>23.5</v>
      </c>
      <c r="K32">
        <f t="array" ref="K32">MEDIAN(IF($C$3:$C$29=$C32,K$3:K$29,""))</f>
        <v>22.85</v>
      </c>
      <c r="L32">
        <f t="array" ref="L32">MEDIAN(IF($C$3:$C$29=$C32,L$3:L$29,""))</f>
        <v>21.549999999999997</v>
      </c>
      <c r="M32">
        <f t="array" ref="M32">MEDIAN(IF($C$3:$C$29=$C32,M$3:M$29,""))</f>
        <v>23.4</v>
      </c>
      <c r="N32">
        <f t="array" ref="N32">MEDIAN(IF($C$3:$C$29=$C32,N$3:N$29,""))</f>
        <v>19.399999999999999</v>
      </c>
      <c r="O32">
        <f t="array" ref="O32">MEDIAN(IF($C$3:$C$29=$C32,O$3:O$29,""))</f>
        <v>19.25</v>
      </c>
      <c r="P32">
        <f t="array" ref="P32">MEDIAN(IF($C$3:$C$29=$C32,P$3:P$29,""))</f>
        <v>19.799999999999997</v>
      </c>
      <c r="Q32">
        <f t="array" ref="Q32">MEDIAN(IF($C$3:$C$29=$C32,Q$3:Q$29,""))</f>
        <v>20.6</v>
      </c>
      <c r="R32">
        <f t="array" ref="R32">MEDIAN(IF($C$3:$C$29=$C32,R$3:R$29,""))</f>
        <v>17.799999999999997</v>
      </c>
      <c r="S32">
        <f t="array" ref="S32">MEDIAN(IF($C$3:$C$29=$C32,S$3:S$29,""))</f>
        <v>19.399999999999999</v>
      </c>
      <c r="T32">
        <f t="array" ref="T32">MEDIAN(IF($C$3:$C$29=$C32,T$3:T$29,""))</f>
        <v>18.399999999999999</v>
      </c>
      <c r="U32">
        <f t="array" ref="U32">MEDIAN(IF($C$3:$C$29=$C32,U$3:U$29,""))</f>
        <v>21.05</v>
      </c>
      <c r="V32">
        <f t="array" ref="V32">MEDIAN(IF($C$3:$C$29=$C32,V$3:V$29,""))</f>
        <v>22.55</v>
      </c>
      <c r="W32">
        <f t="array" ref="W32">MEDIAN(IF($C$3:$C$29=$C32,W$3:W$29,""))</f>
        <v>19.649999999999999</v>
      </c>
      <c r="X32">
        <f t="array" ref="X32">MEDIAN(IF($C$3:$C$29=$C32,X$3:X$29,""))</f>
        <v>21.55</v>
      </c>
      <c r="Y32">
        <f t="array" ref="Y32">MEDIAN(IF($C$3:$C$29=$C32,Y$3:Y$29,""))</f>
        <v>23.7</v>
      </c>
      <c r="Z32">
        <f t="array" ref="Z32">MEDIAN(IF($C$3:$C$29=$C32,Z$3:Z$29,""))</f>
        <v>28</v>
      </c>
      <c r="AA32">
        <f t="array" ref="AA32">MEDIAN(IF($C$3:$C$29=$C32,AA$3:AA$29,""))</f>
        <v>27.2</v>
      </c>
    </row>
    <row r="33" spans="3:27" x14ac:dyDescent="0.25">
      <c r="C33">
        <v>3</v>
      </c>
      <c r="D33">
        <f t="array" ref="D33">MEDIAN(IF($C$3:$C$29=$C33,D$3:D$29,""))</f>
        <v>24.15</v>
      </c>
      <c r="E33">
        <f t="array" ref="E33">MEDIAN(IF($C$3:$C$29=$C33,E$3:E$29,""))</f>
        <v>26.65</v>
      </c>
      <c r="F33">
        <f t="array" ref="F33">MEDIAN(IF($C$3:$C$29=$C33,F$3:F$29,""))</f>
        <v>0</v>
      </c>
      <c r="G33">
        <v>26</v>
      </c>
      <c r="H33">
        <f t="array" ref="H33">MEDIAN(IF($C$3:$C$29=$C33,H$3:H$29,""))</f>
        <v>26.450000000000003</v>
      </c>
      <c r="I33">
        <f t="array" ref="I33">MEDIAN(IF($C$3:$C$29=$C33,I$3:I$29,""))</f>
        <v>22.6</v>
      </c>
      <c r="J33">
        <f t="array" ref="J33">MEDIAN(IF($C$3:$C$29=$C33,J$3:J$29,""))</f>
        <v>16.549999999999997</v>
      </c>
      <c r="K33">
        <f t="array" ref="K33">MEDIAN(IF($C$3:$C$29=$C33,K$3:K$29,""))</f>
        <v>17.350000000000001</v>
      </c>
      <c r="L33">
        <f t="array" ref="L33">MEDIAN(IF($C$3:$C$29=$C33,L$3:L$29,""))</f>
        <v>16.649999999999999</v>
      </c>
      <c r="M33">
        <f t="array" ref="M33">MEDIAN(IF($C$3:$C$29=$C33,M$3:M$29,""))</f>
        <v>18.649999999999999</v>
      </c>
      <c r="N33">
        <f t="array" ref="N33">MEDIAN(IF($C$3:$C$29=$C33,N$3:N$29,""))</f>
        <v>19.899999999999999</v>
      </c>
      <c r="O33">
        <f t="array" ref="O33">MEDIAN(IF($C$3:$C$29=$C33,O$3:O$29,""))</f>
        <v>20.75</v>
      </c>
      <c r="P33">
        <f t="array" ref="P33">MEDIAN(IF($C$3:$C$29=$C33,P$3:P$29,""))</f>
        <v>18.600000000000001</v>
      </c>
      <c r="Q33">
        <f t="array" ref="Q33">MEDIAN(IF($C$3:$C$29=$C33,Q$3:Q$29,""))</f>
        <v>17.95</v>
      </c>
      <c r="R33">
        <f t="array" ref="R33">MEDIAN(IF($C$3:$C$29=$C33,R$3:R$29,""))</f>
        <v>20.55</v>
      </c>
      <c r="S33">
        <f t="array" ref="S33">MEDIAN(IF($C$3:$C$29=$C33,S$3:S$29,""))</f>
        <v>20.350000000000001</v>
      </c>
      <c r="T33">
        <f t="array" ref="T33">MEDIAN(IF($C$3:$C$29=$C33,T$3:T$29,""))</f>
        <v>18</v>
      </c>
      <c r="U33">
        <f t="array" ref="U33">MEDIAN(IF($C$3:$C$29=$C33,U$3:U$29,""))</f>
        <v>17.350000000000001</v>
      </c>
      <c r="V33">
        <f t="array" ref="V33">MEDIAN(IF($C$3:$C$29=$C33,V$3:V$29,""))</f>
        <v>18.2</v>
      </c>
      <c r="W33">
        <f t="array" ref="W33">MEDIAN(IF($C$3:$C$29=$C33,W$3:W$29,""))</f>
        <v>21</v>
      </c>
      <c r="X33">
        <f t="array" ref="X33">MEDIAN(IF($C$3:$C$29=$C33,X$3:X$29,""))</f>
        <v>25.75</v>
      </c>
      <c r="Y33">
        <f t="array" ref="Y33">MEDIAN(IF($C$3:$C$29=$C33,Y$3:Y$29,""))</f>
        <v>25.3</v>
      </c>
      <c r="Z33">
        <f t="array" ref="Z33">MEDIAN(IF($C$3:$C$29=$C33,Z$3:Z$29,""))</f>
        <v>27.9</v>
      </c>
      <c r="AA33">
        <f t="array" ref="AA33">MEDIAN(IF($C$3:$C$29=$C33,AA$3:AA$29,""))</f>
        <v>28.55</v>
      </c>
    </row>
    <row r="34" spans="3:27" x14ac:dyDescent="0.25">
      <c r="C34">
        <v>4</v>
      </c>
      <c r="D34">
        <f t="array" ref="D34">MEDIAN(IF($C$3:$C$29=$C34,D$3:D$29,""))</f>
        <v>26.75</v>
      </c>
      <c r="E34">
        <f t="array" ref="E34">MEDIAN(IF($C$3:$C$29=$C34,E$3:E$29,""))</f>
        <v>32.1</v>
      </c>
      <c r="F34">
        <f t="array" ref="F34">MEDIAN(IF($C$3:$C$29=$C34,F$3:F$29,""))</f>
        <v>0</v>
      </c>
      <c r="G34">
        <v>26</v>
      </c>
      <c r="H34">
        <f t="array" ref="H34">MEDIAN(IF($C$3:$C$29=$C34,H$3:H$29,""))</f>
        <v>23.5</v>
      </c>
      <c r="I34">
        <f t="array" ref="I34">MEDIAN(IF($C$3:$C$29=$C34,I$3:I$29,""))</f>
        <v>20.5</v>
      </c>
      <c r="J34">
        <f t="array" ref="J34">MEDIAN(IF($C$3:$C$29=$C34,J$3:J$29,""))</f>
        <v>16.05</v>
      </c>
      <c r="K34">
        <f t="array" ref="K34">MEDIAN(IF($C$3:$C$29=$C34,K$3:K$29,""))</f>
        <v>16.700000000000003</v>
      </c>
      <c r="L34">
        <f t="array" ref="L34">MEDIAN(IF($C$3:$C$29=$C34,L$3:L$29,""))</f>
        <v>16.45</v>
      </c>
      <c r="M34">
        <f t="array" ref="M34">MEDIAN(IF($C$3:$C$29=$C34,M$3:M$29,""))</f>
        <v>17.7</v>
      </c>
      <c r="N34">
        <f t="array" ref="N34">MEDIAN(IF($C$3:$C$29=$C34,N$3:N$29,""))</f>
        <v>18.75</v>
      </c>
      <c r="O34">
        <f t="array" ref="O34">MEDIAN(IF($C$3:$C$29=$C34,O$3:O$29,""))</f>
        <v>19.799999999999997</v>
      </c>
      <c r="P34">
        <f t="array" ref="P34">MEDIAN(IF($C$3:$C$29=$C34,P$3:P$29,""))</f>
        <v>18.649999999999999</v>
      </c>
      <c r="Q34">
        <f t="array" ref="Q34">MEDIAN(IF($C$3:$C$29=$C34,Q$3:Q$29,""))</f>
        <v>19.799999999999997</v>
      </c>
      <c r="R34">
        <f t="array" ref="R34">MEDIAN(IF($C$3:$C$29=$C34,R$3:R$29,""))</f>
        <v>18.850000000000001</v>
      </c>
      <c r="S34">
        <f t="array" ref="S34">MEDIAN(IF($C$3:$C$29=$C34,S$3:S$29,""))</f>
        <v>20.700000000000003</v>
      </c>
      <c r="T34">
        <f t="array" ref="T34">MEDIAN(IF($C$3:$C$29=$C34,T$3:T$29,""))</f>
        <v>18.899999999999999</v>
      </c>
      <c r="U34">
        <f t="array" ref="U34">MEDIAN(IF($C$3:$C$29=$C34,U$3:U$29,""))</f>
        <v>17.899999999999999</v>
      </c>
      <c r="V34">
        <f t="array" ref="V34">MEDIAN(IF($C$3:$C$29=$C34,V$3:V$29,""))</f>
        <v>16.450000000000003</v>
      </c>
      <c r="W34">
        <f t="array" ref="W34">MEDIAN(IF($C$3:$C$29=$C34,W$3:W$29,""))</f>
        <v>21.3</v>
      </c>
      <c r="X34">
        <f t="array" ref="X34">MEDIAN(IF($C$3:$C$29=$C34,X$3:X$29,""))</f>
        <v>25.95</v>
      </c>
      <c r="Y34">
        <f t="array" ref="Y34">MEDIAN(IF($C$3:$C$29=$C34,Y$3:Y$29,""))</f>
        <v>23.25</v>
      </c>
      <c r="Z34">
        <f t="array" ref="Z34">MEDIAN(IF($C$3:$C$29=$C34,Z$3:Z$29,""))</f>
        <v>26.6</v>
      </c>
      <c r="AA34">
        <f t="array" ref="AA34">MEDIAN(IF($C$3:$C$29=$C34,AA$3:AA$29,""))</f>
        <v>27.6</v>
      </c>
    </row>
    <row r="35" spans="3:27" x14ac:dyDescent="0.25">
      <c r="C35">
        <v>5</v>
      </c>
      <c r="D35">
        <f t="array" ref="D35">MEDIAN(IF($C$3:$C$29=$C35,D$3:D$29,""))</f>
        <v>27.75</v>
      </c>
      <c r="E35">
        <f t="array" ref="E35">MEDIAN(IF($C$3:$C$29=$C35,E$3:E$29,""))</f>
        <v>36.25</v>
      </c>
      <c r="F35">
        <f t="array" ref="F35">MEDIAN(IF($C$3:$C$29=$C35,F$3:F$29,""))</f>
        <v>0</v>
      </c>
      <c r="G35">
        <v>26</v>
      </c>
      <c r="H35">
        <f t="array" ref="H35">MEDIAN(IF($C$3:$C$29=$C35,H$3:H$29,""))</f>
        <v>26</v>
      </c>
      <c r="I35">
        <f t="array" ref="I35">MEDIAN(IF($C$3:$C$29=$C35,I$3:I$29,""))</f>
        <v>21.25</v>
      </c>
      <c r="J35">
        <f t="array" ref="J35">MEDIAN(IF($C$3:$C$29=$C35,J$3:J$29,""))</f>
        <v>17.55</v>
      </c>
      <c r="K35">
        <f t="array" ref="K35">MEDIAN(IF($C$3:$C$29=$C35,K$3:K$29,""))</f>
        <v>15.3</v>
      </c>
      <c r="L35">
        <f t="array" ref="L35">MEDIAN(IF($C$3:$C$29=$C35,L$3:L$29,""))</f>
        <v>16.149999999999999</v>
      </c>
      <c r="M35">
        <f t="array" ref="M35">MEDIAN(IF($C$3:$C$29=$C35,M$3:M$29,""))</f>
        <v>16.5</v>
      </c>
      <c r="N35">
        <f t="array" ref="N35">MEDIAN(IF($C$3:$C$29=$C35,N$3:N$29,""))</f>
        <v>20.5</v>
      </c>
      <c r="O35">
        <f t="array" ref="O35">MEDIAN(IF($C$3:$C$29=$C35,O$3:O$29,""))</f>
        <v>20.9</v>
      </c>
      <c r="P35">
        <f t="array" ref="P35">MEDIAN(IF($C$3:$C$29=$C35,P$3:P$29,""))</f>
        <v>18.850000000000001</v>
      </c>
      <c r="Q35">
        <f t="array" ref="Q35">MEDIAN(IF($C$3:$C$29=$C35,Q$3:Q$29,""))</f>
        <v>19.899999999999999</v>
      </c>
      <c r="R35">
        <f t="array" ref="R35">MEDIAN(IF($C$3:$C$29=$C35,R$3:R$29,""))</f>
        <v>20.5</v>
      </c>
      <c r="S35">
        <f t="array" ref="S35">MEDIAN(IF($C$3:$C$29=$C35,S$3:S$29,""))</f>
        <v>19.649999999999999</v>
      </c>
      <c r="T35">
        <f t="array" ref="T35">MEDIAN(IF($C$3:$C$29=$C35,T$3:T$29,""))</f>
        <v>18.850000000000001</v>
      </c>
      <c r="U35">
        <f t="array" ref="U35">MEDIAN(IF($C$3:$C$29=$C35,U$3:U$29,""))</f>
        <v>16.2</v>
      </c>
      <c r="V35">
        <f t="array" ref="V35">MEDIAN(IF($C$3:$C$29=$C35,V$3:V$29,""))</f>
        <v>19.25</v>
      </c>
      <c r="W35">
        <f t="array" ref="W35">MEDIAN(IF($C$3:$C$29=$C35,W$3:W$29,""))</f>
        <v>22.450000000000003</v>
      </c>
      <c r="X35">
        <f t="array" ref="X35">MEDIAN(IF($C$3:$C$29=$C35,X$3:X$29,""))</f>
        <v>24.1</v>
      </c>
      <c r="Y35">
        <f t="array" ref="Y35">MEDIAN(IF($C$3:$C$29=$C35,Y$3:Y$29,""))</f>
        <v>26.15</v>
      </c>
      <c r="Z35">
        <f t="array" ref="Z35">MEDIAN(IF($C$3:$C$29=$C35,Z$3:Z$29,""))</f>
        <v>25</v>
      </c>
      <c r="AA35">
        <f t="array" ref="AA35">MEDIAN(IF($C$3:$C$29=$C35,AA$3:AA$29,""))</f>
        <v>28.95</v>
      </c>
    </row>
    <row r="36" spans="3:27" x14ac:dyDescent="0.25">
      <c r="C36">
        <v>6</v>
      </c>
      <c r="D36">
        <f t="array" ref="D36">MEDIAN(IF($C$3:$C$29=$C36,D$3:D$29,""))</f>
        <v>27.4</v>
      </c>
      <c r="E36">
        <f t="array" ref="E36">MEDIAN(IF($C$3:$C$29=$C36,E$3:E$29,""))</f>
        <v>40.6</v>
      </c>
      <c r="F36">
        <f t="array" ref="F36">MEDIAN(IF($C$3:$C$29=$C36,F$3:F$29,""))</f>
        <v>0</v>
      </c>
      <c r="G36">
        <v>26</v>
      </c>
      <c r="H36">
        <f t="array" ref="H36">MEDIAN(IF($C$3:$C$29=$C36,H$3:H$29,""))</f>
        <v>19.3</v>
      </c>
      <c r="I36">
        <f t="array" ref="I36">MEDIAN(IF($C$3:$C$29=$C36,I$3:I$29,""))</f>
        <v>21.3</v>
      </c>
      <c r="J36">
        <f t="array" ref="J36">MEDIAN(IF($C$3:$C$29=$C36,J$3:J$29,""))</f>
        <v>16.899999999999999</v>
      </c>
      <c r="K36">
        <f t="array" ref="K36">MEDIAN(IF($C$3:$C$29=$C36,K$3:K$29,""))</f>
        <v>15.7</v>
      </c>
      <c r="L36">
        <f t="array" ref="L36">MEDIAN(IF($C$3:$C$29=$C36,L$3:L$29,""))</f>
        <v>15.9</v>
      </c>
      <c r="M36">
        <f t="array" ref="M36">MEDIAN(IF($C$3:$C$29=$C36,M$3:M$29,""))</f>
        <v>17.399999999999999</v>
      </c>
      <c r="N36">
        <f t="array" ref="N36">MEDIAN(IF($C$3:$C$29=$C36,N$3:N$29,""))</f>
        <v>20.2</v>
      </c>
      <c r="O36">
        <f t="array" ref="O36">MEDIAN(IF($C$3:$C$29=$C36,O$3:O$29,""))</f>
        <v>20.399999999999999</v>
      </c>
      <c r="P36">
        <f t="array" ref="P36">MEDIAN(IF($C$3:$C$29=$C36,P$3:P$29,""))</f>
        <v>17.899999999999999</v>
      </c>
      <c r="Q36">
        <f t="array" ref="Q36">MEDIAN(IF($C$3:$C$29=$C36,Q$3:Q$29,""))</f>
        <v>17.100000000000001</v>
      </c>
      <c r="R36">
        <f t="array" ref="R36">MEDIAN(IF($C$3:$C$29=$C36,R$3:R$29,""))</f>
        <v>21.2</v>
      </c>
      <c r="S36">
        <f t="array" ref="S36">MEDIAN(IF($C$3:$C$29=$C36,S$3:S$29,""))</f>
        <v>21.4</v>
      </c>
      <c r="T36">
        <f t="array" ref="T36">MEDIAN(IF($C$3:$C$29=$C36,T$3:T$29,""))</f>
        <v>18.8</v>
      </c>
      <c r="U36">
        <f t="array" ref="U36">MEDIAN(IF($C$3:$C$29=$C36,U$3:U$29,""))</f>
        <v>15.2</v>
      </c>
      <c r="V36">
        <f t="array" ref="V36">MEDIAN(IF($C$3:$C$29=$C36,V$3:V$29,""))</f>
        <v>18.8</v>
      </c>
      <c r="W36">
        <f t="array" ref="W36">MEDIAN(IF($C$3:$C$29=$C36,W$3:W$29,""))</f>
        <v>21.2</v>
      </c>
      <c r="X36">
        <f t="array" ref="X36">MEDIAN(IF($C$3:$C$29=$C36,X$3:X$29,""))</f>
        <v>26.2</v>
      </c>
      <c r="Y36">
        <f t="array" ref="Y36">MEDIAN(IF($C$3:$C$29=$C36,Y$3:Y$29,""))</f>
        <v>19.600000000000001</v>
      </c>
      <c r="Z36">
        <f t="array" ref="Z36">MEDIAN(IF($C$3:$C$29=$C36,Z$3:Z$29,""))</f>
        <v>24.9</v>
      </c>
      <c r="AA36">
        <f t="array" ref="AA36">MEDIAN(IF($C$3:$C$29=$C36,AA$3:AA$29,""))</f>
        <v>26.9</v>
      </c>
    </row>
    <row r="37" spans="3:27" x14ac:dyDescent="0.25">
      <c r="C37">
        <v>7</v>
      </c>
      <c r="D37">
        <f t="array" ref="D37">MEDIAN(IF($C$3:$C$29=$C37,D$3:D$29,""))</f>
        <v>25.6</v>
      </c>
      <c r="E37">
        <f t="array" ref="E37">MEDIAN(IF($C$3:$C$29=$C37,E$3:E$29,""))</f>
        <v>33.4</v>
      </c>
      <c r="F37">
        <f t="array" ref="F37">MEDIAN(IF($C$3:$C$29=$C37,F$3:F$29,""))</f>
        <v>0</v>
      </c>
      <c r="G37">
        <v>26</v>
      </c>
      <c r="H37">
        <f t="array" ref="H37">MEDIAN(IF($C$3:$C$29=$C37,H$3:H$29,""))</f>
        <v>23.15</v>
      </c>
      <c r="I37">
        <f t="array" ref="I37">MEDIAN(IF($C$3:$C$29=$C37,I$3:I$29,""))</f>
        <v>21.950000000000003</v>
      </c>
      <c r="J37">
        <f t="array" ref="J37">MEDIAN(IF($C$3:$C$29=$C37,J$3:J$29,""))</f>
        <v>17.5</v>
      </c>
      <c r="K37">
        <f t="array" ref="K37">MEDIAN(IF($C$3:$C$29=$C37,K$3:K$29,""))</f>
        <v>15.45</v>
      </c>
      <c r="L37">
        <f t="array" ref="L37">MEDIAN(IF($C$3:$C$29=$C37,L$3:L$29,""))</f>
        <v>15.4</v>
      </c>
      <c r="M37">
        <f t="array" ref="M37">MEDIAN(IF($C$3:$C$29=$C37,M$3:M$29,""))</f>
        <v>19.399999999999999</v>
      </c>
      <c r="N37">
        <f t="array" ref="N37">MEDIAN(IF($C$3:$C$29=$C37,N$3:N$29,""))</f>
        <v>18.899999999999999</v>
      </c>
      <c r="O37">
        <f t="array" ref="O37">MEDIAN(IF($C$3:$C$29=$C37,O$3:O$29,""))</f>
        <v>21.5</v>
      </c>
      <c r="P37">
        <f t="array" ref="P37">MEDIAN(IF($C$3:$C$29=$C37,P$3:P$29,""))</f>
        <v>19.05</v>
      </c>
      <c r="Q37">
        <f t="array" ref="Q37">MEDIAN(IF($C$3:$C$29=$C37,Q$3:Q$29,""))</f>
        <v>18.899999999999999</v>
      </c>
      <c r="R37">
        <f t="array" ref="R37">MEDIAN(IF($C$3:$C$29=$C37,R$3:R$29,""))</f>
        <v>21.35</v>
      </c>
      <c r="S37">
        <f t="array" ref="S37">MEDIAN(IF($C$3:$C$29=$C37,S$3:S$29,""))</f>
        <v>20.6</v>
      </c>
      <c r="T37">
        <f t="array" ref="T37">MEDIAN(IF($C$3:$C$29=$C37,T$3:T$29,""))</f>
        <v>17.899999999999999</v>
      </c>
      <c r="U37">
        <f t="array" ref="U37">MEDIAN(IF($C$3:$C$29=$C37,U$3:U$29,""))</f>
        <v>17.2</v>
      </c>
      <c r="V37">
        <f t="array" ref="V37">MEDIAN(IF($C$3:$C$29=$C37,V$3:V$29,""))</f>
        <v>16.25</v>
      </c>
      <c r="W37">
        <f t="array" ref="W37">MEDIAN(IF($C$3:$C$29=$C37,W$3:W$29,""))</f>
        <v>17.649999999999999</v>
      </c>
      <c r="X37">
        <f t="array" ref="X37">MEDIAN(IF($C$3:$C$29=$C37,X$3:X$29,""))</f>
        <v>22.8</v>
      </c>
      <c r="Y37">
        <f t="array" ref="Y37">MEDIAN(IF($C$3:$C$29=$C37,Y$3:Y$29,""))</f>
        <v>24.05</v>
      </c>
      <c r="Z37">
        <f t="array" ref="Z37">MEDIAN(IF($C$3:$C$29=$C37,Z$3:Z$29,""))</f>
        <v>26.5</v>
      </c>
      <c r="AA37">
        <f t="array" ref="AA37">MEDIAN(IF($C$3:$C$29=$C37,AA$3:AA$29,""))</f>
        <v>27.6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7"/>
  <dimension ref="A1:AA37"/>
  <sheetViews>
    <sheetView workbookViewId="0">
      <selection activeCell="G31" sqref="G31:G37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25.7</v>
      </c>
      <c r="E3">
        <v>28.5</v>
      </c>
      <c r="H3">
        <v>22.6</v>
      </c>
      <c r="I3">
        <v>21.1</v>
      </c>
      <c r="J3">
        <v>15.8</v>
      </c>
      <c r="K3">
        <v>15.1</v>
      </c>
      <c r="L3">
        <v>13.3</v>
      </c>
      <c r="M3">
        <v>14.9</v>
      </c>
      <c r="N3">
        <v>15.5</v>
      </c>
      <c r="O3">
        <v>18</v>
      </c>
      <c r="P3">
        <v>14.9</v>
      </c>
      <c r="Q3">
        <v>17.899999999999999</v>
      </c>
      <c r="R3">
        <v>16.7</v>
      </c>
      <c r="S3">
        <v>18.3</v>
      </c>
      <c r="T3">
        <v>14</v>
      </c>
      <c r="U3">
        <v>13.3</v>
      </c>
      <c r="V3">
        <v>13.1</v>
      </c>
      <c r="W3">
        <v>18.100000000000001</v>
      </c>
      <c r="X3">
        <v>13.4</v>
      </c>
      <c r="Y3">
        <v>23.5</v>
      </c>
      <c r="Z3">
        <v>26.9</v>
      </c>
      <c r="AA3">
        <v>23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28.6</v>
      </c>
      <c r="E4">
        <v>33.700000000000003</v>
      </c>
      <c r="H4">
        <v>29.9</v>
      </c>
      <c r="I4">
        <v>25.6</v>
      </c>
      <c r="J4">
        <v>19.5</v>
      </c>
      <c r="K4">
        <v>19.8</v>
      </c>
      <c r="L4">
        <v>21.8</v>
      </c>
      <c r="M4">
        <v>16.100000000000001</v>
      </c>
      <c r="N4">
        <v>17.8</v>
      </c>
      <c r="O4">
        <v>18.899999999999999</v>
      </c>
      <c r="P4">
        <v>18.7</v>
      </c>
      <c r="Q4">
        <v>16.5</v>
      </c>
      <c r="R4">
        <v>17</v>
      </c>
      <c r="S4">
        <v>24.6</v>
      </c>
      <c r="T4">
        <v>21.1</v>
      </c>
      <c r="U4">
        <v>16.5</v>
      </c>
      <c r="V4">
        <v>17.2</v>
      </c>
      <c r="W4">
        <v>16.8</v>
      </c>
      <c r="X4">
        <v>19.3</v>
      </c>
      <c r="Y4">
        <v>18.100000000000001</v>
      </c>
      <c r="Z4">
        <v>29.6</v>
      </c>
      <c r="AA4">
        <v>29.8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24.9</v>
      </c>
      <c r="E5">
        <v>32.4</v>
      </c>
      <c r="H5">
        <v>28.1</v>
      </c>
      <c r="I5">
        <v>24</v>
      </c>
      <c r="J5">
        <v>19.2</v>
      </c>
      <c r="K5">
        <v>22.4</v>
      </c>
      <c r="L5">
        <v>23.2</v>
      </c>
      <c r="M5">
        <v>18.5</v>
      </c>
      <c r="N5">
        <v>15.8</v>
      </c>
      <c r="O5">
        <v>16.2</v>
      </c>
      <c r="P5">
        <v>14.8</v>
      </c>
      <c r="Q5">
        <v>17.2</v>
      </c>
      <c r="R5">
        <v>16.5</v>
      </c>
      <c r="S5">
        <v>19.100000000000001</v>
      </c>
      <c r="T5">
        <v>22</v>
      </c>
      <c r="U5">
        <v>25.7</v>
      </c>
      <c r="V5">
        <v>21.4</v>
      </c>
      <c r="W5">
        <v>15.8</v>
      </c>
      <c r="X5">
        <v>26.4</v>
      </c>
      <c r="Y5">
        <v>22.9</v>
      </c>
      <c r="Z5">
        <v>25.4</v>
      </c>
      <c r="AA5">
        <v>24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27.2</v>
      </c>
      <c r="E6">
        <v>23.4</v>
      </c>
      <c r="H6">
        <v>31</v>
      </c>
      <c r="I6">
        <v>17.600000000000001</v>
      </c>
      <c r="J6">
        <v>15.7</v>
      </c>
      <c r="K6">
        <v>16.7</v>
      </c>
      <c r="L6">
        <v>16.899999999999999</v>
      </c>
      <c r="M6">
        <v>15.7</v>
      </c>
      <c r="N6">
        <v>19.2</v>
      </c>
      <c r="O6">
        <v>19</v>
      </c>
      <c r="P6">
        <v>18.5</v>
      </c>
      <c r="Q6">
        <v>19.899999999999999</v>
      </c>
      <c r="R6">
        <v>17.600000000000001</v>
      </c>
      <c r="S6">
        <v>19.8</v>
      </c>
      <c r="T6">
        <v>17.899999999999999</v>
      </c>
      <c r="U6">
        <v>16.3</v>
      </c>
      <c r="V6">
        <v>14.5</v>
      </c>
      <c r="W6">
        <v>17.2</v>
      </c>
      <c r="X6">
        <v>21.9</v>
      </c>
      <c r="Y6">
        <v>24</v>
      </c>
      <c r="Z6">
        <v>23</v>
      </c>
      <c r="AA6">
        <v>26.2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25.3</v>
      </c>
      <c r="E7">
        <v>35.799999999999997</v>
      </c>
      <c r="H7">
        <v>28.6</v>
      </c>
      <c r="I7">
        <v>19.899999999999999</v>
      </c>
      <c r="J7">
        <v>15.7</v>
      </c>
      <c r="K7">
        <v>14.9</v>
      </c>
      <c r="L7">
        <v>17.600000000000001</v>
      </c>
      <c r="M7">
        <v>16.5</v>
      </c>
      <c r="N7">
        <v>17</v>
      </c>
      <c r="O7">
        <v>18.100000000000001</v>
      </c>
      <c r="P7">
        <v>17.7</v>
      </c>
      <c r="Q7">
        <v>14</v>
      </c>
      <c r="R7">
        <v>16.2</v>
      </c>
      <c r="S7">
        <v>19.3</v>
      </c>
      <c r="T7">
        <v>18.7</v>
      </c>
      <c r="U7">
        <v>18.2</v>
      </c>
      <c r="V7">
        <v>19.600000000000001</v>
      </c>
      <c r="W7">
        <v>19.5</v>
      </c>
      <c r="X7">
        <v>22.6</v>
      </c>
      <c r="Y7">
        <v>19.3</v>
      </c>
      <c r="Z7">
        <v>22.1</v>
      </c>
      <c r="AA7">
        <v>26.7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26.2</v>
      </c>
      <c r="E8">
        <v>31</v>
      </c>
      <c r="H8">
        <v>21.4</v>
      </c>
      <c r="I8">
        <v>18.8</v>
      </c>
      <c r="J8">
        <v>15.5</v>
      </c>
      <c r="K8">
        <v>14.2</v>
      </c>
      <c r="L8">
        <v>14.2</v>
      </c>
      <c r="M8">
        <v>15.3</v>
      </c>
      <c r="N8">
        <v>16.2</v>
      </c>
      <c r="O8">
        <v>17</v>
      </c>
      <c r="P8">
        <v>16.8</v>
      </c>
      <c r="Q8">
        <v>14.4</v>
      </c>
      <c r="R8">
        <v>19.2</v>
      </c>
      <c r="S8">
        <v>17.3</v>
      </c>
      <c r="T8">
        <v>16.899999999999999</v>
      </c>
      <c r="U8">
        <v>17.100000000000001</v>
      </c>
      <c r="V8">
        <v>16.7</v>
      </c>
      <c r="W8">
        <v>17.5</v>
      </c>
      <c r="X8">
        <v>24</v>
      </c>
      <c r="Y8">
        <v>21.8</v>
      </c>
      <c r="Z8">
        <v>21.9</v>
      </c>
      <c r="AA8">
        <v>23.7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28.1</v>
      </c>
      <c r="E9">
        <v>37.6</v>
      </c>
      <c r="H9">
        <v>19.899999999999999</v>
      </c>
      <c r="I9">
        <v>21.1</v>
      </c>
      <c r="J9">
        <v>16.5</v>
      </c>
      <c r="K9">
        <v>15.7</v>
      </c>
      <c r="L9">
        <v>15.7</v>
      </c>
      <c r="M9">
        <v>15.8</v>
      </c>
      <c r="N9">
        <v>17.5</v>
      </c>
      <c r="O9">
        <v>14.4</v>
      </c>
      <c r="P9">
        <v>17.2</v>
      </c>
      <c r="Q9">
        <v>15.5</v>
      </c>
      <c r="R9">
        <v>19.100000000000001</v>
      </c>
      <c r="S9">
        <v>12.8</v>
      </c>
      <c r="T9">
        <v>17.2</v>
      </c>
      <c r="U9">
        <v>17.2</v>
      </c>
      <c r="V9">
        <v>17.399999999999999</v>
      </c>
      <c r="W9">
        <v>19.600000000000001</v>
      </c>
      <c r="X9">
        <v>22.2</v>
      </c>
      <c r="Y9">
        <v>21</v>
      </c>
      <c r="Z9">
        <v>22.9</v>
      </c>
      <c r="AA9">
        <v>17.7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27.5</v>
      </c>
      <c r="E10">
        <v>36.700000000000003</v>
      </c>
      <c r="H10">
        <v>17.8</v>
      </c>
      <c r="I10">
        <v>22.4</v>
      </c>
      <c r="J10">
        <v>17.100000000000001</v>
      </c>
      <c r="K10">
        <v>14.4</v>
      </c>
      <c r="L10">
        <v>14.8</v>
      </c>
      <c r="M10">
        <v>15.9</v>
      </c>
      <c r="N10">
        <v>16.7</v>
      </c>
      <c r="O10">
        <v>16.2</v>
      </c>
      <c r="P10">
        <v>17.100000000000001</v>
      </c>
      <c r="Q10">
        <v>14.7</v>
      </c>
      <c r="R10">
        <v>20.3</v>
      </c>
      <c r="S10">
        <v>20.6</v>
      </c>
      <c r="T10">
        <v>14.5</v>
      </c>
      <c r="U10">
        <v>16.899999999999999</v>
      </c>
      <c r="V10">
        <v>16.8</v>
      </c>
      <c r="W10">
        <v>17.3</v>
      </c>
      <c r="X10">
        <v>18.8</v>
      </c>
      <c r="Y10">
        <v>22.9</v>
      </c>
      <c r="Z10">
        <v>15.2</v>
      </c>
      <c r="AA10">
        <v>26.9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21.1</v>
      </c>
      <c r="E11">
        <v>24.5</v>
      </c>
      <c r="H11">
        <v>36.200000000000003</v>
      </c>
      <c r="I11">
        <v>23.3</v>
      </c>
      <c r="J11">
        <v>23.2</v>
      </c>
      <c r="K11">
        <v>17.3</v>
      </c>
      <c r="L11">
        <v>19.8</v>
      </c>
      <c r="M11">
        <v>20</v>
      </c>
      <c r="N11">
        <v>20.2</v>
      </c>
      <c r="O11">
        <v>18.7</v>
      </c>
      <c r="P11">
        <v>15.4</v>
      </c>
      <c r="Q11">
        <v>15.8</v>
      </c>
      <c r="R11">
        <v>14.9</v>
      </c>
      <c r="S11">
        <v>14.7</v>
      </c>
      <c r="T11">
        <v>15</v>
      </c>
      <c r="U11">
        <v>17.899999999999999</v>
      </c>
      <c r="V11">
        <v>17.3</v>
      </c>
      <c r="W11">
        <v>16.399999999999999</v>
      </c>
      <c r="X11">
        <v>19.2</v>
      </c>
      <c r="Y11">
        <v>20</v>
      </c>
      <c r="Z11">
        <v>25</v>
      </c>
      <c r="AA11">
        <v>22.9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24.1</v>
      </c>
      <c r="E12">
        <v>33.5</v>
      </c>
      <c r="H12">
        <v>18.8</v>
      </c>
      <c r="I12">
        <v>20.100000000000001</v>
      </c>
      <c r="J12">
        <v>21.9</v>
      </c>
      <c r="K12">
        <v>18.3</v>
      </c>
      <c r="L12">
        <v>16.7</v>
      </c>
      <c r="M12">
        <v>16.3</v>
      </c>
      <c r="N12">
        <v>15</v>
      </c>
      <c r="O12">
        <v>17.100000000000001</v>
      </c>
      <c r="P12">
        <v>16.5</v>
      </c>
      <c r="Q12">
        <v>14.9</v>
      </c>
      <c r="R12">
        <v>18.2</v>
      </c>
      <c r="S12">
        <v>20.6</v>
      </c>
      <c r="T12">
        <v>16.600000000000001</v>
      </c>
      <c r="U12">
        <v>22.9</v>
      </c>
      <c r="V12">
        <v>22.6</v>
      </c>
      <c r="W12">
        <v>21.1</v>
      </c>
      <c r="X12">
        <v>20.399999999999999</v>
      </c>
      <c r="Y12">
        <v>22.3</v>
      </c>
      <c r="Z12">
        <v>22.7</v>
      </c>
      <c r="AA12">
        <v>29.4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25.5</v>
      </c>
      <c r="E13">
        <v>21.9</v>
      </c>
      <c r="H13">
        <v>16.899999999999999</v>
      </c>
      <c r="I13">
        <v>20.3</v>
      </c>
      <c r="J13">
        <v>16.7</v>
      </c>
      <c r="K13">
        <v>16.2</v>
      </c>
      <c r="L13">
        <v>17</v>
      </c>
      <c r="M13">
        <v>15.3</v>
      </c>
      <c r="N13">
        <v>16.3</v>
      </c>
      <c r="O13">
        <v>20.7</v>
      </c>
      <c r="P13">
        <v>16.399999999999999</v>
      </c>
      <c r="Q13">
        <v>17.3</v>
      </c>
      <c r="R13">
        <v>19.8</v>
      </c>
      <c r="S13">
        <v>17.7</v>
      </c>
      <c r="T13">
        <v>16.600000000000001</v>
      </c>
      <c r="U13">
        <v>15.1</v>
      </c>
      <c r="V13">
        <v>18.8</v>
      </c>
      <c r="W13">
        <v>15</v>
      </c>
      <c r="X13">
        <v>18.5</v>
      </c>
      <c r="Y13">
        <v>22.6</v>
      </c>
      <c r="Z13">
        <v>27.5</v>
      </c>
      <c r="AA13">
        <v>24.9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27.5</v>
      </c>
      <c r="E14">
        <v>33.4</v>
      </c>
      <c r="H14">
        <v>22.1</v>
      </c>
      <c r="I14">
        <v>18.899999999999999</v>
      </c>
      <c r="J14">
        <v>12.5</v>
      </c>
      <c r="K14">
        <v>17.5</v>
      </c>
      <c r="L14">
        <v>15</v>
      </c>
      <c r="M14">
        <v>16.2</v>
      </c>
      <c r="N14">
        <v>16.2</v>
      </c>
      <c r="O14">
        <v>19.399999999999999</v>
      </c>
      <c r="P14">
        <v>15.6</v>
      </c>
      <c r="Q14">
        <v>18</v>
      </c>
      <c r="R14">
        <v>16.3</v>
      </c>
      <c r="S14">
        <v>19.7</v>
      </c>
      <c r="T14">
        <v>19.2</v>
      </c>
      <c r="U14">
        <v>16.899999999999999</v>
      </c>
      <c r="V14">
        <v>15.7</v>
      </c>
      <c r="W14">
        <v>17.600000000000001</v>
      </c>
      <c r="X14">
        <v>18.3</v>
      </c>
      <c r="Y14">
        <v>23.3</v>
      </c>
      <c r="Z14">
        <v>19.8</v>
      </c>
      <c r="AA14">
        <v>27.9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28.1</v>
      </c>
      <c r="E15">
        <v>32.299999999999997</v>
      </c>
      <c r="H15">
        <v>28.6</v>
      </c>
      <c r="I15">
        <v>18.7</v>
      </c>
      <c r="J15">
        <v>13.9</v>
      </c>
      <c r="K15">
        <v>12.8</v>
      </c>
      <c r="L15">
        <v>13.4</v>
      </c>
      <c r="M15">
        <v>17.3</v>
      </c>
      <c r="N15">
        <v>19.100000000000001</v>
      </c>
      <c r="O15">
        <v>20.100000000000001</v>
      </c>
      <c r="P15">
        <v>17.5</v>
      </c>
      <c r="Q15">
        <v>18.100000000000001</v>
      </c>
      <c r="R15">
        <v>16.100000000000001</v>
      </c>
      <c r="S15">
        <v>16.8</v>
      </c>
      <c r="T15">
        <v>19.3</v>
      </c>
      <c r="U15">
        <v>15</v>
      </c>
      <c r="V15">
        <v>17.2</v>
      </c>
      <c r="W15">
        <v>17.899999999999999</v>
      </c>
      <c r="X15">
        <v>21.3</v>
      </c>
      <c r="Y15">
        <v>23.1</v>
      </c>
      <c r="Z15">
        <v>20.9</v>
      </c>
      <c r="AA15">
        <v>25.7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24.1</v>
      </c>
      <c r="E16">
        <v>29.5</v>
      </c>
      <c r="H16">
        <v>19.7</v>
      </c>
      <c r="I16">
        <v>19.2</v>
      </c>
      <c r="J16">
        <v>15</v>
      </c>
      <c r="K16">
        <v>15.4</v>
      </c>
      <c r="L16">
        <v>11.9</v>
      </c>
      <c r="M16">
        <v>13.9</v>
      </c>
      <c r="N16">
        <v>15.1</v>
      </c>
      <c r="O16">
        <v>16.899999999999999</v>
      </c>
      <c r="P16">
        <v>14.8</v>
      </c>
      <c r="Q16">
        <v>15</v>
      </c>
      <c r="R16">
        <v>15.6</v>
      </c>
      <c r="S16">
        <v>18.8</v>
      </c>
      <c r="T16">
        <v>16.899999999999999</v>
      </c>
      <c r="U16">
        <v>14.7</v>
      </c>
      <c r="V16">
        <v>14.8</v>
      </c>
      <c r="W16">
        <v>18.899999999999999</v>
      </c>
      <c r="X16">
        <v>17.3</v>
      </c>
      <c r="Y16">
        <v>19.899999999999999</v>
      </c>
      <c r="Z16">
        <v>22.4</v>
      </c>
      <c r="AA16">
        <v>24.4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22.9</v>
      </c>
      <c r="E17">
        <v>28.2</v>
      </c>
      <c r="H17">
        <v>32.799999999999997</v>
      </c>
      <c r="I17">
        <v>21.6</v>
      </c>
      <c r="J17">
        <v>15.9</v>
      </c>
      <c r="K17">
        <v>12.4</v>
      </c>
      <c r="L17">
        <v>13.2</v>
      </c>
      <c r="M17">
        <v>18.600000000000001</v>
      </c>
      <c r="N17">
        <v>16</v>
      </c>
      <c r="O17">
        <v>15.7</v>
      </c>
      <c r="P17">
        <v>17</v>
      </c>
      <c r="Q17">
        <v>18.899999999999999</v>
      </c>
      <c r="R17">
        <v>17.8</v>
      </c>
      <c r="S17">
        <v>15.5</v>
      </c>
      <c r="T17">
        <v>15.2</v>
      </c>
      <c r="U17">
        <v>15.7</v>
      </c>
      <c r="V17">
        <v>15.5</v>
      </c>
      <c r="W17">
        <v>15.5</v>
      </c>
      <c r="X17">
        <v>20.9</v>
      </c>
      <c r="Y17">
        <v>18.2</v>
      </c>
      <c r="Z17">
        <v>21.6</v>
      </c>
      <c r="AA17">
        <v>24.2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22.8</v>
      </c>
      <c r="E18">
        <v>27.4</v>
      </c>
      <c r="H18">
        <v>26.1</v>
      </c>
      <c r="I18">
        <v>25.3</v>
      </c>
      <c r="J18">
        <v>22.9</v>
      </c>
      <c r="K18">
        <v>24.2</v>
      </c>
      <c r="L18">
        <v>20.9</v>
      </c>
      <c r="M18">
        <v>23.8</v>
      </c>
      <c r="N18">
        <v>19.8</v>
      </c>
      <c r="O18">
        <v>19.100000000000001</v>
      </c>
      <c r="P18">
        <v>16.2</v>
      </c>
      <c r="Q18">
        <v>18.7</v>
      </c>
      <c r="R18">
        <v>18.100000000000001</v>
      </c>
      <c r="S18">
        <v>14.2</v>
      </c>
      <c r="T18">
        <v>16.399999999999999</v>
      </c>
      <c r="U18">
        <v>18.399999999999999</v>
      </c>
      <c r="V18">
        <v>15.9</v>
      </c>
      <c r="W18">
        <v>16.3</v>
      </c>
      <c r="X18">
        <v>12</v>
      </c>
      <c r="Y18">
        <v>17.5</v>
      </c>
      <c r="Z18">
        <v>24.4</v>
      </c>
      <c r="AA18">
        <v>28.8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38.1</v>
      </c>
      <c r="H19">
        <v>32.6</v>
      </c>
      <c r="I19">
        <v>21.6</v>
      </c>
      <c r="J19">
        <v>22.3</v>
      </c>
      <c r="K19">
        <v>21.4</v>
      </c>
      <c r="L19">
        <v>20.100000000000001</v>
      </c>
      <c r="M19">
        <v>18.3</v>
      </c>
      <c r="N19">
        <v>15.7</v>
      </c>
      <c r="O19">
        <v>15</v>
      </c>
      <c r="P19">
        <v>14.1</v>
      </c>
      <c r="Q19">
        <v>15.5</v>
      </c>
      <c r="R19">
        <v>17.3</v>
      </c>
      <c r="S19">
        <v>19.2</v>
      </c>
      <c r="T19">
        <v>19.8</v>
      </c>
      <c r="U19">
        <v>19.600000000000001</v>
      </c>
      <c r="V19">
        <v>23.3</v>
      </c>
      <c r="W19">
        <v>16.399999999999999</v>
      </c>
      <c r="X19">
        <v>20.399999999999999</v>
      </c>
      <c r="Y19">
        <v>19.7</v>
      </c>
      <c r="Z19">
        <v>27.1</v>
      </c>
      <c r="AA19">
        <v>27.3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27.1</v>
      </c>
      <c r="E20">
        <v>25.4</v>
      </c>
      <c r="H20">
        <v>31.2</v>
      </c>
      <c r="I20">
        <v>22.3</v>
      </c>
      <c r="J20">
        <v>15.3</v>
      </c>
      <c r="K20">
        <v>13.7</v>
      </c>
      <c r="L20">
        <v>14.3</v>
      </c>
      <c r="M20">
        <v>16.399999999999999</v>
      </c>
      <c r="N20">
        <v>17.600000000000001</v>
      </c>
      <c r="O20">
        <v>18.100000000000001</v>
      </c>
      <c r="P20">
        <v>17.7</v>
      </c>
      <c r="Q20">
        <v>16.899999999999999</v>
      </c>
      <c r="R20">
        <v>16</v>
      </c>
      <c r="S20">
        <v>16.600000000000001</v>
      </c>
      <c r="T20">
        <v>16.7</v>
      </c>
      <c r="U20">
        <v>14.9</v>
      </c>
      <c r="V20">
        <v>18.8</v>
      </c>
      <c r="W20">
        <v>19.600000000000001</v>
      </c>
      <c r="X20">
        <v>19.8</v>
      </c>
      <c r="Y20">
        <v>18.899999999999999</v>
      </c>
      <c r="Z20">
        <v>27.6</v>
      </c>
      <c r="AA20">
        <v>25.4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28.7</v>
      </c>
      <c r="E21">
        <v>28.9</v>
      </c>
      <c r="H21">
        <v>31</v>
      </c>
      <c r="I21">
        <v>20.7</v>
      </c>
      <c r="J21">
        <v>15.7</v>
      </c>
      <c r="K21">
        <v>16.3</v>
      </c>
      <c r="L21">
        <v>13.8</v>
      </c>
      <c r="M21">
        <v>17.8</v>
      </c>
      <c r="N21">
        <v>16.8</v>
      </c>
      <c r="O21">
        <v>16.3</v>
      </c>
      <c r="P21">
        <v>19.100000000000001</v>
      </c>
      <c r="Q21">
        <v>16.8</v>
      </c>
      <c r="R21">
        <v>18.8</v>
      </c>
      <c r="S21">
        <v>17.100000000000001</v>
      </c>
      <c r="T21">
        <v>19.7</v>
      </c>
      <c r="U21">
        <v>16.3</v>
      </c>
      <c r="V21">
        <v>13.2</v>
      </c>
      <c r="W21">
        <v>18.899999999999999</v>
      </c>
      <c r="X21">
        <v>21.9</v>
      </c>
      <c r="Y21">
        <v>23.1</v>
      </c>
      <c r="Z21">
        <v>20.5</v>
      </c>
      <c r="AA21">
        <v>24.5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26.4</v>
      </c>
      <c r="E22">
        <v>30.1</v>
      </c>
      <c r="H22">
        <v>21.6</v>
      </c>
      <c r="I22">
        <v>20.9</v>
      </c>
      <c r="J22">
        <v>14.4</v>
      </c>
      <c r="K22">
        <v>16.2</v>
      </c>
      <c r="L22">
        <v>14.7</v>
      </c>
      <c r="M22">
        <v>13.7</v>
      </c>
      <c r="N22">
        <v>13</v>
      </c>
      <c r="O22">
        <v>19.100000000000001</v>
      </c>
      <c r="P22">
        <v>18</v>
      </c>
      <c r="Q22">
        <v>17.7</v>
      </c>
      <c r="R22">
        <v>19.2</v>
      </c>
      <c r="S22">
        <v>16.8</v>
      </c>
      <c r="T22">
        <v>17.399999999999999</v>
      </c>
      <c r="U22">
        <v>14.8</v>
      </c>
      <c r="V22">
        <v>20.100000000000001</v>
      </c>
      <c r="W22">
        <v>19.3</v>
      </c>
      <c r="X22">
        <v>18.100000000000001</v>
      </c>
      <c r="Y22">
        <v>19.5</v>
      </c>
      <c r="Z22">
        <v>21.6</v>
      </c>
      <c r="AA22">
        <v>25.2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26.1</v>
      </c>
      <c r="E23">
        <v>25.7</v>
      </c>
      <c r="H23">
        <v>19.399999999999999</v>
      </c>
      <c r="I23">
        <v>21.5</v>
      </c>
      <c r="J23">
        <v>16.2</v>
      </c>
      <c r="K23">
        <v>14.9</v>
      </c>
      <c r="L23">
        <v>15.4</v>
      </c>
      <c r="M23">
        <v>16.899999999999999</v>
      </c>
      <c r="N23">
        <v>17</v>
      </c>
      <c r="O23">
        <v>15.9</v>
      </c>
      <c r="P23">
        <v>16.399999999999999</v>
      </c>
      <c r="Q23">
        <v>17</v>
      </c>
      <c r="R23">
        <v>17.5</v>
      </c>
      <c r="S23">
        <v>19.2</v>
      </c>
      <c r="T23">
        <v>15.8</v>
      </c>
      <c r="U23">
        <v>13.9</v>
      </c>
      <c r="V23">
        <v>12.3</v>
      </c>
      <c r="W23">
        <v>14.9</v>
      </c>
      <c r="X23">
        <v>20.2</v>
      </c>
      <c r="Y23">
        <v>18.2</v>
      </c>
      <c r="Z23">
        <v>23.3</v>
      </c>
      <c r="AA23">
        <v>22.7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27.2</v>
      </c>
      <c r="E24">
        <v>36.1</v>
      </c>
      <c r="H24">
        <v>21.6</v>
      </c>
      <c r="I24">
        <v>20.8</v>
      </c>
      <c r="J24">
        <v>16.899999999999999</v>
      </c>
      <c r="K24">
        <v>13.5</v>
      </c>
      <c r="L24">
        <v>13.9</v>
      </c>
      <c r="M24">
        <v>14.5</v>
      </c>
      <c r="N24">
        <v>16.100000000000001</v>
      </c>
      <c r="O24">
        <v>20.100000000000001</v>
      </c>
      <c r="P24">
        <v>19.600000000000001</v>
      </c>
      <c r="Q24">
        <v>17.2</v>
      </c>
      <c r="R24">
        <v>21.4</v>
      </c>
      <c r="S24">
        <v>17.399999999999999</v>
      </c>
      <c r="T24">
        <v>17.2</v>
      </c>
      <c r="U24">
        <v>15.6</v>
      </c>
      <c r="V24">
        <v>16.2</v>
      </c>
      <c r="W24">
        <v>17.7</v>
      </c>
      <c r="X24">
        <v>17.899999999999999</v>
      </c>
      <c r="Y24">
        <v>20.3</v>
      </c>
      <c r="Z24">
        <v>19.5</v>
      </c>
      <c r="AA24">
        <v>20.9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26.2</v>
      </c>
      <c r="E25">
        <v>31</v>
      </c>
      <c r="H25">
        <v>38.299999999999997</v>
      </c>
      <c r="I25">
        <v>23.8</v>
      </c>
      <c r="J25">
        <v>21.1</v>
      </c>
      <c r="K25">
        <v>16.100000000000001</v>
      </c>
      <c r="L25">
        <v>19</v>
      </c>
      <c r="M25">
        <v>16.899999999999999</v>
      </c>
      <c r="N25">
        <v>16.600000000000001</v>
      </c>
      <c r="O25">
        <v>17.399999999999999</v>
      </c>
      <c r="P25">
        <v>18.399999999999999</v>
      </c>
      <c r="Q25">
        <v>18.100000000000001</v>
      </c>
      <c r="R25">
        <v>16.7</v>
      </c>
      <c r="T25">
        <v>12.9</v>
      </c>
      <c r="V25">
        <v>18</v>
      </c>
      <c r="X25">
        <v>16.3</v>
      </c>
      <c r="Z25">
        <v>20.8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32.9</v>
      </c>
      <c r="E26">
        <v>27.2</v>
      </c>
      <c r="H26">
        <v>24</v>
      </c>
      <c r="I26">
        <v>22.4</v>
      </c>
      <c r="J26">
        <v>21.4</v>
      </c>
      <c r="K26">
        <v>21.3</v>
      </c>
      <c r="L26">
        <v>19.600000000000001</v>
      </c>
      <c r="M26">
        <v>16.5</v>
      </c>
      <c r="N26">
        <v>14.2</v>
      </c>
      <c r="O26">
        <v>14.3</v>
      </c>
      <c r="P26">
        <v>16.5</v>
      </c>
      <c r="Q26">
        <v>14.8</v>
      </c>
      <c r="R26">
        <v>13.8</v>
      </c>
      <c r="S26">
        <v>20.3</v>
      </c>
      <c r="T26">
        <v>24.2</v>
      </c>
      <c r="U26">
        <v>17.899999999999999</v>
      </c>
      <c r="V26">
        <v>19.100000000000001</v>
      </c>
      <c r="W26">
        <v>20.3</v>
      </c>
      <c r="X26">
        <v>23.1</v>
      </c>
      <c r="Y26">
        <v>14.2</v>
      </c>
      <c r="Z26">
        <v>19.399999999999999</v>
      </c>
      <c r="AA26">
        <v>24.3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14.5</v>
      </c>
      <c r="E27">
        <v>19.899999999999999</v>
      </c>
      <c r="H27">
        <v>18</v>
      </c>
      <c r="I27">
        <v>21</v>
      </c>
      <c r="J27">
        <v>16</v>
      </c>
      <c r="K27">
        <v>14.2</v>
      </c>
      <c r="L27">
        <v>14.5</v>
      </c>
      <c r="M27">
        <v>18.399999999999999</v>
      </c>
      <c r="N27">
        <v>19.8</v>
      </c>
      <c r="O27">
        <v>19.399999999999999</v>
      </c>
      <c r="P27">
        <v>16.899999999999999</v>
      </c>
      <c r="Q27">
        <v>16.8</v>
      </c>
      <c r="R27">
        <v>19.2</v>
      </c>
      <c r="S27">
        <v>19</v>
      </c>
      <c r="T27">
        <v>16.399999999999999</v>
      </c>
      <c r="U27">
        <v>14.9</v>
      </c>
      <c r="V27">
        <v>14.6</v>
      </c>
      <c r="W27">
        <v>19.3</v>
      </c>
      <c r="X27">
        <v>17.3</v>
      </c>
      <c r="Y27">
        <v>20.5</v>
      </c>
      <c r="Z27">
        <v>23.8</v>
      </c>
      <c r="AA27">
        <v>25.2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22.1</v>
      </c>
      <c r="E28">
        <v>30.4</v>
      </c>
      <c r="H28">
        <v>19.399999999999999</v>
      </c>
      <c r="I28">
        <v>19.2</v>
      </c>
      <c r="J28">
        <v>15.7</v>
      </c>
      <c r="K28">
        <v>14</v>
      </c>
      <c r="L28">
        <v>14.2</v>
      </c>
      <c r="M28">
        <v>15.5</v>
      </c>
      <c r="N28">
        <v>17.399999999999999</v>
      </c>
      <c r="O28">
        <v>17.600000000000001</v>
      </c>
      <c r="P28">
        <v>17.899999999999999</v>
      </c>
      <c r="Q28">
        <v>16.399999999999999</v>
      </c>
      <c r="R28">
        <v>18.3</v>
      </c>
      <c r="S28">
        <v>18.5</v>
      </c>
      <c r="T28">
        <v>16.8</v>
      </c>
      <c r="U28">
        <v>19.600000000000001</v>
      </c>
      <c r="V28">
        <v>18.5</v>
      </c>
      <c r="W28">
        <v>16.899999999999999</v>
      </c>
      <c r="X28">
        <v>18.8</v>
      </c>
      <c r="Y28">
        <v>22.4</v>
      </c>
      <c r="Z28">
        <v>24.4</v>
      </c>
      <c r="AA28">
        <v>22.7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25.1</v>
      </c>
      <c r="E29">
        <v>35.799999999999997</v>
      </c>
      <c r="H29">
        <v>30.7</v>
      </c>
      <c r="I29">
        <v>20.6</v>
      </c>
      <c r="J29">
        <v>16.3</v>
      </c>
      <c r="K29">
        <v>13.4</v>
      </c>
      <c r="L29">
        <v>13.8</v>
      </c>
      <c r="M29">
        <v>15.4</v>
      </c>
      <c r="N29">
        <v>17.100000000000001</v>
      </c>
      <c r="O29">
        <v>17.899999999999999</v>
      </c>
      <c r="P29">
        <v>17.3</v>
      </c>
      <c r="Q29">
        <v>16.100000000000001</v>
      </c>
      <c r="R29">
        <v>15.6</v>
      </c>
      <c r="S29">
        <v>19.3</v>
      </c>
      <c r="T29">
        <v>14.9</v>
      </c>
      <c r="U29">
        <v>17.600000000000001</v>
      </c>
      <c r="V29">
        <v>12.6</v>
      </c>
      <c r="W29">
        <v>18.3</v>
      </c>
      <c r="X29">
        <v>19.8</v>
      </c>
      <c r="Y29">
        <v>19.3</v>
      </c>
      <c r="Z29">
        <v>25.7</v>
      </c>
      <c r="AA29">
        <v>27.5</v>
      </c>
    </row>
    <row r="31" spans="1:27" x14ac:dyDescent="0.25">
      <c r="C31">
        <v>1</v>
      </c>
      <c r="D31">
        <f t="array" ref="D31">MEDIAN(IF($C$3:$C$29=$C31,D$3:D$29,""))</f>
        <v>28.9</v>
      </c>
      <c r="E31">
        <f t="array" ref="E31">MEDIAN(IF($C$3:$C$29=$C31,E$3:E$29,""))</f>
        <v>29.799999999999997</v>
      </c>
      <c r="F31">
        <f t="array" ref="F31">MEDIAN(IF($C$3:$C$29=$C31,F$3:F$29,""))</f>
        <v>0</v>
      </c>
      <c r="G31">
        <v>26</v>
      </c>
      <c r="H31">
        <f t="array" ref="H31">MEDIAN(IF($C$3:$C$29=$C31,H$3:H$29,""))</f>
        <v>26.05</v>
      </c>
      <c r="I31">
        <f t="array" ref="I31">MEDIAN(IF($C$3:$C$29=$C31,I$3:I$29,""))</f>
        <v>22</v>
      </c>
      <c r="J31">
        <f t="array" ref="J31">MEDIAN(IF($C$3:$C$29=$C31,J$3:J$29,""))</f>
        <v>21.65</v>
      </c>
      <c r="K31">
        <f t="array" ref="K31">MEDIAN(IF($C$3:$C$29=$C31,K$3:K$29,""))</f>
        <v>21.35</v>
      </c>
      <c r="L31">
        <f t="array" ref="L31">MEDIAN(IF($C$3:$C$29=$C31,L$3:L$29,""))</f>
        <v>19.850000000000001</v>
      </c>
      <c r="M31">
        <f t="array" ref="M31">MEDIAN(IF($C$3:$C$29=$C31,M$3:M$29,""))</f>
        <v>17.399999999999999</v>
      </c>
      <c r="N31">
        <f t="array" ref="N31">MEDIAN(IF($C$3:$C$29=$C31,N$3:N$29,""))</f>
        <v>15.35</v>
      </c>
      <c r="O31">
        <f t="array" ref="O31">MEDIAN(IF($C$3:$C$29=$C31,O$3:O$29,""))</f>
        <v>15.6</v>
      </c>
      <c r="P31">
        <f t="array" ref="P31">MEDIAN(IF($C$3:$C$29=$C31,P$3:P$29,""))</f>
        <v>15.65</v>
      </c>
      <c r="Q31">
        <f t="array" ref="Q31">MEDIAN(IF($C$3:$C$29=$C31,Q$3:Q$29,""))</f>
        <v>15.2</v>
      </c>
      <c r="R31">
        <f t="array" ref="R31">MEDIAN(IF($C$3:$C$29=$C31,R$3:R$29,""))</f>
        <v>16.899999999999999</v>
      </c>
      <c r="S31">
        <f t="array" ref="S31">MEDIAN(IF($C$3:$C$29=$C31,S$3:S$29,""))</f>
        <v>19.75</v>
      </c>
      <c r="T31">
        <f t="array" ref="T31">MEDIAN(IF($C$3:$C$29=$C31,T$3:T$29,""))</f>
        <v>20.9</v>
      </c>
      <c r="U31">
        <f t="array" ref="U31">MEDIAN(IF($C$3:$C$29=$C31,U$3:U$29,""))</f>
        <v>21.25</v>
      </c>
      <c r="V31">
        <f t="array" ref="V31">MEDIAN(IF($C$3:$C$29=$C31,V$3:V$29,""))</f>
        <v>22</v>
      </c>
      <c r="W31">
        <f t="array" ref="W31">MEDIAN(IF($C$3:$C$29=$C31,W$3:W$29,""))</f>
        <v>18.350000000000001</v>
      </c>
      <c r="X31">
        <f t="array" ref="X31">MEDIAN(IF($C$3:$C$29=$C31,X$3:X$29,""))</f>
        <v>21.75</v>
      </c>
      <c r="Y31">
        <f t="array" ref="Y31">MEDIAN(IF($C$3:$C$29=$C31,Y$3:Y$29,""))</f>
        <v>21</v>
      </c>
      <c r="Z31">
        <f t="array" ref="Z31">MEDIAN(IF($C$3:$C$29=$C31,Z$3:Z$29,""))</f>
        <v>24.049999999999997</v>
      </c>
      <c r="AA31">
        <f t="array" ref="AA31">MEDIAN(IF($C$3:$C$29=$C31,AA$3:AA$29,""))</f>
        <v>25.8</v>
      </c>
    </row>
    <row r="32" spans="1:27" x14ac:dyDescent="0.25">
      <c r="C32">
        <v>2</v>
      </c>
      <c r="D32">
        <f t="array" ref="D32">MEDIAN(IF($C$3:$C$29=$C32,D$3:D$29,""))</f>
        <v>24.5</v>
      </c>
      <c r="E32">
        <f t="array" ref="E32">MEDIAN(IF($C$3:$C$29=$C32,E$3:E$29,""))</f>
        <v>29.2</v>
      </c>
      <c r="F32">
        <f t="array" ref="F32">MEDIAN(IF($C$3:$C$29=$C32,F$3:F$29,""))</f>
        <v>0</v>
      </c>
      <c r="G32">
        <v>26</v>
      </c>
      <c r="H32">
        <f t="array" ref="H32">MEDIAN(IF($C$3:$C$29=$C32,H$3:H$29,""))</f>
        <v>33.049999999999997</v>
      </c>
      <c r="I32">
        <f t="array" ref="I32">MEDIAN(IF($C$3:$C$29=$C32,I$3:I$29,""))</f>
        <v>24.55</v>
      </c>
      <c r="J32">
        <f t="array" ref="J32">MEDIAN(IF($C$3:$C$29=$C32,J$3:J$29,""))</f>
        <v>22</v>
      </c>
      <c r="K32">
        <f t="array" ref="K32">MEDIAN(IF($C$3:$C$29=$C32,K$3:K$29,""))</f>
        <v>18.55</v>
      </c>
      <c r="L32">
        <f t="array" ref="L32">MEDIAN(IF($C$3:$C$29=$C32,L$3:L$29,""))</f>
        <v>20.350000000000001</v>
      </c>
      <c r="M32">
        <f t="array" ref="M32">MEDIAN(IF($C$3:$C$29=$C32,M$3:M$29,""))</f>
        <v>18.45</v>
      </c>
      <c r="N32">
        <f t="array" ref="N32">MEDIAN(IF($C$3:$C$29=$C32,N$3:N$29,""))</f>
        <v>18.8</v>
      </c>
      <c r="O32">
        <f t="array" ref="O32">MEDIAN(IF($C$3:$C$29=$C32,O$3:O$29,""))</f>
        <v>18.799999999999997</v>
      </c>
      <c r="P32">
        <f t="array" ref="P32">MEDIAN(IF($C$3:$C$29=$C32,P$3:P$29,""))</f>
        <v>17.299999999999997</v>
      </c>
      <c r="Q32">
        <f t="array" ref="Q32">MEDIAN(IF($C$3:$C$29=$C32,Q$3:Q$29,""))</f>
        <v>17.3</v>
      </c>
      <c r="R32">
        <f t="array" ref="R32">MEDIAN(IF($C$3:$C$29=$C32,R$3:R$29,""))</f>
        <v>16.850000000000001</v>
      </c>
      <c r="S32">
        <f t="array" ref="S32">MEDIAN(IF($C$3:$C$29=$C32,S$3:S$29,""))</f>
        <v>14.45</v>
      </c>
      <c r="T32">
        <f t="array" ref="T32">MEDIAN(IF($C$3:$C$29=$C32,T$3:T$29,""))</f>
        <v>15.7</v>
      </c>
      <c r="U32">
        <f t="array" ref="U32">MEDIAN(IF($C$3:$C$29=$C32,U$3:U$29,""))</f>
        <v>17.2</v>
      </c>
      <c r="V32">
        <f t="array" ref="V32">MEDIAN(IF($C$3:$C$29=$C32,V$3:V$29,""))</f>
        <v>17.25</v>
      </c>
      <c r="W32">
        <f t="array" ref="W32">MEDIAN(IF($C$3:$C$29=$C32,W$3:W$29,""))</f>
        <v>16.350000000000001</v>
      </c>
      <c r="X32">
        <f t="array" ref="X32">MEDIAN(IF($C$3:$C$29=$C32,X$3:X$29,""))</f>
        <v>17.75</v>
      </c>
      <c r="Y32">
        <f t="array" ref="Y32">MEDIAN(IF($C$3:$C$29=$C32,Y$3:Y$29,""))</f>
        <v>17.8</v>
      </c>
      <c r="Z32">
        <f t="array" ref="Z32">MEDIAN(IF($C$3:$C$29=$C32,Z$3:Z$29,""))</f>
        <v>24.7</v>
      </c>
      <c r="AA32">
        <f t="array" ref="AA32">MEDIAN(IF($C$3:$C$29=$C32,AA$3:AA$29,""))</f>
        <v>25.85</v>
      </c>
    </row>
    <row r="33" spans="3:27" x14ac:dyDescent="0.25">
      <c r="C33">
        <v>3</v>
      </c>
      <c r="D33">
        <f t="array" ref="D33">MEDIAN(IF($C$3:$C$29=$C33,D$3:D$29,""))</f>
        <v>26.3</v>
      </c>
      <c r="E33">
        <f t="array" ref="E33">MEDIAN(IF($C$3:$C$29=$C33,E$3:E$29,""))</f>
        <v>22.65</v>
      </c>
      <c r="F33">
        <f t="array" ref="F33">MEDIAN(IF($C$3:$C$29=$C33,F$3:F$29,""))</f>
        <v>0</v>
      </c>
      <c r="G33">
        <v>26</v>
      </c>
      <c r="H33">
        <f t="array" ref="H33">MEDIAN(IF($C$3:$C$29=$C33,H$3:H$29,""))</f>
        <v>24.5</v>
      </c>
      <c r="I33">
        <f t="array" ref="I33">MEDIAN(IF($C$3:$C$29=$C33,I$3:I$29,""))</f>
        <v>20.65</v>
      </c>
      <c r="J33">
        <f t="array" ref="J33">MEDIAN(IF($C$3:$C$29=$C33,J$3:J$29,""))</f>
        <v>15.85</v>
      </c>
      <c r="K33">
        <f t="array" ref="K33">MEDIAN(IF($C$3:$C$29=$C33,K$3:K$29,""))</f>
        <v>15.2</v>
      </c>
      <c r="L33">
        <f t="array" ref="L33">MEDIAN(IF($C$3:$C$29=$C33,L$3:L$29,""))</f>
        <v>15.7</v>
      </c>
      <c r="M33">
        <f t="array" ref="M33">MEDIAN(IF($C$3:$C$29=$C33,M$3:M$29,""))</f>
        <v>16.049999999999997</v>
      </c>
      <c r="N33">
        <f t="array" ref="N33">MEDIAN(IF($C$3:$C$29=$C33,N$3:N$29,""))</f>
        <v>18.399999999999999</v>
      </c>
      <c r="O33">
        <f t="array" ref="O33">MEDIAN(IF($C$3:$C$29=$C33,O$3:O$29,""))</f>
        <v>19.2</v>
      </c>
      <c r="P33">
        <f t="array" ref="P33">MEDIAN(IF($C$3:$C$29=$C33,P$3:P$29,""))</f>
        <v>17.299999999999997</v>
      </c>
      <c r="Q33">
        <f t="array" ref="Q33">MEDIAN(IF($C$3:$C$29=$C33,Q$3:Q$29,""))</f>
        <v>17.100000000000001</v>
      </c>
      <c r="R33">
        <f t="array" ref="R33">MEDIAN(IF($C$3:$C$29=$C33,R$3:R$29,""))</f>
        <v>18.399999999999999</v>
      </c>
      <c r="S33">
        <f t="array" ref="S33">MEDIAN(IF($C$3:$C$29=$C33,S$3:S$29,""))</f>
        <v>18.350000000000001</v>
      </c>
      <c r="T33">
        <f t="array" ref="T33">MEDIAN(IF($C$3:$C$29=$C33,T$3:T$29,""))</f>
        <v>16.649999999999999</v>
      </c>
      <c r="U33">
        <f t="array" ref="U33">MEDIAN(IF($C$3:$C$29=$C33,U$3:U$29,""))</f>
        <v>15</v>
      </c>
      <c r="V33">
        <f t="array" ref="V33">MEDIAN(IF($C$3:$C$29=$C33,V$3:V$29,""))</f>
        <v>16.7</v>
      </c>
      <c r="W33">
        <f t="array" ref="W33">MEDIAN(IF($C$3:$C$29=$C33,W$3:W$29,""))</f>
        <v>18.25</v>
      </c>
      <c r="X33">
        <f t="array" ref="X33">MEDIAN(IF($C$3:$C$29=$C33,X$3:X$29,""))</f>
        <v>19.149999999999999</v>
      </c>
      <c r="Y33">
        <f t="array" ref="Y33">MEDIAN(IF($C$3:$C$29=$C33,Y$3:Y$29,""))</f>
        <v>21.55</v>
      </c>
      <c r="Z33">
        <f t="array" ref="Z33">MEDIAN(IF($C$3:$C$29=$C33,Z$3:Z$29,""))</f>
        <v>25.65</v>
      </c>
      <c r="AA33">
        <f t="array" ref="AA33">MEDIAN(IF($C$3:$C$29=$C33,AA$3:AA$29,""))</f>
        <v>25.299999999999997</v>
      </c>
    </row>
    <row r="34" spans="3:27" x14ac:dyDescent="0.25">
      <c r="C34">
        <v>4</v>
      </c>
      <c r="D34">
        <f t="array" ref="D34">MEDIAN(IF($C$3:$C$29=$C34,D$3:D$29,""))</f>
        <v>26.4</v>
      </c>
      <c r="E34">
        <f t="array" ref="E34">MEDIAN(IF($C$3:$C$29=$C34,E$3:E$29,""))</f>
        <v>31.9</v>
      </c>
      <c r="F34">
        <f t="array" ref="F34">MEDIAN(IF($C$3:$C$29=$C34,F$3:F$29,""))</f>
        <v>0</v>
      </c>
      <c r="G34">
        <v>26</v>
      </c>
      <c r="H34">
        <f t="array" ref="H34">MEDIAN(IF($C$3:$C$29=$C34,H$3:H$29,""))</f>
        <v>25.35</v>
      </c>
      <c r="I34">
        <f t="array" ref="I34">MEDIAN(IF($C$3:$C$29=$C34,I$3:I$29,""))</f>
        <v>19.549999999999997</v>
      </c>
      <c r="J34">
        <f t="array" ref="J34">MEDIAN(IF($C$3:$C$29=$C34,J$3:J$29,""))</f>
        <v>15.7</v>
      </c>
      <c r="K34">
        <f t="array" ref="K34">MEDIAN(IF($C$3:$C$29=$C34,K$3:K$29,""))</f>
        <v>15.600000000000001</v>
      </c>
      <c r="L34">
        <f t="array" ref="L34">MEDIAN(IF($C$3:$C$29=$C34,L$3:L$29,""))</f>
        <v>14.6</v>
      </c>
      <c r="M34">
        <f t="array" ref="M34">MEDIAN(IF($C$3:$C$29=$C34,M$3:M$29,""))</f>
        <v>16.350000000000001</v>
      </c>
      <c r="N34">
        <f t="array" ref="N34">MEDIAN(IF($C$3:$C$29=$C34,N$3:N$29,""))</f>
        <v>16.899999999999999</v>
      </c>
      <c r="O34">
        <f t="array" ref="O34">MEDIAN(IF($C$3:$C$29=$C34,O$3:O$29,""))</f>
        <v>17.850000000000001</v>
      </c>
      <c r="P34">
        <f t="array" ref="P34">MEDIAN(IF($C$3:$C$29=$C34,P$3:P$29,""))</f>
        <v>17.799999999999997</v>
      </c>
      <c r="Q34">
        <f t="array" ref="Q34">MEDIAN(IF($C$3:$C$29=$C34,Q$3:Q$29,""))</f>
        <v>16.600000000000001</v>
      </c>
      <c r="R34">
        <f t="array" ref="R34">MEDIAN(IF($C$3:$C$29=$C34,R$3:R$29,""))</f>
        <v>17.3</v>
      </c>
      <c r="S34">
        <f t="array" ref="S34">MEDIAN(IF($C$3:$C$29=$C34,S$3:S$29,""))</f>
        <v>18.899999999999999</v>
      </c>
      <c r="T34">
        <f t="array" ref="T34">MEDIAN(IF($C$3:$C$29=$C34,T$3:T$29,""))</f>
        <v>18.95</v>
      </c>
      <c r="U34">
        <f t="array" ref="U34">MEDIAN(IF($C$3:$C$29=$C34,U$3:U$29,""))</f>
        <v>17.549999999999997</v>
      </c>
      <c r="V34">
        <f t="array" ref="V34">MEDIAN(IF($C$3:$C$29=$C34,V$3:V$29,""))</f>
        <v>17.100000000000001</v>
      </c>
      <c r="W34">
        <f t="array" ref="W34">MEDIAN(IF($C$3:$C$29=$C34,W$3:W$29,""))</f>
        <v>18.25</v>
      </c>
      <c r="X34">
        <f t="array" ref="X34">MEDIAN(IF($C$3:$C$29=$C34,X$3:X$29,""))</f>
        <v>20.350000000000001</v>
      </c>
      <c r="Y34">
        <f t="array" ref="Y34">MEDIAN(IF($C$3:$C$29=$C34,Y$3:Y$29,""))</f>
        <v>22.75</v>
      </c>
      <c r="Z34">
        <f t="array" ref="Z34">MEDIAN(IF($C$3:$C$29=$C34,Z$3:Z$29,""))</f>
        <v>21.3</v>
      </c>
      <c r="AA34">
        <f t="array" ref="AA34">MEDIAN(IF($C$3:$C$29=$C34,AA$3:AA$29,""))</f>
        <v>25.6</v>
      </c>
    </row>
    <row r="35" spans="3:27" x14ac:dyDescent="0.25">
      <c r="C35">
        <v>5</v>
      </c>
      <c r="D35">
        <f t="array" ref="D35">MEDIAN(IF($C$3:$C$29=$C35,D$3:D$29,""))</f>
        <v>26.299999999999997</v>
      </c>
      <c r="E35">
        <f t="array" ref="E35">MEDIAN(IF($C$3:$C$29=$C35,E$3:E$29,""))</f>
        <v>31.65</v>
      </c>
      <c r="F35">
        <f t="array" ref="F35">MEDIAN(IF($C$3:$C$29=$C35,F$3:F$29,""))</f>
        <v>0</v>
      </c>
      <c r="G35">
        <v>26</v>
      </c>
      <c r="H35">
        <f t="array" ref="H35">MEDIAN(IF($C$3:$C$29=$C35,H$3:H$29,""))</f>
        <v>25.1</v>
      </c>
      <c r="I35">
        <f t="array" ref="I35">MEDIAN(IF($C$3:$C$29=$C35,I$3:I$29,""))</f>
        <v>19.700000000000003</v>
      </c>
      <c r="J35">
        <f t="array" ref="J35">MEDIAN(IF($C$3:$C$29=$C35,J$3:J$29,""))</f>
        <v>14.95</v>
      </c>
      <c r="K35">
        <f t="array" ref="K35">MEDIAN(IF($C$3:$C$29=$C35,K$3:K$29,""))</f>
        <v>13.8</v>
      </c>
      <c r="L35">
        <f t="array" ref="L35">MEDIAN(IF($C$3:$C$29=$C35,L$3:L$29,""))</f>
        <v>14</v>
      </c>
      <c r="M35">
        <f t="array" ref="M35">MEDIAN(IF($C$3:$C$29=$C35,M$3:M$29,""))</f>
        <v>15.350000000000001</v>
      </c>
      <c r="N35">
        <f t="array" ref="N35">MEDIAN(IF($C$3:$C$29=$C35,N$3:N$29,""))</f>
        <v>16.649999999999999</v>
      </c>
      <c r="O35">
        <f t="array" ref="O35">MEDIAN(IF($C$3:$C$29=$C35,O$3:O$29,""))</f>
        <v>18.5</v>
      </c>
      <c r="P35">
        <f t="array" ref="P35">MEDIAN(IF($C$3:$C$29=$C35,P$3:P$29,""))</f>
        <v>17.399999999999999</v>
      </c>
      <c r="Q35">
        <f t="array" ref="Q35">MEDIAN(IF($C$3:$C$29=$C35,Q$3:Q$29,""))</f>
        <v>16.899999999999999</v>
      </c>
      <c r="R35">
        <f t="array" ref="R35">MEDIAN(IF($C$3:$C$29=$C35,R$3:R$29,""))</f>
        <v>17.649999999999999</v>
      </c>
      <c r="S35">
        <f t="array" ref="S35">MEDIAN(IF($C$3:$C$29=$C35,S$3:S$29,""))</f>
        <v>17.05</v>
      </c>
      <c r="T35">
        <f t="array" ref="T35">MEDIAN(IF($C$3:$C$29=$C35,T$3:T$29,""))</f>
        <v>17.149999999999999</v>
      </c>
      <c r="U35">
        <f t="array" ref="U35">MEDIAN(IF($C$3:$C$29=$C35,U$3:U$29,""))</f>
        <v>16.05</v>
      </c>
      <c r="V35">
        <f t="array" ref="V35">MEDIAN(IF($C$3:$C$29=$C35,V$3:V$29,""))</f>
        <v>16.95</v>
      </c>
      <c r="W35">
        <f t="array" ref="W35">MEDIAN(IF($C$3:$C$29=$C35,W$3:W$29,""))</f>
        <v>18.100000000000001</v>
      </c>
      <c r="X35">
        <f t="array" ref="X35">MEDIAN(IF($C$3:$C$29=$C35,X$3:X$29,""))</f>
        <v>20.55</v>
      </c>
      <c r="Y35">
        <f t="array" ref="Y35">MEDIAN(IF($C$3:$C$29=$C35,Y$3:Y$29,""))</f>
        <v>20.65</v>
      </c>
      <c r="Z35">
        <f t="array" ref="Z35">MEDIAN(IF($C$3:$C$29=$C35,Z$3:Z$29,""))</f>
        <v>21.75</v>
      </c>
      <c r="AA35">
        <f t="array" ref="AA35">MEDIAN(IF($C$3:$C$29=$C35,AA$3:AA$29,""))</f>
        <v>25.45</v>
      </c>
    </row>
    <row r="36" spans="3:27" x14ac:dyDescent="0.25">
      <c r="C36">
        <v>6</v>
      </c>
      <c r="D36">
        <f t="array" ref="D36">MEDIAN(IF($C$3:$C$29=$C36,D$3:D$29,""))</f>
        <v>26.1</v>
      </c>
      <c r="E36">
        <f t="array" ref="E36">MEDIAN(IF($C$3:$C$29=$C36,E$3:E$29,""))</f>
        <v>29.5</v>
      </c>
      <c r="F36">
        <f t="array" ref="F36">MEDIAN(IF($C$3:$C$29=$C36,F$3:F$29,""))</f>
        <v>0</v>
      </c>
      <c r="G36">
        <v>26</v>
      </c>
      <c r="H36">
        <f t="array" ref="H36">MEDIAN(IF($C$3:$C$29=$C36,H$3:H$29,""))</f>
        <v>19.7</v>
      </c>
      <c r="I36">
        <f t="array" ref="I36">MEDIAN(IF($C$3:$C$29=$C36,I$3:I$29,""))</f>
        <v>21.1</v>
      </c>
      <c r="J36">
        <f t="array" ref="J36">MEDIAN(IF($C$3:$C$29=$C36,J$3:J$29,""))</f>
        <v>16.2</v>
      </c>
      <c r="K36">
        <f t="array" ref="K36">MEDIAN(IF($C$3:$C$29=$C36,K$3:K$29,""))</f>
        <v>15.4</v>
      </c>
      <c r="L36">
        <f t="array" ref="L36">MEDIAN(IF($C$3:$C$29=$C36,L$3:L$29,""))</f>
        <v>15.4</v>
      </c>
      <c r="M36">
        <f t="array" ref="M36">MEDIAN(IF($C$3:$C$29=$C36,M$3:M$29,""))</f>
        <v>15.8</v>
      </c>
      <c r="N36">
        <f t="array" ref="N36">MEDIAN(IF($C$3:$C$29=$C36,N$3:N$29,""))</f>
        <v>17</v>
      </c>
      <c r="O36">
        <f t="array" ref="O36">MEDIAN(IF($C$3:$C$29=$C36,O$3:O$29,""))</f>
        <v>15.9</v>
      </c>
      <c r="P36">
        <f t="array" ref="P36">MEDIAN(IF($C$3:$C$29=$C36,P$3:P$29,""))</f>
        <v>16.399999999999999</v>
      </c>
      <c r="Q36">
        <f t="array" ref="Q36">MEDIAN(IF($C$3:$C$29=$C36,Q$3:Q$29,""))</f>
        <v>15.5</v>
      </c>
      <c r="R36">
        <f t="array" ref="R36">MEDIAN(IF($C$3:$C$29=$C36,R$3:R$29,""))</f>
        <v>17.5</v>
      </c>
      <c r="S36">
        <f t="array" ref="S36">MEDIAN(IF($C$3:$C$29=$C36,S$3:S$29,""))</f>
        <v>18.8</v>
      </c>
      <c r="T36">
        <f t="array" ref="T36">MEDIAN(IF($C$3:$C$29=$C36,T$3:T$29,""))</f>
        <v>16.899999999999999</v>
      </c>
      <c r="U36">
        <f t="array" ref="U36">MEDIAN(IF($C$3:$C$29=$C36,U$3:U$29,""))</f>
        <v>14.7</v>
      </c>
      <c r="V36">
        <f t="array" ref="V36">MEDIAN(IF($C$3:$C$29=$C36,V$3:V$29,""))</f>
        <v>14.8</v>
      </c>
      <c r="W36">
        <f t="array" ref="W36">MEDIAN(IF($C$3:$C$29=$C36,W$3:W$29,""))</f>
        <v>18.899999999999999</v>
      </c>
      <c r="X36">
        <f t="array" ref="X36">MEDIAN(IF($C$3:$C$29=$C36,X$3:X$29,""))</f>
        <v>20.2</v>
      </c>
      <c r="Y36">
        <f t="array" ref="Y36">MEDIAN(IF($C$3:$C$29=$C36,Y$3:Y$29,""))</f>
        <v>19.899999999999999</v>
      </c>
      <c r="Z36">
        <f t="array" ref="Z36">MEDIAN(IF($C$3:$C$29=$C36,Z$3:Z$29,""))</f>
        <v>22.9</v>
      </c>
      <c r="AA36">
        <f t="array" ref="AA36">MEDIAN(IF($C$3:$C$29=$C36,AA$3:AA$29,""))</f>
        <v>22.7</v>
      </c>
    </row>
    <row r="37" spans="3:27" x14ac:dyDescent="0.25">
      <c r="C37">
        <v>7</v>
      </c>
      <c r="D37">
        <f t="array" ref="D37">MEDIAN(IF($C$3:$C$29=$C37,D$3:D$29,""))</f>
        <v>26.45</v>
      </c>
      <c r="E37">
        <f t="array" ref="E37">MEDIAN(IF($C$3:$C$29=$C37,E$3:E$29,""))</f>
        <v>32.299999999999997</v>
      </c>
      <c r="F37">
        <f t="array" ref="F37">MEDIAN(IF($C$3:$C$29=$C37,F$3:F$29,""))</f>
        <v>0</v>
      </c>
      <c r="G37">
        <v>26</v>
      </c>
      <c r="H37">
        <f t="array" ref="H37">MEDIAN(IF($C$3:$C$29=$C37,H$3:H$29,""))</f>
        <v>22.1</v>
      </c>
      <c r="I37">
        <f t="array" ref="I37">MEDIAN(IF($C$3:$C$29=$C37,I$3:I$29,""))</f>
        <v>21.35</v>
      </c>
      <c r="J37">
        <f t="array" ref="J37">MEDIAN(IF($C$3:$C$29=$C37,J$3:J$29,""))</f>
        <v>16.399999999999999</v>
      </c>
      <c r="K37">
        <f t="array" ref="K37">MEDIAN(IF($C$3:$C$29=$C37,K$3:K$29,""))</f>
        <v>13.95</v>
      </c>
      <c r="L37">
        <f t="array" ref="L37">MEDIAN(IF($C$3:$C$29=$C37,L$3:L$29,""))</f>
        <v>13.600000000000001</v>
      </c>
      <c r="M37">
        <f t="array" ref="M37">MEDIAN(IF($C$3:$C$29=$C37,M$3:M$29,""))</f>
        <v>15.4</v>
      </c>
      <c r="N37">
        <f t="array" ref="N37">MEDIAN(IF($C$3:$C$29=$C37,N$3:N$29,""))</f>
        <v>16.05</v>
      </c>
      <c r="O37">
        <f t="array" ref="O37">MEDIAN(IF($C$3:$C$29=$C37,O$3:O$29,""))</f>
        <v>17.100000000000001</v>
      </c>
      <c r="P37">
        <f t="array" ref="P37">MEDIAN(IF($C$3:$C$29=$C37,P$3:P$29,""))</f>
        <v>17.05</v>
      </c>
      <c r="Q37">
        <f t="array" ref="Q37">MEDIAN(IF($C$3:$C$29=$C37,Q$3:Q$29,""))</f>
        <v>17.549999999999997</v>
      </c>
      <c r="R37">
        <f t="array" ref="R37">MEDIAN(IF($C$3:$C$29=$C37,R$3:R$29,""))</f>
        <v>19.05</v>
      </c>
      <c r="S37">
        <f t="array" ref="S37">MEDIAN(IF($C$3:$C$29=$C37,S$3:S$29,""))</f>
        <v>17.850000000000001</v>
      </c>
      <c r="T37">
        <f t="array" ref="T37">MEDIAN(IF($C$3:$C$29=$C37,T$3:T$29,""))</f>
        <v>14.85</v>
      </c>
      <c r="U37">
        <f t="array" ref="U37">MEDIAN(IF($C$3:$C$29=$C37,U$3:U$29,""))</f>
        <v>15.649999999999999</v>
      </c>
      <c r="V37">
        <f t="array" ref="V37">MEDIAN(IF($C$3:$C$29=$C37,V$3:V$29,""))</f>
        <v>15.85</v>
      </c>
      <c r="W37">
        <f t="array" ref="W37">MEDIAN(IF($C$3:$C$29=$C37,W$3:W$29,""))</f>
        <v>17.5</v>
      </c>
      <c r="X37">
        <f t="array" ref="X37">MEDIAN(IF($C$3:$C$29=$C37,X$3:X$29,""))</f>
        <v>18.350000000000001</v>
      </c>
      <c r="Y37">
        <f t="array" ref="Y37">MEDIAN(IF($C$3:$C$29=$C37,Y$3:Y$29,""))</f>
        <v>21.6</v>
      </c>
      <c r="Z37">
        <f t="array" ref="Z37">MEDIAN(IF($C$3:$C$29=$C37,Z$3:Z$29,""))</f>
        <v>20.55</v>
      </c>
      <c r="AA37">
        <f t="array" ref="AA37">MEDIAN(IF($C$3:$C$29=$C37,AA$3:AA$29,""))</f>
        <v>23.6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8"/>
  <dimension ref="A1:AA37"/>
  <sheetViews>
    <sheetView workbookViewId="0">
      <selection activeCell="G31" sqref="G31:G37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28.6</v>
      </c>
      <c r="E3">
        <v>28.8</v>
      </c>
      <c r="H3">
        <v>32.5</v>
      </c>
      <c r="I3">
        <v>17.2</v>
      </c>
      <c r="J3">
        <v>13.8</v>
      </c>
      <c r="K3">
        <v>11.7</v>
      </c>
      <c r="L3">
        <v>11.8</v>
      </c>
      <c r="M3">
        <v>14.4</v>
      </c>
      <c r="N3">
        <v>13.3</v>
      </c>
      <c r="O3">
        <v>18.5</v>
      </c>
      <c r="P3">
        <v>12.2</v>
      </c>
      <c r="Q3">
        <v>12.6</v>
      </c>
      <c r="R3">
        <v>11.5</v>
      </c>
      <c r="S3">
        <v>15.3</v>
      </c>
      <c r="T3">
        <v>13.3</v>
      </c>
      <c r="U3">
        <v>13.9</v>
      </c>
      <c r="V3">
        <v>10.9</v>
      </c>
      <c r="W3">
        <v>15.9</v>
      </c>
      <c r="X3">
        <v>12.7</v>
      </c>
      <c r="Y3">
        <v>21.8</v>
      </c>
      <c r="Z3">
        <v>16.8</v>
      </c>
      <c r="AA3">
        <v>20.7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24.5</v>
      </c>
      <c r="E4">
        <v>34.4</v>
      </c>
      <c r="H4">
        <v>28.7</v>
      </c>
      <c r="I4">
        <v>21.8</v>
      </c>
      <c r="J4">
        <v>16.399999999999999</v>
      </c>
      <c r="K4">
        <v>14.2</v>
      </c>
      <c r="L4">
        <v>12.7</v>
      </c>
      <c r="M4">
        <v>11.9</v>
      </c>
      <c r="N4">
        <v>14.3</v>
      </c>
      <c r="O4">
        <v>12.7</v>
      </c>
      <c r="P4">
        <v>19.8</v>
      </c>
      <c r="Q4">
        <v>16.5</v>
      </c>
      <c r="R4">
        <v>16.5</v>
      </c>
      <c r="S4">
        <v>21</v>
      </c>
      <c r="T4">
        <v>17.399999999999999</v>
      </c>
      <c r="U4">
        <v>17</v>
      </c>
      <c r="V4">
        <v>15.8</v>
      </c>
      <c r="W4">
        <v>16.3</v>
      </c>
      <c r="X4">
        <v>12.4</v>
      </c>
      <c r="Y4">
        <v>13.3</v>
      </c>
      <c r="Z4">
        <v>20.399999999999999</v>
      </c>
      <c r="AA4">
        <v>20.7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20.5</v>
      </c>
      <c r="E5">
        <v>21.8</v>
      </c>
      <c r="H5">
        <v>29.1</v>
      </c>
      <c r="I5">
        <v>25.9</v>
      </c>
      <c r="J5">
        <v>20.100000000000001</v>
      </c>
      <c r="K5">
        <v>21.1</v>
      </c>
      <c r="L5">
        <v>20.399999999999999</v>
      </c>
      <c r="M5">
        <v>18.600000000000001</v>
      </c>
      <c r="N5">
        <v>17.399999999999999</v>
      </c>
      <c r="O5">
        <v>18.8</v>
      </c>
      <c r="P5">
        <v>16.2</v>
      </c>
      <c r="Q5">
        <v>17.100000000000001</v>
      </c>
      <c r="R5">
        <v>19.3</v>
      </c>
      <c r="S5">
        <v>17.899999999999999</v>
      </c>
      <c r="T5">
        <v>15.9</v>
      </c>
      <c r="U5">
        <v>18</v>
      </c>
      <c r="V5">
        <v>14.9</v>
      </c>
      <c r="W5">
        <v>12.5</v>
      </c>
      <c r="X5">
        <v>21.1</v>
      </c>
      <c r="Y5">
        <v>20.7</v>
      </c>
      <c r="Z5">
        <v>19.899999999999999</v>
      </c>
      <c r="AA5">
        <v>21.6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29.7</v>
      </c>
      <c r="E6">
        <v>20.3</v>
      </c>
      <c r="H6">
        <v>23.3</v>
      </c>
      <c r="I6">
        <v>15.7</v>
      </c>
      <c r="J6">
        <v>12</v>
      </c>
      <c r="K6">
        <v>12.9</v>
      </c>
      <c r="L6">
        <v>14.1</v>
      </c>
      <c r="M6">
        <v>14.4</v>
      </c>
      <c r="N6">
        <v>15.7</v>
      </c>
      <c r="O6">
        <v>16.399999999999999</v>
      </c>
      <c r="P6">
        <v>17.899999999999999</v>
      </c>
      <c r="Q6">
        <v>15.8</v>
      </c>
      <c r="R6">
        <v>13.5</v>
      </c>
      <c r="S6">
        <v>14.9</v>
      </c>
      <c r="T6">
        <v>16</v>
      </c>
      <c r="U6">
        <v>13.3</v>
      </c>
      <c r="V6">
        <v>13</v>
      </c>
      <c r="W6">
        <v>13.3</v>
      </c>
      <c r="X6">
        <v>16.899999999999999</v>
      </c>
      <c r="Y6">
        <v>17.899999999999999</v>
      </c>
      <c r="Z6">
        <v>18.100000000000001</v>
      </c>
      <c r="AA6">
        <v>27.2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22</v>
      </c>
      <c r="E7">
        <v>36.9</v>
      </c>
      <c r="H7">
        <v>25.4</v>
      </c>
      <c r="I7">
        <v>20.2</v>
      </c>
      <c r="J7">
        <v>10.9</v>
      </c>
      <c r="K7">
        <v>12.3</v>
      </c>
      <c r="L7">
        <v>13.4</v>
      </c>
      <c r="M7">
        <v>15.9</v>
      </c>
      <c r="N7">
        <v>14.4</v>
      </c>
      <c r="O7">
        <v>13.2</v>
      </c>
      <c r="P7">
        <v>13.2</v>
      </c>
      <c r="Q7">
        <v>11.6</v>
      </c>
      <c r="R7">
        <v>14.2</v>
      </c>
      <c r="S7">
        <v>17</v>
      </c>
      <c r="T7">
        <v>15.1</v>
      </c>
      <c r="U7">
        <v>14.6</v>
      </c>
      <c r="V7">
        <v>16.7</v>
      </c>
      <c r="W7">
        <v>19</v>
      </c>
      <c r="X7">
        <v>17.100000000000001</v>
      </c>
      <c r="Y7">
        <v>21</v>
      </c>
      <c r="Z7">
        <v>19.8</v>
      </c>
      <c r="AA7">
        <v>19.100000000000001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27.5</v>
      </c>
      <c r="E8">
        <v>29.7</v>
      </c>
      <c r="H8">
        <v>22.5</v>
      </c>
      <c r="I8">
        <v>19.2</v>
      </c>
      <c r="J8">
        <v>10.199999999999999</v>
      </c>
      <c r="K8">
        <v>13.7</v>
      </c>
      <c r="L8">
        <v>12.3</v>
      </c>
      <c r="M8">
        <v>15.1</v>
      </c>
      <c r="N8">
        <v>12.5</v>
      </c>
      <c r="O8">
        <v>9.6999999999999993</v>
      </c>
      <c r="P8">
        <v>14.5</v>
      </c>
      <c r="Q8">
        <v>12.1</v>
      </c>
      <c r="R8">
        <v>12.9</v>
      </c>
      <c r="S8">
        <v>13.5</v>
      </c>
      <c r="T8">
        <v>14.8</v>
      </c>
      <c r="U8">
        <v>13.5</v>
      </c>
      <c r="V8">
        <v>15.5</v>
      </c>
      <c r="W8">
        <v>16</v>
      </c>
      <c r="X8">
        <v>19.2</v>
      </c>
      <c r="Y8">
        <v>23</v>
      </c>
      <c r="Z8">
        <v>18.600000000000001</v>
      </c>
      <c r="AA8">
        <v>23.8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29.7</v>
      </c>
      <c r="E9">
        <v>35</v>
      </c>
      <c r="H9">
        <v>23.1</v>
      </c>
      <c r="I9">
        <v>15.6</v>
      </c>
      <c r="J9">
        <v>14.5</v>
      </c>
      <c r="K9">
        <v>12.5</v>
      </c>
      <c r="L9">
        <v>11.2</v>
      </c>
      <c r="M9">
        <v>13.1</v>
      </c>
      <c r="N9">
        <v>13.4</v>
      </c>
      <c r="O9">
        <v>10.7</v>
      </c>
      <c r="P9">
        <v>14.1</v>
      </c>
      <c r="Q9">
        <v>14.2</v>
      </c>
      <c r="R9">
        <v>16.2</v>
      </c>
      <c r="S9">
        <v>10.5</v>
      </c>
      <c r="T9">
        <v>13.8</v>
      </c>
      <c r="U9">
        <v>15.3</v>
      </c>
      <c r="V9">
        <v>14.1</v>
      </c>
      <c r="W9">
        <v>16.100000000000001</v>
      </c>
      <c r="X9">
        <v>16.2</v>
      </c>
      <c r="Y9">
        <v>16.899999999999999</v>
      </c>
      <c r="Z9">
        <v>16.3</v>
      </c>
      <c r="AA9">
        <v>16.100000000000001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24.9</v>
      </c>
      <c r="E10">
        <v>31.5</v>
      </c>
      <c r="H10">
        <v>21.6</v>
      </c>
      <c r="I10">
        <v>19.2</v>
      </c>
      <c r="J10">
        <v>12.8</v>
      </c>
      <c r="K10">
        <v>11.5</v>
      </c>
      <c r="L10">
        <v>11.2</v>
      </c>
      <c r="M10">
        <v>12.3</v>
      </c>
      <c r="N10">
        <v>12.1</v>
      </c>
      <c r="O10">
        <v>13.4</v>
      </c>
      <c r="P10">
        <v>16</v>
      </c>
      <c r="Q10">
        <v>14</v>
      </c>
      <c r="R10">
        <v>13.7</v>
      </c>
      <c r="S10">
        <v>17.600000000000001</v>
      </c>
      <c r="T10">
        <v>13.5</v>
      </c>
      <c r="U10">
        <v>16.8</v>
      </c>
      <c r="V10">
        <v>14.6</v>
      </c>
      <c r="W10">
        <v>12.8</v>
      </c>
      <c r="X10">
        <v>17.7</v>
      </c>
      <c r="Y10">
        <v>16</v>
      </c>
      <c r="Z10">
        <v>11.3</v>
      </c>
      <c r="AA10">
        <v>21.1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17.7</v>
      </c>
      <c r="E11">
        <v>18.399999999999999</v>
      </c>
      <c r="H11">
        <v>39.299999999999997</v>
      </c>
      <c r="I11">
        <v>24.3</v>
      </c>
      <c r="J11">
        <v>18.7</v>
      </c>
      <c r="K11">
        <v>13.5</v>
      </c>
      <c r="L11">
        <v>16.399999999999999</v>
      </c>
      <c r="M11">
        <v>14.9</v>
      </c>
      <c r="N11">
        <v>16</v>
      </c>
      <c r="O11">
        <v>16.100000000000001</v>
      </c>
      <c r="P11">
        <v>13.7</v>
      </c>
      <c r="Q11">
        <v>12.5</v>
      </c>
      <c r="R11">
        <v>13.9</v>
      </c>
      <c r="S11">
        <v>15</v>
      </c>
      <c r="T11">
        <v>14.5</v>
      </c>
      <c r="U11">
        <v>18.3</v>
      </c>
      <c r="V11">
        <v>11.6</v>
      </c>
      <c r="W11">
        <v>13</v>
      </c>
      <c r="X11">
        <v>17.899999999999999</v>
      </c>
      <c r="Y11">
        <v>16.600000000000001</v>
      </c>
      <c r="Z11">
        <v>19.100000000000001</v>
      </c>
      <c r="AA11">
        <v>26.1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21.6</v>
      </c>
      <c r="E12">
        <v>29.5</v>
      </c>
      <c r="H12">
        <v>18.8</v>
      </c>
      <c r="I12">
        <v>20.399999999999999</v>
      </c>
      <c r="J12">
        <v>25</v>
      </c>
      <c r="K12">
        <v>18.399999999999999</v>
      </c>
      <c r="L12">
        <v>19.2</v>
      </c>
      <c r="M12">
        <v>16.600000000000001</v>
      </c>
      <c r="N12">
        <v>14.5</v>
      </c>
      <c r="O12">
        <v>17.3</v>
      </c>
      <c r="P12">
        <v>15.9</v>
      </c>
      <c r="Q12">
        <v>16.3</v>
      </c>
      <c r="R12">
        <v>16.3</v>
      </c>
      <c r="S12">
        <v>17.100000000000001</v>
      </c>
      <c r="T12">
        <v>16.899999999999999</v>
      </c>
      <c r="U12">
        <v>21.9</v>
      </c>
      <c r="V12">
        <v>15.9</v>
      </c>
      <c r="W12">
        <v>17.7</v>
      </c>
      <c r="X12">
        <v>16.5</v>
      </c>
      <c r="Y12">
        <v>20.100000000000001</v>
      </c>
      <c r="Z12">
        <v>19.8</v>
      </c>
      <c r="AA12">
        <v>24.5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25.1</v>
      </c>
      <c r="E13">
        <v>24.8</v>
      </c>
      <c r="H13">
        <v>20.5</v>
      </c>
      <c r="I13">
        <v>17.100000000000001</v>
      </c>
      <c r="J13">
        <v>13.5</v>
      </c>
      <c r="K13">
        <v>9.1999999999999993</v>
      </c>
      <c r="L13">
        <v>15.3</v>
      </c>
      <c r="M13">
        <v>11.7</v>
      </c>
      <c r="N13">
        <v>13</v>
      </c>
      <c r="O13">
        <v>15.1</v>
      </c>
      <c r="P13">
        <v>13</v>
      </c>
      <c r="Q13">
        <v>16.3</v>
      </c>
      <c r="R13">
        <v>15.8</v>
      </c>
      <c r="S13">
        <v>15</v>
      </c>
      <c r="T13">
        <v>14.3</v>
      </c>
      <c r="U13">
        <v>13.6</v>
      </c>
      <c r="V13">
        <v>14.2</v>
      </c>
      <c r="W13">
        <v>12.3</v>
      </c>
      <c r="X13">
        <v>14.8</v>
      </c>
      <c r="Y13">
        <v>19.399999999999999</v>
      </c>
      <c r="Z13">
        <v>22.1</v>
      </c>
      <c r="AA13">
        <v>24.4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22.7</v>
      </c>
      <c r="E14">
        <v>35.5</v>
      </c>
      <c r="H14">
        <v>22.1</v>
      </c>
      <c r="I14">
        <v>19.600000000000001</v>
      </c>
      <c r="J14">
        <v>12.3</v>
      </c>
      <c r="K14">
        <v>13.9</v>
      </c>
      <c r="L14">
        <v>15.3</v>
      </c>
      <c r="M14">
        <v>14</v>
      </c>
      <c r="N14">
        <v>13.7</v>
      </c>
      <c r="O14">
        <v>14.1</v>
      </c>
      <c r="P14">
        <v>13.1</v>
      </c>
      <c r="Q14">
        <v>12.7</v>
      </c>
      <c r="R14">
        <v>14.8</v>
      </c>
      <c r="S14">
        <v>14.3</v>
      </c>
      <c r="T14">
        <v>18.100000000000001</v>
      </c>
      <c r="U14">
        <v>14.6</v>
      </c>
      <c r="V14">
        <v>13.8</v>
      </c>
      <c r="W14">
        <v>12.9</v>
      </c>
      <c r="X14">
        <v>15.8</v>
      </c>
      <c r="Y14">
        <v>17.5</v>
      </c>
      <c r="Z14">
        <v>19.5</v>
      </c>
      <c r="AA14">
        <v>24.6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30</v>
      </c>
      <c r="E15">
        <v>26.8</v>
      </c>
      <c r="H15">
        <v>18.7</v>
      </c>
      <c r="I15">
        <v>18.7</v>
      </c>
      <c r="J15">
        <v>11.3</v>
      </c>
      <c r="K15">
        <v>11.8</v>
      </c>
      <c r="L15">
        <v>13</v>
      </c>
      <c r="M15">
        <v>13.5</v>
      </c>
      <c r="N15">
        <v>13.9</v>
      </c>
      <c r="O15">
        <v>17.399999999999999</v>
      </c>
      <c r="P15">
        <v>12.1</v>
      </c>
      <c r="Q15">
        <v>15.6</v>
      </c>
      <c r="R15">
        <v>13.2</v>
      </c>
      <c r="S15">
        <v>11.9</v>
      </c>
      <c r="T15">
        <v>15.4</v>
      </c>
      <c r="U15">
        <v>11.7</v>
      </c>
      <c r="V15">
        <v>14.4</v>
      </c>
      <c r="W15">
        <v>15.9</v>
      </c>
      <c r="X15">
        <v>15.9</v>
      </c>
      <c r="Y15">
        <v>22</v>
      </c>
      <c r="Z15">
        <v>18.2</v>
      </c>
      <c r="AA15">
        <v>24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23.1</v>
      </c>
      <c r="E16">
        <v>24.6</v>
      </c>
      <c r="H16">
        <v>18.899999999999999</v>
      </c>
      <c r="I16">
        <v>17.100000000000001</v>
      </c>
      <c r="J16">
        <v>12.5</v>
      </c>
      <c r="K16">
        <v>11.7</v>
      </c>
      <c r="L16">
        <v>8.5</v>
      </c>
      <c r="M16">
        <v>14.1</v>
      </c>
      <c r="N16">
        <v>14.7</v>
      </c>
      <c r="O16">
        <v>11.9</v>
      </c>
      <c r="P16">
        <v>12.1</v>
      </c>
      <c r="Q16">
        <v>15.8</v>
      </c>
      <c r="R16">
        <v>15.1</v>
      </c>
      <c r="S16">
        <v>15.8</v>
      </c>
      <c r="T16">
        <v>13.4</v>
      </c>
      <c r="U16">
        <v>12.8</v>
      </c>
      <c r="V16">
        <v>12.3</v>
      </c>
      <c r="W16">
        <v>14.7</v>
      </c>
      <c r="X16">
        <v>13.9</v>
      </c>
      <c r="Y16">
        <v>17.600000000000001</v>
      </c>
      <c r="Z16">
        <v>17</v>
      </c>
      <c r="AA16">
        <v>25.7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21.2</v>
      </c>
      <c r="E17">
        <v>23.7</v>
      </c>
      <c r="H17">
        <v>35</v>
      </c>
      <c r="I17">
        <v>20.2</v>
      </c>
      <c r="J17">
        <v>12.7</v>
      </c>
      <c r="K17">
        <v>9.9</v>
      </c>
      <c r="L17">
        <v>12.9</v>
      </c>
      <c r="M17">
        <v>14.5</v>
      </c>
      <c r="N17">
        <v>13.6</v>
      </c>
      <c r="O17">
        <v>11.5</v>
      </c>
      <c r="P17">
        <v>13.4</v>
      </c>
      <c r="Q17">
        <v>12.6</v>
      </c>
      <c r="R17">
        <v>13.6</v>
      </c>
      <c r="S17">
        <v>13.7</v>
      </c>
      <c r="T17">
        <v>12.5</v>
      </c>
      <c r="U17">
        <v>14.2</v>
      </c>
      <c r="V17">
        <v>12</v>
      </c>
      <c r="W17">
        <v>13.9</v>
      </c>
      <c r="X17">
        <v>18.7</v>
      </c>
      <c r="Y17">
        <v>15.4</v>
      </c>
      <c r="Z17">
        <v>16.100000000000001</v>
      </c>
      <c r="AA17">
        <v>18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24.6</v>
      </c>
      <c r="E18">
        <v>27.4</v>
      </c>
      <c r="H18">
        <v>23.9</v>
      </c>
      <c r="I18">
        <v>23.7</v>
      </c>
      <c r="J18">
        <v>16.7</v>
      </c>
      <c r="K18">
        <v>15.9</v>
      </c>
      <c r="L18">
        <v>14.5</v>
      </c>
      <c r="M18">
        <v>17.3</v>
      </c>
      <c r="N18">
        <v>18.8</v>
      </c>
      <c r="O18">
        <v>18.399999999999999</v>
      </c>
      <c r="P18">
        <v>13.7</v>
      </c>
      <c r="Q18">
        <v>17</v>
      </c>
      <c r="R18">
        <v>13.9</v>
      </c>
      <c r="S18">
        <v>12.8</v>
      </c>
      <c r="T18">
        <v>15.5</v>
      </c>
      <c r="U18">
        <v>15</v>
      </c>
      <c r="V18">
        <v>12.4</v>
      </c>
      <c r="W18">
        <v>9.1999999999999993</v>
      </c>
      <c r="X18">
        <v>10.1</v>
      </c>
      <c r="Y18">
        <v>16</v>
      </c>
      <c r="Z18">
        <v>22.2</v>
      </c>
      <c r="AA18">
        <v>24.3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34.700000000000003</v>
      </c>
      <c r="H19">
        <v>34.4</v>
      </c>
      <c r="I19">
        <v>22.9</v>
      </c>
      <c r="J19">
        <v>21.8</v>
      </c>
      <c r="K19">
        <v>19.600000000000001</v>
      </c>
      <c r="L19">
        <v>18.600000000000001</v>
      </c>
      <c r="M19">
        <v>19.3</v>
      </c>
      <c r="N19">
        <v>14.9</v>
      </c>
      <c r="O19">
        <v>16</v>
      </c>
      <c r="P19">
        <v>14.2</v>
      </c>
      <c r="Q19">
        <v>18.600000000000001</v>
      </c>
      <c r="R19">
        <v>18.2</v>
      </c>
      <c r="S19">
        <v>18.600000000000001</v>
      </c>
      <c r="T19">
        <v>17.899999999999999</v>
      </c>
      <c r="U19">
        <v>20.6</v>
      </c>
      <c r="V19">
        <v>16</v>
      </c>
      <c r="W19">
        <v>17.5</v>
      </c>
      <c r="X19">
        <v>16.600000000000001</v>
      </c>
      <c r="Y19">
        <v>26.7</v>
      </c>
      <c r="Z19">
        <v>22.8</v>
      </c>
      <c r="AA19">
        <v>19.7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27.8</v>
      </c>
      <c r="E20">
        <v>16.399999999999999</v>
      </c>
      <c r="H20">
        <v>26.3</v>
      </c>
      <c r="I20">
        <v>21.6</v>
      </c>
      <c r="J20">
        <v>11.5</v>
      </c>
      <c r="K20">
        <v>9.6</v>
      </c>
      <c r="L20">
        <v>10.5</v>
      </c>
      <c r="M20">
        <v>13.8</v>
      </c>
      <c r="N20">
        <v>15.6</v>
      </c>
      <c r="O20">
        <v>15</v>
      </c>
      <c r="P20">
        <v>14.7</v>
      </c>
      <c r="Q20">
        <v>14.8</v>
      </c>
      <c r="R20">
        <v>13.4</v>
      </c>
      <c r="S20">
        <v>13.6</v>
      </c>
      <c r="T20">
        <v>13.1</v>
      </c>
      <c r="U20">
        <v>15.3</v>
      </c>
      <c r="V20">
        <v>14.6</v>
      </c>
      <c r="W20">
        <v>15.2</v>
      </c>
      <c r="X20">
        <v>15.5</v>
      </c>
      <c r="Y20">
        <v>17.899999999999999</v>
      </c>
      <c r="Z20">
        <v>22.2</v>
      </c>
      <c r="AA20">
        <v>26.5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25</v>
      </c>
      <c r="E21">
        <v>23.4</v>
      </c>
      <c r="H21">
        <v>24.6</v>
      </c>
      <c r="I21">
        <v>17.600000000000001</v>
      </c>
      <c r="J21">
        <v>13.3</v>
      </c>
      <c r="K21">
        <v>11.8</v>
      </c>
      <c r="L21">
        <v>12.2</v>
      </c>
      <c r="M21">
        <v>15.6</v>
      </c>
      <c r="N21">
        <v>13.6</v>
      </c>
      <c r="O21">
        <v>14.6</v>
      </c>
      <c r="P21">
        <v>12.8</v>
      </c>
      <c r="Q21">
        <v>14.6</v>
      </c>
      <c r="R21">
        <v>13.7</v>
      </c>
      <c r="S21">
        <v>15.2</v>
      </c>
      <c r="T21">
        <v>14.3</v>
      </c>
      <c r="U21">
        <v>14</v>
      </c>
      <c r="V21">
        <v>12.3</v>
      </c>
      <c r="W21">
        <v>13.2</v>
      </c>
      <c r="X21">
        <v>18.5</v>
      </c>
      <c r="Y21">
        <v>22.5</v>
      </c>
      <c r="Z21">
        <v>17.7</v>
      </c>
      <c r="AA21">
        <v>17.7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27.3</v>
      </c>
      <c r="E22">
        <v>27.2</v>
      </c>
      <c r="H22">
        <v>23.3</v>
      </c>
      <c r="I22">
        <v>19.899999999999999</v>
      </c>
      <c r="J22">
        <v>8.3000000000000007</v>
      </c>
      <c r="K22">
        <v>13.1</v>
      </c>
      <c r="L22">
        <v>10.3</v>
      </c>
      <c r="M22">
        <v>11.9</v>
      </c>
      <c r="N22">
        <v>11</v>
      </c>
      <c r="O22">
        <v>17.7</v>
      </c>
      <c r="P22">
        <v>15.8</v>
      </c>
      <c r="Q22">
        <v>13.9</v>
      </c>
      <c r="R22">
        <v>17.399999999999999</v>
      </c>
      <c r="S22">
        <v>11.8</v>
      </c>
      <c r="T22">
        <v>15.4</v>
      </c>
      <c r="U22">
        <v>13.3</v>
      </c>
      <c r="V22">
        <v>15.2</v>
      </c>
      <c r="W22">
        <v>15.9</v>
      </c>
      <c r="X22">
        <v>12.9</v>
      </c>
      <c r="Y22">
        <v>18.7</v>
      </c>
      <c r="Z22">
        <v>20.3</v>
      </c>
      <c r="AA22">
        <v>24.4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23.6</v>
      </c>
      <c r="E23">
        <v>26.5</v>
      </c>
      <c r="H23">
        <v>16.899999999999999</v>
      </c>
      <c r="I23">
        <v>21.5</v>
      </c>
      <c r="J23">
        <v>13.8</v>
      </c>
      <c r="K23">
        <v>12</v>
      </c>
      <c r="L23">
        <v>14.6</v>
      </c>
      <c r="M23">
        <v>15.4</v>
      </c>
      <c r="N23">
        <v>13.4</v>
      </c>
      <c r="O23">
        <v>14.7</v>
      </c>
      <c r="P23">
        <v>15</v>
      </c>
      <c r="Q23">
        <v>13.6</v>
      </c>
      <c r="R23">
        <v>14.3</v>
      </c>
      <c r="S23">
        <v>16.100000000000001</v>
      </c>
      <c r="T23">
        <v>12.8</v>
      </c>
      <c r="U23">
        <v>14.7</v>
      </c>
      <c r="V23">
        <v>10.3</v>
      </c>
      <c r="W23">
        <v>14.3</v>
      </c>
      <c r="X23">
        <v>13.5</v>
      </c>
      <c r="Y23">
        <v>18.3</v>
      </c>
      <c r="Z23">
        <v>20.9</v>
      </c>
      <c r="AA23">
        <v>22.4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25.6</v>
      </c>
      <c r="E24">
        <v>32.5</v>
      </c>
      <c r="H24">
        <v>19.399999999999999</v>
      </c>
      <c r="I24">
        <v>16</v>
      </c>
      <c r="J24">
        <v>14.7</v>
      </c>
      <c r="K24">
        <v>12.3</v>
      </c>
      <c r="L24">
        <v>11.5</v>
      </c>
      <c r="M24">
        <v>13.6</v>
      </c>
      <c r="N24">
        <v>12.3</v>
      </c>
      <c r="O24">
        <v>18.8</v>
      </c>
      <c r="P24">
        <v>17.7</v>
      </c>
      <c r="Q24">
        <v>13.7</v>
      </c>
      <c r="R24">
        <v>15.9</v>
      </c>
      <c r="S24">
        <v>12.5</v>
      </c>
      <c r="T24">
        <v>12.5</v>
      </c>
      <c r="U24">
        <v>14.1</v>
      </c>
      <c r="V24">
        <v>14.5</v>
      </c>
      <c r="W24">
        <v>13.3</v>
      </c>
      <c r="X24">
        <v>15.4</v>
      </c>
      <c r="Y24">
        <v>17.100000000000001</v>
      </c>
      <c r="Z24">
        <v>21</v>
      </c>
      <c r="AA24">
        <v>18.3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22.4</v>
      </c>
      <c r="E25">
        <v>33.9</v>
      </c>
      <c r="H25">
        <v>43.3</v>
      </c>
      <c r="I25">
        <v>20.7</v>
      </c>
      <c r="J25">
        <v>19.2</v>
      </c>
      <c r="K25">
        <v>12.4</v>
      </c>
      <c r="L25">
        <v>16.7</v>
      </c>
      <c r="M25">
        <v>14.7</v>
      </c>
      <c r="N25">
        <v>12.6</v>
      </c>
      <c r="O25">
        <v>11.1</v>
      </c>
      <c r="P25">
        <v>17.100000000000001</v>
      </c>
      <c r="Q25">
        <v>15.2</v>
      </c>
      <c r="R25">
        <v>13.3</v>
      </c>
      <c r="T25">
        <v>15.6</v>
      </c>
      <c r="V25">
        <v>10.6</v>
      </c>
      <c r="X25">
        <v>12.1</v>
      </c>
      <c r="Z25">
        <v>18.600000000000001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23.5</v>
      </c>
      <c r="E26">
        <v>28.6</v>
      </c>
      <c r="H26">
        <v>24</v>
      </c>
      <c r="I26">
        <v>21</v>
      </c>
      <c r="J26">
        <v>21.4</v>
      </c>
      <c r="K26">
        <v>16.600000000000001</v>
      </c>
      <c r="L26">
        <v>20.8</v>
      </c>
      <c r="M26">
        <v>16.5</v>
      </c>
      <c r="N26">
        <v>15.3</v>
      </c>
      <c r="O26">
        <v>14.8</v>
      </c>
      <c r="P26">
        <v>17.7</v>
      </c>
      <c r="Q26">
        <v>15.9</v>
      </c>
      <c r="R26">
        <v>15.6</v>
      </c>
      <c r="S26">
        <v>15.9</v>
      </c>
      <c r="T26">
        <v>21.1</v>
      </c>
      <c r="U26">
        <v>15.8</v>
      </c>
      <c r="V26">
        <v>18.8</v>
      </c>
      <c r="W26">
        <v>23</v>
      </c>
      <c r="X26">
        <v>17.399999999999999</v>
      </c>
      <c r="Y26">
        <v>11.3</v>
      </c>
      <c r="Z26">
        <v>19.2</v>
      </c>
      <c r="AA26">
        <v>19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19.5</v>
      </c>
      <c r="E27">
        <v>21.3</v>
      </c>
      <c r="F27">
        <v>15.4</v>
      </c>
      <c r="H27">
        <v>18.2</v>
      </c>
      <c r="I27">
        <v>17.5</v>
      </c>
      <c r="J27">
        <v>15.3</v>
      </c>
      <c r="K27">
        <v>11.6</v>
      </c>
      <c r="L27">
        <v>14.6</v>
      </c>
      <c r="M27">
        <v>16.7</v>
      </c>
      <c r="N27">
        <v>14.8</v>
      </c>
      <c r="O27">
        <v>16.8</v>
      </c>
      <c r="P27">
        <v>16.399999999999999</v>
      </c>
      <c r="Q27">
        <v>15.7</v>
      </c>
      <c r="R27">
        <v>12</v>
      </c>
      <c r="S27">
        <v>13.8</v>
      </c>
      <c r="T27">
        <v>15.5</v>
      </c>
      <c r="U27">
        <v>12.5</v>
      </c>
      <c r="V27">
        <v>11.8</v>
      </c>
      <c r="W27">
        <v>15.4</v>
      </c>
      <c r="X27">
        <v>16.600000000000001</v>
      </c>
      <c r="Y27">
        <v>18.100000000000001</v>
      </c>
      <c r="Z27">
        <v>14.3</v>
      </c>
      <c r="AA27">
        <v>21.8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20.6</v>
      </c>
      <c r="E28">
        <v>30.1</v>
      </c>
      <c r="H28">
        <v>16.899999999999999</v>
      </c>
      <c r="I28">
        <v>20.5</v>
      </c>
      <c r="J28">
        <v>13.9</v>
      </c>
      <c r="K28">
        <v>11.6</v>
      </c>
      <c r="L28">
        <v>13.3</v>
      </c>
      <c r="M28">
        <v>13.6</v>
      </c>
      <c r="N28">
        <v>13.8</v>
      </c>
      <c r="O28">
        <v>16.7</v>
      </c>
      <c r="P28">
        <v>17</v>
      </c>
      <c r="Q28">
        <v>16.2</v>
      </c>
      <c r="R28">
        <v>15.5</v>
      </c>
      <c r="S28">
        <v>12.6</v>
      </c>
      <c r="T28">
        <v>17.899999999999999</v>
      </c>
      <c r="U28">
        <v>16.100000000000001</v>
      </c>
      <c r="V28">
        <v>15.3</v>
      </c>
      <c r="W28">
        <v>16.600000000000001</v>
      </c>
      <c r="X28">
        <v>16.3</v>
      </c>
      <c r="Y28">
        <v>19.7</v>
      </c>
      <c r="Z28">
        <v>23.8</v>
      </c>
      <c r="AA28">
        <v>21.9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22.8</v>
      </c>
      <c r="E29">
        <v>35.6</v>
      </c>
      <c r="H29">
        <v>24.8</v>
      </c>
      <c r="I29">
        <v>21.8</v>
      </c>
      <c r="J29">
        <v>12</v>
      </c>
      <c r="K29">
        <v>11.7</v>
      </c>
      <c r="L29">
        <v>11.5</v>
      </c>
      <c r="M29">
        <v>15.1</v>
      </c>
      <c r="N29">
        <v>13.6</v>
      </c>
      <c r="O29">
        <v>14.4</v>
      </c>
      <c r="P29">
        <v>16.5</v>
      </c>
      <c r="Q29">
        <v>14.3</v>
      </c>
      <c r="R29">
        <v>13.1</v>
      </c>
      <c r="S29">
        <v>14.6</v>
      </c>
      <c r="T29">
        <v>12.4</v>
      </c>
      <c r="U29">
        <v>14.4</v>
      </c>
      <c r="V29">
        <v>13.2</v>
      </c>
      <c r="W29">
        <v>14.4</v>
      </c>
      <c r="X29">
        <v>20.6</v>
      </c>
      <c r="Y29">
        <v>15.2</v>
      </c>
      <c r="Z29">
        <v>18.8</v>
      </c>
      <c r="AA29">
        <v>28.9</v>
      </c>
    </row>
    <row r="31" spans="1:27" x14ac:dyDescent="0.25">
      <c r="C31">
        <v>1</v>
      </c>
      <c r="D31">
        <f t="array" ref="D31">MEDIAN(IF($C$3:$C$29=$C31,D$3:D$29,""))</f>
        <v>22.55</v>
      </c>
      <c r="E31">
        <f t="array" ref="E31">MEDIAN(IF($C$3:$C$29=$C31,E$3:E$29,""))</f>
        <v>25.200000000000003</v>
      </c>
      <c r="F31">
        <f t="array" ref="F31">MEDIAN(IF($C$3:$C$29=$C31,F$3:F$29,""))</f>
        <v>0</v>
      </c>
      <c r="G31">
        <v>26</v>
      </c>
      <c r="H31">
        <f t="array" ref="H31">MEDIAN(IF($C$3:$C$29=$C31,H$3:H$29,""))</f>
        <v>26.55</v>
      </c>
      <c r="I31">
        <f t="array" ref="I31">MEDIAN(IF($C$3:$C$29=$C31,I$3:I$29,""))</f>
        <v>21.95</v>
      </c>
      <c r="J31">
        <f t="array" ref="J31">MEDIAN(IF($C$3:$C$29=$C31,J$3:J$29,""))</f>
        <v>21.6</v>
      </c>
      <c r="K31">
        <f t="array" ref="K31">MEDIAN(IF($C$3:$C$29=$C31,K$3:K$29,""))</f>
        <v>19</v>
      </c>
      <c r="L31">
        <f t="array" ref="L31">MEDIAN(IF($C$3:$C$29=$C31,L$3:L$29,""))</f>
        <v>19.799999999999997</v>
      </c>
      <c r="M31">
        <f t="array" ref="M31">MEDIAN(IF($C$3:$C$29=$C31,M$3:M$29,""))</f>
        <v>17.600000000000001</v>
      </c>
      <c r="N31">
        <f t="array" ref="N31">MEDIAN(IF($C$3:$C$29=$C31,N$3:N$29,""))</f>
        <v>15.100000000000001</v>
      </c>
      <c r="O31">
        <f t="array" ref="O31">MEDIAN(IF($C$3:$C$29=$C31,O$3:O$29,""))</f>
        <v>16.649999999999999</v>
      </c>
      <c r="P31">
        <f t="array" ref="P31">MEDIAN(IF($C$3:$C$29=$C31,P$3:P$29,""))</f>
        <v>16.05</v>
      </c>
      <c r="Q31">
        <f t="array" ref="Q31">MEDIAN(IF($C$3:$C$29=$C31,Q$3:Q$29,""))</f>
        <v>16.700000000000003</v>
      </c>
      <c r="R31">
        <f t="array" ref="R31">MEDIAN(IF($C$3:$C$29=$C31,R$3:R$29,""))</f>
        <v>17.25</v>
      </c>
      <c r="S31">
        <f t="array" ref="S31">MEDIAN(IF($C$3:$C$29=$C31,S$3:S$29,""))</f>
        <v>17.5</v>
      </c>
      <c r="T31">
        <f t="array" ref="T31">MEDIAN(IF($C$3:$C$29=$C31,T$3:T$29,""))</f>
        <v>17.399999999999999</v>
      </c>
      <c r="U31">
        <f t="array" ref="U31">MEDIAN(IF($C$3:$C$29=$C31,U$3:U$29,""))</f>
        <v>19.3</v>
      </c>
      <c r="V31">
        <f t="array" ref="V31">MEDIAN(IF($C$3:$C$29=$C31,V$3:V$29,""))</f>
        <v>15.95</v>
      </c>
      <c r="W31">
        <f t="array" ref="W31">MEDIAN(IF($C$3:$C$29=$C31,W$3:W$29,""))</f>
        <v>17.600000000000001</v>
      </c>
      <c r="X31">
        <f t="array" ref="X31">MEDIAN(IF($C$3:$C$29=$C31,X$3:X$29,""))</f>
        <v>17</v>
      </c>
      <c r="Y31">
        <f t="array" ref="Y31">MEDIAN(IF($C$3:$C$29=$C31,Y$3:Y$29,""))</f>
        <v>20.399999999999999</v>
      </c>
      <c r="Z31">
        <f t="array" ref="Z31">MEDIAN(IF($C$3:$C$29=$C31,Z$3:Z$29,""))</f>
        <v>19.850000000000001</v>
      </c>
      <c r="AA31">
        <f t="array" ref="AA31">MEDIAN(IF($C$3:$C$29=$C31,AA$3:AA$29,""))</f>
        <v>20.65</v>
      </c>
    </row>
    <row r="32" spans="1:27" x14ac:dyDescent="0.25">
      <c r="C32">
        <v>2</v>
      </c>
      <c r="D32">
        <f t="array" ref="D32">MEDIAN(IF($C$3:$C$29=$C32,D$3:D$29,""))</f>
        <v>23.45</v>
      </c>
      <c r="E32">
        <f t="array" ref="E32">MEDIAN(IF($C$3:$C$29=$C32,E$3:E$29,""))</f>
        <v>30.65</v>
      </c>
      <c r="F32">
        <f t="array" ref="F32">MEDIAN(IF($C$3:$C$29=$C32,F$3:F$29,""))</f>
        <v>0</v>
      </c>
      <c r="G32">
        <v>26</v>
      </c>
      <c r="H32">
        <f t="array" ref="H32">MEDIAN(IF($C$3:$C$29=$C32,H$3:H$29,""))</f>
        <v>34</v>
      </c>
      <c r="I32">
        <f t="array" ref="I32">MEDIAN(IF($C$3:$C$29=$C32,I$3:I$29,""))</f>
        <v>22.75</v>
      </c>
      <c r="J32">
        <f t="array" ref="J32">MEDIAN(IF($C$3:$C$29=$C32,J$3:J$29,""))</f>
        <v>17.7</v>
      </c>
      <c r="K32">
        <f t="array" ref="K32">MEDIAN(IF($C$3:$C$29=$C32,K$3:K$29,""))</f>
        <v>13.85</v>
      </c>
      <c r="L32">
        <f t="array" ref="L32">MEDIAN(IF($C$3:$C$29=$C32,L$3:L$29,""))</f>
        <v>15.45</v>
      </c>
      <c r="M32">
        <f t="array" ref="M32">MEDIAN(IF($C$3:$C$29=$C32,M$3:M$29,""))</f>
        <v>14.8</v>
      </c>
      <c r="N32">
        <f t="array" ref="N32">MEDIAN(IF($C$3:$C$29=$C32,N$3:N$29,""))</f>
        <v>15.15</v>
      </c>
      <c r="O32">
        <f t="array" ref="O32">MEDIAN(IF($C$3:$C$29=$C32,O$3:O$29,""))</f>
        <v>14.4</v>
      </c>
      <c r="P32">
        <f t="array" ref="P32">MEDIAN(IF($C$3:$C$29=$C32,P$3:P$29,""))</f>
        <v>15.4</v>
      </c>
      <c r="Q32">
        <f t="array" ref="Q32">MEDIAN(IF($C$3:$C$29=$C32,Q$3:Q$29,""))</f>
        <v>15.85</v>
      </c>
      <c r="R32">
        <f t="array" ref="R32">MEDIAN(IF($C$3:$C$29=$C32,R$3:R$29,""))</f>
        <v>13.9</v>
      </c>
      <c r="S32">
        <f t="array" ref="S32">MEDIAN(IF($C$3:$C$29=$C32,S$3:S$29,""))</f>
        <v>13.9</v>
      </c>
      <c r="T32">
        <f t="array" ref="T32">MEDIAN(IF($C$3:$C$29=$C32,T$3:T$29,""))</f>
        <v>15.55</v>
      </c>
      <c r="U32">
        <f t="array" ref="U32">MEDIAN(IF($C$3:$C$29=$C32,U$3:U$29,""))</f>
        <v>16</v>
      </c>
      <c r="V32">
        <f t="array" ref="V32">MEDIAN(IF($C$3:$C$29=$C32,V$3:V$29,""))</f>
        <v>12</v>
      </c>
      <c r="W32">
        <f t="array" ref="W32">MEDIAN(IF($C$3:$C$29=$C32,W$3:W$29,""))</f>
        <v>11.1</v>
      </c>
      <c r="X32">
        <f t="array" ref="X32">MEDIAN(IF($C$3:$C$29=$C32,X$3:X$29,""))</f>
        <v>12.25</v>
      </c>
      <c r="Y32">
        <f t="array" ref="Y32">MEDIAN(IF($C$3:$C$29=$C32,Y$3:Y$29,""))</f>
        <v>14.65</v>
      </c>
      <c r="Z32">
        <f t="array" ref="Z32">MEDIAN(IF($C$3:$C$29=$C32,Z$3:Z$29,""))</f>
        <v>19.75</v>
      </c>
      <c r="AA32">
        <f t="array" ref="AA32">MEDIAN(IF($C$3:$C$29=$C32,AA$3:AA$29,""))</f>
        <v>22.5</v>
      </c>
    </row>
    <row r="33" spans="3:27" x14ac:dyDescent="0.25">
      <c r="C33">
        <v>3</v>
      </c>
      <c r="D33">
        <f t="array" ref="D33">MEDIAN(IF($C$3:$C$29=$C33,D$3:D$29,""))</f>
        <v>26.450000000000003</v>
      </c>
      <c r="E33">
        <f t="array" ref="E33">MEDIAN(IF($C$3:$C$29=$C33,E$3:E$29,""))</f>
        <v>20.8</v>
      </c>
      <c r="F33">
        <f t="array" ref="F33">MEDIAN(IF($C$3:$C$29=$C33,F$3:F$29,""))</f>
        <v>0</v>
      </c>
      <c r="G33">
        <v>26</v>
      </c>
      <c r="H33">
        <f t="array" ref="H33">MEDIAN(IF($C$3:$C$29=$C33,H$3:H$29,""))</f>
        <v>21.9</v>
      </c>
      <c r="I33">
        <f t="array" ref="I33">MEDIAN(IF($C$3:$C$29=$C33,I$3:I$29,""))</f>
        <v>17.3</v>
      </c>
      <c r="J33">
        <f t="array" ref="J33">MEDIAN(IF($C$3:$C$29=$C33,J$3:J$29,""))</f>
        <v>12.75</v>
      </c>
      <c r="K33">
        <f t="array" ref="K33">MEDIAN(IF($C$3:$C$29=$C33,K$3:K$29,""))</f>
        <v>10.6</v>
      </c>
      <c r="L33">
        <f t="array" ref="L33">MEDIAN(IF($C$3:$C$29=$C33,L$3:L$29,""))</f>
        <v>14.35</v>
      </c>
      <c r="M33">
        <f t="array" ref="M33">MEDIAN(IF($C$3:$C$29=$C33,M$3:M$29,""))</f>
        <v>14.100000000000001</v>
      </c>
      <c r="N33">
        <f t="array" ref="N33">MEDIAN(IF($C$3:$C$29=$C33,N$3:N$29,""))</f>
        <v>15.2</v>
      </c>
      <c r="O33">
        <f t="array" ref="O33">MEDIAN(IF($C$3:$C$29=$C33,O$3:O$29,""))</f>
        <v>15.75</v>
      </c>
      <c r="P33">
        <f t="array" ref="P33">MEDIAN(IF($C$3:$C$29=$C33,P$3:P$29,""))</f>
        <v>15.549999999999999</v>
      </c>
      <c r="Q33">
        <f t="array" ref="Q33">MEDIAN(IF($C$3:$C$29=$C33,Q$3:Q$29,""))</f>
        <v>15.75</v>
      </c>
      <c r="R33">
        <f t="array" ref="R33">MEDIAN(IF($C$3:$C$29=$C33,R$3:R$29,""))</f>
        <v>13.45</v>
      </c>
      <c r="S33">
        <f t="array" ref="S33">MEDIAN(IF($C$3:$C$29=$C33,S$3:S$29,""))</f>
        <v>14.350000000000001</v>
      </c>
      <c r="T33">
        <f t="array" ref="T33">MEDIAN(IF($C$3:$C$29=$C33,T$3:T$29,""))</f>
        <v>14.9</v>
      </c>
      <c r="U33">
        <f t="array" ref="U33">MEDIAN(IF($C$3:$C$29=$C33,U$3:U$29,""))</f>
        <v>13.45</v>
      </c>
      <c r="V33">
        <f t="array" ref="V33">MEDIAN(IF($C$3:$C$29=$C33,V$3:V$29,""))</f>
        <v>13.6</v>
      </c>
      <c r="W33">
        <f t="array" ref="W33">MEDIAN(IF($C$3:$C$29=$C33,W$3:W$29,""))</f>
        <v>14.25</v>
      </c>
      <c r="X33">
        <f t="array" ref="X33">MEDIAN(IF($C$3:$C$29=$C33,X$3:X$29,""))</f>
        <v>16.05</v>
      </c>
      <c r="Y33">
        <f t="array" ref="Y33">MEDIAN(IF($C$3:$C$29=$C33,Y$3:Y$29,""))</f>
        <v>18</v>
      </c>
      <c r="Z33">
        <f t="array" ref="Z33">MEDIAN(IF($C$3:$C$29=$C33,Z$3:Z$29,""))</f>
        <v>20.100000000000001</v>
      </c>
      <c r="AA33">
        <f t="array" ref="AA33">MEDIAN(IF($C$3:$C$29=$C33,AA$3:AA$29,""))</f>
        <v>25.45</v>
      </c>
    </row>
    <row r="34" spans="3:27" x14ac:dyDescent="0.25">
      <c r="C34">
        <v>4</v>
      </c>
      <c r="D34">
        <f t="array" ref="D34">MEDIAN(IF($C$3:$C$29=$C34,D$3:D$29,""))</f>
        <v>22.35</v>
      </c>
      <c r="E34">
        <f t="array" ref="E34">MEDIAN(IF($C$3:$C$29=$C34,E$3:E$29,""))</f>
        <v>32.799999999999997</v>
      </c>
      <c r="F34">
        <f t="array" ref="F34">MEDIAN(IF($C$3:$C$29=$C34,F$3:F$29,""))</f>
        <v>0</v>
      </c>
      <c r="G34">
        <v>26</v>
      </c>
      <c r="H34">
        <f t="array" ref="H34">MEDIAN(IF($C$3:$C$29=$C34,H$3:H$29,""))</f>
        <v>23.35</v>
      </c>
      <c r="I34">
        <f t="array" ref="I34">MEDIAN(IF($C$3:$C$29=$C34,I$3:I$29,""))</f>
        <v>19.899999999999999</v>
      </c>
      <c r="J34">
        <f t="array" ref="J34">MEDIAN(IF($C$3:$C$29=$C34,J$3:J$29,""))</f>
        <v>12.8</v>
      </c>
      <c r="K34">
        <f t="array" ref="K34">MEDIAN(IF($C$3:$C$29=$C34,K$3:K$29,""))</f>
        <v>12.05</v>
      </c>
      <c r="L34">
        <f t="array" ref="L34">MEDIAN(IF($C$3:$C$29=$C34,L$3:L$29,""))</f>
        <v>13.350000000000001</v>
      </c>
      <c r="M34">
        <f t="array" ref="M34">MEDIAN(IF($C$3:$C$29=$C34,M$3:M$29,""))</f>
        <v>14.8</v>
      </c>
      <c r="N34">
        <f t="array" ref="N34">MEDIAN(IF($C$3:$C$29=$C34,N$3:N$29,""))</f>
        <v>13.75</v>
      </c>
      <c r="O34">
        <f t="array" ref="O34">MEDIAN(IF($C$3:$C$29=$C34,O$3:O$29,""))</f>
        <v>14.35</v>
      </c>
      <c r="P34">
        <f t="array" ref="P34">MEDIAN(IF($C$3:$C$29=$C34,P$3:P$29,""))</f>
        <v>13.149999999999999</v>
      </c>
      <c r="Q34">
        <f t="array" ref="Q34">MEDIAN(IF($C$3:$C$29=$C34,Q$3:Q$29,""))</f>
        <v>13.649999999999999</v>
      </c>
      <c r="R34">
        <f t="array" ref="R34">MEDIAN(IF($C$3:$C$29=$C34,R$3:R$29,""))</f>
        <v>14.5</v>
      </c>
      <c r="S34">
        <f t="array" ref="S34">MEDIAN(IF($C$3:$C$29=$C34,S$3:S$29,""))</f>
        <v>14.75</v>
      </c>
      <c r="T34">
        <f t="array" ref="T34">MEDIAN(IF($C$3:$C$29=$C34,T$3:T$29,""))</f>
        <v>16.5</v>
      </c>
      <c r="U34">
        <f t="array" ref="U34">MEDIAN(IF($C$3:$C$29=$C34,U$3:U$29,""))</f>
        <v>14.6</v>
      </c>
      <c r="V34">
        <f t="array" ref="V34">MEDIAN(IF($C$3:$C$29=$C34,V$3:V$29,""))</f>
        <v>14.55</v>
      </c>
      <c r="W34">
        <f t="array" ref="W34">MEDIAN(IF($C$3:$C$29=$C34,W$3:W$29,""))</f>
        <v>14.9</v>
      </c>
      <c r="X34">
        <f t="array" ref="X34">MEDIAN(IF($C$3:$C$29=$C34,X$3:X$29,""))</f>
        <v>16.700000000000003</v>
      </c>
      <c r="Y34">
        <f t="array" ref="Y34">MEDIAN(IF($C$3:$C$29=$C34,Y$3:Y$29,""))</f>
        <v>20.350000000000001</v>
      </c>
      <c r="Z34">
        <f t="array" ref="Z34">MEDIAN(IF($C$3:$C$29=$C34,Z$3:Z$29,""))</f>
        <v>19.649999999999999</v>
      </c>
      <c r="AA34">
        <f t="array" ref="AA34">MEDIAN(IF($C$3:$C$29=$C34,AA$3:AA$29,""))</f>
        <v>20.5</v>
      </c>
    </row>
    <row r="35" spans="3:27" x14ac:dyDescent="0.25">
      <c r="C35">
        <v>5</v>
      </c>
      <c r="D35">
        <f t="array" ref="D35">MEDIAN(IF($C$3:$C$29=$C35,D$3:D$29,""))</f>
        <v>27.4</v>
      </c>
      <c r="E35">
        <f t="array" ref="E35">MEDIAN(IF($C$3:$C$29=$C35,E$3:E$29,""))</f>
        <v>28.45</v>
      </c>
      <c r="F35">
        <f t="array" ref="F35">MEDIAN(IF($C$3:$C$29=$C35,F$3:F$29,""))</f>
        <v>0</v>
      </c>
      <c r="G35">
        <v>26</v>
      </c>
      <c r="H35">
        <f t="array" ref="H35">MEDIAN(IF($C$3:$C$29=$C35,H$3:H$29,""))</f>
        <v>22.9</v>
      </c>
      <c r="I35">
        <f t="array" ref="I35">MEDIAN(IF($C$3:$C$29=$C35,I$3:I$29,""))</f>
        <v>19.549999999999997</v>
      </c>
      <c r="J35">
        <f t="array" ref="J35">MEDIAN(IF($C$3:$C$29=$C35,J$3:J$29,""))</f>
        <v>10.75</v>
      </c>
      <c r="K35">
        <f t="array" ref="K35">MEDIAN(IF($C$3:$C$29=$C35,K$3:K$29,""))</f>
        <v>12.45</v>
      </c>
      <c r="L35">
        <f t="array" ref="L35">MEDIAN(IF($C$3:$C$29=$C35,L$3:L$29,""))</f>
        <v>11.9</v>
      </c>
      <c r="M35">
        <f t="array" ref="M35">MEDIAN(IF($C$3:$C$29=$C35,M$3:M$29,""))</f>
        <v>14.3</v>
      </c>
      <c r="N35">
        <f t="array" ref="N35">MEDIAN(IF($C$3:$C$29=$C35,N$3:N$29,""))</f>
        <v>13.05</v>
      </c>
      <c r="O35">
        <f t="array" ref="O35">MEDIAN(IF($C$3:$C$29=$C35,O$3:O$29,""))</f>
        <v>15.899999999999999</v>
      </c>
      <c r="P35">
        <f t="array" ref="P35">MEDIAN(IF($C$3:$C$29=$C35,P$3:P$29,""))</f>
        <v>15.15</v>
      </c>
      <c r="Q35">
        <f t="array" ref="Q35">MEDIAN(IF($C$3:$C$29=$C35,Q$3:Q$29,""))</f>
        <v>14.100000000000001</v>
      </c>
      <c r="R35">
        <f t="array" ref="R35">MEDIAN(IF($C$3:$C$29=$C35,R$3:R$29,""))</f>
        <v>13.149999999999999</v>
      </c>
      <c r="S35">
        <f t="array" ref="S35">MEDIAN(IF($C$3:$C$29=$C35,S$3:S$29,""))</f>
        <v>12.7</v>
      </c>
      <c r="T35">
        <f t="array" ref="T35">MEDIAN(IF($C$3:$C$29=$C35,T$3:T$29,""))</f>
        <v>15.100000000000001</v>
      </c>
      <c r="U35">
        <f t="array" ref="U35">MEDIAN(IF($C$3:$C$29=$C35,U$3:U$29,""))</f>
        <v>13.4</v>
      </c>
      <c r="V35">
        <f t="array" ref="V35">MEDIAN(IF($C$3:$C$29=$C35,V$3:V$29,""))</f>
        <v>14.8</v>
      </c>
      <c r="W35">
        <f t="array" ref="W35">MEDIAN(IF($C$3:$C$29=$C35,W$3:W$29,""))</f>
        <v>15.9</v>
      </c>
      <c r="X35">
        <f t="array" ref="X35">MEDIAN(IF($C$3:$C$29=$C35,X$3:X$29,""))</f>
        <v>17.55</v>
      </c>
      <c r="Y35">
        <f t="array" ref="Y35">MEDIAN(IF($C$3:$C$29=$C35,Y$3:Y$29,""))</f>
        <v>20.350000000000001</v>
      </c>
      <c r="Z35">
        <f t="array" ref="Z35">MEDIAN(IF($C$3:$C$29=$C35,Z$3:Z$29,""))</f>
        <v>18.700000000000003</v>
      </c>
      <c r="AA35">
        <f t="array" ref="AA35">MEDIAN(IF($C$3:$C$29=$C35,AA$3:AA$29,""))</f>
        <v>24.2</v>
      </c>
    </row>
    <row r="36" spans="3:27" x14ac:dyDescent="0.25">
      <c r="C36">
        <v>6</v>
      </c>
      <c r="D36">
        <f t="array" ref="D36">MEDIAN(IF($C$3:$C$29=$C36,D$3:D$29,""))</f>
        <v>23.6</v>
      </c>
      <c r="E36">
        <f t="array" ref="E36">MEDIAN(IF($C$3:$C$29=$C36,E$3:E$29,""))</f>
        <v>26.5</v>
      </c>
      <c r="F36">
        <f t="array" ref="F36">MEDIAN(IF($C$3:$C$29=$C36,F$3:F$29,""))</f>
        <v>0</v>
      </c>
      <c r="G36">
        <v>26</v>
      </c>
      <c r="H36">
        <f t="array" ref="H36">MEDIAN(IF($C$3:$C$29=$C36,H$3:H$29,""))</f>
        <v>18.899999999999999</v>
      </c>
      <c r="I36">
        <f t="array" ref="I36">MEDIAN(IF($C$3:$C$29=$C36,I$3:I$29,""))</f>
        <v>17.100000000000001</v>
      </c>
      <c r="J36">
        <f t="array" ref="J36">MEDIAN(IF($C$3:$C$29=$C36,J$3:J$29,""))</f>
        <v>13.8</v>
      </c>
      <c r="K36">
        <f t="array" ref="K36">MEDIAN(IF($C$3:$C$29=$C36,K$3:K$29,""))</f>
        <v>12</v>
      </c>
      <c r="L36">
        <f t="array" ref="L36">MEDIAN(IF($C$3:$C$29=$C36,L$3:L$29,""))</f>
        <v>11.2</v>
      </c>
      <c r="M36">
        <f t="array" ref="M36">MEDIAN(IF($C$3:$C$29=$C36,M$3:M$29,""))</f>
        <v>14.1</v>
      </c>
      <c r="N36">
        <f t="array" ref="N36">MEDIAN(IF($C$3:$C$29=$C36,N$3:N$29,""))</f>
        <v>13.4</v>
      </c>
      <c r="O36">
        <f t="array" ref="O36">MEDIAN(IF($C$3:$C$29=$C36,O$3:O$29,""))</f>
        <v>11.9</v>
      </c>
      <c r="P36">
        <f t="array" ref="P36">MEDIAN(IF($C$3:$C$29=$C36,P$3:P$29,""))</f>
        <v>14.1</v>
      </c>
      <c r="Q36">
        <f t="array" ref="Q36">MEDIAN(IF($C$3:$C$29=$C36,Q$3:Q$29,""))</f>
        <v>14.2</v>
      </c>
      <c r="R36">
        <f t="array" ref="R36">MEDIAN(IF($C$3:$C$29=$C36,R$3:R$29,""))</f>
        <v>15.1</v>
      </c>
      <c r="S36">
        <f t="array" ref="S36">MEDIAN(IF($C$3:$C$29=$C36,S$3:S$29,""))</f>
        <v>15.8</v>
      </c>
      <c r="T36">
        <f t="array" ref="T36">MEDIAN(IF($C$3:$C$29=$C36,T$3:T$29,""))</f>
        <v>13.4</v>
      </c>
      <c r="U36">
        <f t="array" ref="U36">MEDIAN(IF($C$3:$C$29=$C36,U$3:U$29,""))</f>
        <v>14.7</v>
      </c>
      <c r="V36">
        <f t="array" ref="V36">MEDIAN(IF($C$3:$C$29=$C36,V$3:V$29,""))</f>
        <v>12.3</v>
      </c>
      <c r="W36">
        <f t="array" ref="W36">MEDIAN(IF($C$3:$C$29=$C36,W$3:W$29,""))</f>
        <v>14.7</v>
      </c>
      <c r="X36">
        <f t="array" ref="X36">MEDIAN(IF($C$3:$C$29=$C36,X$3:X$29,""))</f>
        <v>13.9</v>
      </c>
      <c r="Y36">
        <f t="array" ref="Y36">MEDIAN(IF($C$3:$C$29=$C36,Y$3:Y$29,""))</f>
        <v>17.600000000000001</v>
      </c>
      <c r="Z36">
        <f t="array" ref="Z36">MEDIAN(IF($C$3:$C$29=$C36,Z$3:Z$29,""))</f>
        <v>17</v>
      </c>
      <c r="AA36">
        <f t="array" ref="AA36">MEDIAN(IF($C$3:$C$29=$C36,AA$3:AA$29,""))</f>
        <v>22.4</v>
      </c>
    </row>
    <row r="37" spans="3:27" x14ac:dyDescent="0.25">
      <c r="C37">
        <v>7</v>
      </c>
      <c r="D37">
        <f t="array" ref="D37">MEDIAN(IF($C$3:$C$29=$C37,D$3:D$29,""))</f>
        <v>25.25</v>
      </c>
      <c r="E37">
        <f t="array" ref="E37">MEDIAN(IF($C$3:$C$29=$C37,E$3:E$29,""))</f>
        <v>30.15</v>
      </c>
      <c r="F37">
        <f t="array" ref="F37">MEDIAN(IF($C$3:$C$29=$C37,F$3:F$29,""))</f>
        <v>0</v>
      </c>
      <c r="G37">
        <v>26</v>
      </c>
      <c r="H37">
        <f t="array" ref="H37">MEDIAN(IF($C$3:$C$29=$C37,H$3:H$29,""))</f>
        <v>27.05</v>
      </c>
      <c r="I37">
        <f t="array" ref="I37">MEDIAN(IF($C$3:$C$29=$C37,I$3:I$29,""))</f>
        <v>18.2</v>
      </c>
      <c r="J37">
        <f t="array" ref="J37">MEDIAN(IF($C$3:$C$29=$C37,J$3:J$29,""))</f>
        <v>13.3</v>
      </c>
      <c r="K37">
        <f t="array" ref="K37">MEDIAN(IF($C$3:$C$29=$C37,K$3:K$29,""))</f>
        <v>11.6</v>
      </c>
      <c r="L37">
        <f t="array" ref="L37">MEDIAN(IF($C$3:$C$29=$C37,L$3:L$29,""))</f>
        <v>11.65</v>
      </c>
      <c r="M37">
        <f t="array" ref="M37">MEDIAN(IF($C$3:$C$29=$C37,M$3:M$29,""))</f>
        <v>14</v>
      </c>
      <c r="N37">
        <f t="array" ref="N37">MEDIAN(IF($C$3:$C$29=$C37,N$3:N$29,""))</f>
        <v>12.8</v>
      </c>
      <c r="O37">
        <f t="array" ref="O37">MEDIAN(IF($C$3:$C$29=$C37,O$3:O$29,""))</f>
        <v>15.95</v>
      </c>
      <c r="P37">
        <f t="array" ref="P37">MEDIAN(IF($C$3:$C$29=$C37,P$3:P$29,""))</f>
        <v>14.7</v>
      </c>
      <c r="Q37">
        <f t="array" ref="Q37">MEDIAN(IF($C$3:$C$29=$C37,Q$3:Q$29,""))</f>
        <v>13.149999999999999</v>
      </c>
      <c r="R37">
        <f t="array" ref="R37">MEDIAN(IF($C$3:$C$29=$C37,R$3:R$29,""))</f>
        <v>13.649999999999999</v>
      </c>
      <c r="S37">
        <f t="array" ref="S37">MEDIAN(IF($C$3:$C$29=$C37,S$3:S$29,""))</f>
        <v>14.5</v>
      </c>
      <c r="T37">
        <f t="array" ref="T37">MEDIAN(IF($C$3:$C$29=$C37,T$3:T$29,""))</f>
        <v>12.9</v>
      </c>
      <c r="U37">
        <f t="array" ref="U37">MEDIAN(IF($C$3:$C$29=$C37,U$3:U$29,""))</f>
        <v>14.149999999999999</v>
      </c>
      <c r="V37">
        <f t="array" ref="V37">MEDIAN(IF($C$3:$C$29=$C37,V$3:V$29,""))</f>
        <v>13.25</v>
      </c>
      <c r="W37">
        <f t="array" ref="W37">MEDIAN(IF($C$3:$C$29=$C37,W$3:W$29,""))</f>
        <v>13.600000000000001</v>
      </c>
      <c r="X37">
        <f t="array" ref="X37">MEDIAN(IF($C$3:$C$29=$C37,X$3:X$29,""))</f>
        <v>16.55</v>
      </c>
      <c r="Y37">
        <f t="array" ref="Y37">MEDIAN(IF($C$3:$C$29=$C37,Y$3:Y$29,""))</f>
        <v>16.55</v>
      </c>
      <c r="Z37">
        <f t="array" ref="Z37">MEDIAN(IF($C$3:$C$29=$C37,Z$3:Z$29,""))</f>
        <v>16.450000000000003</v>
      </c>
      <c r="AA37">
        <f t="array" ref="AA37">MEDIAN(IF($C$3:$C$29=$C37,AA$3:AA$29,""))</f>
        <v>19.5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9"/>
  <dimension ref="A1:AA37"/>
  <sheetViews>
    <sheetView workbookViewId="0">
      <selection activeCell="G31" sqref="G31:G37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27</v>
      </c>
      <c r="E3">
        <v>26.5</v>
      </c>
      <c r="H3">
        <v>19.100000000000001</v>
      </c>
      <c r="I3">
        <v>18.8</v>
      </c>
      <c r="J3">
        <v>14.8</v>
      </c>
      <c r="K3">
        <v>12.3</v>
      </c>
      <c r="L3">
        <v>11.7</v>
      </c>
      <c r="M3">
        <v>11.1</v>
      </c>
      <c r="N3">
        <v>13.5</v>
      </c>
      <c r="O3">
        <v>14.3</v>
      </c>
      <c r="P3">
        <v>13.8</v>
      </c>
      <c r="Q3">
        <v>12</v>
      </c>
      <c r="R3">
        <v>12.7</v>
      </c>
      <c r="S3">
        <v>14.6</v>
      </c>
      <c r="T3">
        <v>13.7</v>
      </c>
      <c r="U3">
        <v>15.2</v>
      </c>
      <c r="V3">
        <v>13.7</v>
      </c>
      <c r="W3">
        <v>15.3</v>
      </c>
      <c r="X3">
        <v>16.8</v>
      </c>
      <c r="Y3">
        <v>21.1</v>
      </c>
      <c r="Z3">
        <v>17.5</v>
      </c>
      <c r="AA3">
        <v>21.2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21.1</v>
      </c>
      <c r="E4">
        <v>16.899999999999999</v>
      </c>
      <c r="H4">
        <v>23.4</v>
      </c>
      <c r="I4">
        <v>22.4</v>
      </c>
      <c r="J4">
        <v>17.8</v>
      </c>
      <c r="K4">
        <v>14.1</v>
      </c>
      <c r="L4">
        <v>13.3</v>
      </c>
      <c r="M4">
        <v>12</v>
      </c>
      <c r="N4">
        <v>13.8</v>
      </c>
      <c r="O4">
        <v>13.4</v>
      </c>
      <c r="P4">
        <v>14.8</v>
      </c>
      <c r="Q4">
        <v>14.3</v>
      </c>
      <c r="R4">
        <v>18.100000000000001</v>
      </c>
      <c r="S4">
        <v>17.5</v>
      </c>
      <c r="T4">
        <v>15.5</v>
      </c>
      <c r="U4">
        <v>16.5</v>
      </c>
      <c r="V4">
        <v>18.100000000000001</v>
      </c>
      <c r="W4">
        <v>19</v>
      </c>
      <c r="X4">
        <v>14</v>
      </c>
      <c r="Y4">
        <v>17.2</v>
      </c>
      <c r="Z4">
        <v>18.8</v>
      </c>
      <c r="AA4">
        <v>20.100000000000001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22.1</v>
      </c>
      <c r="E5">
        <v>22.5</v>
      </c>
      <c r="H5">
        <v>30.8</v>
      </c>
      <c r="I5">
        <v>22.7</v>
      </c>
      <c r="J5">
        <v>18.8</v>
      </c>
      <c r="K5">
        <v>22.6</v>
      </c>
      <c r="L5">
        <v>21</v>
      </c>
      <c r="M5">
        <v>17.899999999999999</v>
      </c>
      <c r="N5">
        <v>14.9</v>
      </c>
      <c r="O5">
        <v>17.3</v>
      </c>
      <c r="P5">
        <v>15.5</v>
      </c>
      <c r="Q5">
        <v>17.7</v>
      </c>
      <c r="R5">
        <v>16.8</v>
      </c>
      <c r="S5">
        <v>16.399999999999999</v>
      </c>
      <c r="T5">
        <v>16.5</v>
      </c>
      <c r="U5">
        <v>16.100000000000001</v>
      </c>
      <c r="V5">
        <v>13.9</v>
      </c>
      <c r="W5">
        <v>18</v>
      </c>
      <c r="X5">
        <v>16.899999999999999</v>
      </c>
      <c r="Y5">
        <v>20.100000000000001</v>
      </c>
      <c r="Z5">
        <v>21</v>
      </c>
      <c r="AA5">
        <v>27.2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26.1</v>
      </c>
      <c r="E6">
        <v>18.899999999999999</v>
      </c>
      <c r="H6">
        <v>21.3</v>
      </c>
      <c r="I6">
        <v>16.600000000000001</v>
      </c>
      <c r="J6">
        <v>10.9</v>
      </c>
      <c r="K6">
        <v>10.8</v>
      </c>
      <c r="L6">
        <v>12.4</v>
      </c>
      <c r="M6">
        <v>13.8</v>
      </c>
      <c r="N6">
        <v>12</v>
      </c>
      <c r="O6">
        <v>13.8</v>
      </c>
      <c r="P6">
        <v>14.6</v>
      </c>
      <c r="Q6">
        <v>14.2</v>
      </c>
      <c r="R6">
        <v>14.7</v>
      </c>
      <c r="S6">
        <v>13.5</v>
      </c>
      <c r="T6">
        <v>15.4</v>
      </c>
      <c r="U6">
        <v>15.2</v>
      </c>
      <c r="V6">
        <v>14.3</v>
      </c>
      <c r="W6">
        <v>13.5</v>
      </c>
      <c r="X6">
        <v>16.100000000000001</v>
      </c>
      <c r="Y6">
        <v>19.899999999999999</v>
      </c>
      <c r="Z6">
        <v>18</v>
      </c>
      <c r="AA6">
        <v>22.3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24.9</v>
      </c>
      <c r="E7">
        <v>38.1</v>
      </c>
      <c r="H7">
        <v>31.4</v>
      </c>
      <c r="I7">
        <v>21.3</v>
      </c>
      <c r="J7">
        <v>11</v>
      </c>
      <c r="K7">
        <v>12.8</v>
      </c>
      <c r="L7">
        <v>11.3</v>
      </c>
      <c r="M7">
        <v>11.6</v>
      </c>
      <c r="N7">
        <v>10.8</v>
      </c>
      <c r="O7">
        <v>12.9</v>
      </c>
      <c r="P7">
        <v>13.9</v>
      </c>
      <c r="Q7">
        <v>12.5</v>
      </c>
      <c r="R7">
        <v>14.3</v>
      </c>
      <c r="S7">
        <v>16.5</v>
      </c>
      <c r="T7">
        <v>15</v>
      </c>
      <c r="U7">
        <v>14.4</v>
      </c>
      <c r="V7">
        <v>14.6</v>
      </c>
      <c r="W7">
        <v>16.600000000000001</v>
      </c>
      <c r="X7">
        <v>16.399999999999999</v>
      </c>
      <c r="Y7">
        <v>22.1</v>
      </c>
      <c r="Z7">
        <v>20.9</v>
      </c>
      <c r="AA7">
        <v>19.7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23.4</v>
      </c>
      <c r="E8">
        <v>32.200000000000003</v>
      </c>
      <c r="H8">
        <v>27.2</v>
      </c>
      <c r="I8">
        <v>19.8</v>
      </c>
      <c r="J8">
        <v>10.3</v>
      </c>
      <c r="K8">
        <v>12.9</v>
      </c>
      <c r="L8">
        <v>11.8</v>
      </c>
      <c r="M8">
        <v>13.3</v>
      </c>
      <c r="N8">
        <v>10.3</v>
      </c>
      <c r="O8">
        <v>7.7</v>
      </c>
      <c r="P8">
        <v>14.7</v>
      </c>
      <c r="Q8">
        <v>15.8</v>
      </c>
      <c r="R8">
        <v>14</v>
      </c>
      <c r="S8">
        <v>10.4</v>
      </c>
      <c r="T8">
        <v>14.3</v>
      </c>
      <c r="U8">
        <v>14.4</v>
      </c>
      <c r="V8">
        <v>12.7</v>
      </c>
      <c r="W8">
        <v>17.8</v>
      </c>
      <c r="X8">
        <v>17.100000000000001</v>
      </c>
      <c r="Y8">
        <v>21.3</v>
      </c>
      <c r="Z8">
        <v>19.7</v>
      </c>
      <c r="AA8">
        <v>23.4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25.3</v>
      </c>
      <c r="E9">
        <v>20.100000000000001</v>
      </c>
      <c r="H9">
        <v>32.6</v>
      </c>
      <c r="I9">
        <v>18.600000000000001</v>
      </c>
      <c r="J9">
        <v>13.7</v>
      </c>
      <c r="K9">
        <v>11.7</v>
      </c>
      <c r="L9">
        <v>11.9</v>
      </c>
      <c r="M9">
        <v>12.8</v>
      </c>
      <c r="N9">
        <v>13</v>
      </c>
      <c r="O9">
        <v>12.2</v>
      </c>
      <c r="P9">
        <v>12</v>
      </c>
      <c r="Q9">
        <v>11.9</v>
      </c>
      <c r="R9">
        <v>13.9</v>
      </c>
      <c r="S9">
        <v>13.3</v>
      </c>
      <c r="T9">
        <v>14</v>
      </c>
      <c r="U9">
        <v>14.7</v>
      </c>
      <c r="V9">
        <v>13.6</v>
      </c>
      <c r="W9">
        <v>14.9</v>
      </c>
      <c r="X9">
        <v>16.8</v>
      </c>
      <c r="Y9">
        <v>15.1</v>
      </c>
      <c r="Z9">
        <v>18.600000000000001</v>
      </c>
      <c r="AA9">
        <v>19.5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23.4</v>
      </c>
      <c r="E10">
        <v>19.5</v>
      </c>
      <c r="H10">
        <v>24.7</v>
      </c>
      <c r="I10">
        <v>18.899999999999999</v>
      </c>
      <c r="J10">
        <v>14.2</v>
      </c>
      <c r="K10">
        <v>13</v>
      </c>
      <c r="L10">
        <v>12</v>
      </c>
      <c r="M10">
        <v>11.7</v>
      </c>
      <c r="N10">
        <v>12.2</v>
      </c>
      <c r="O10">
        <v>13.1</v>
      </c>
      <c r="P10">
        <v>14.6</v>
      </c>
      <c r="Q10">
        <v>14</v>
      </c>
      <c r="R10">
        <v>14.3</v>
      </c>
      <c r="S10">
        <v>14.5</v>
      </c>
      <c r="T10">
        <v>15</v>
      </c>
      <c r="U10">
        <v>13.8</v>
      </c>
      <c r="V10">
        <v>14.4</v>
      </c>
      <c r="W10">
        <v>14.6</v>
      </c>
      <c r="X10">
        <v>15.6</v>
      </c>
      <c r="Y10">
        <v>17.7</v>
      </c>
      <c r="Z10">
        <v>17.600000000000001</v>
      </c>
      <c r="AA10">
        <v>18.600000000000001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20.399999999999999</v>
      </c>
      <c r="E11">
        <v>20.8</v>
      </c>
      <c r="H11">
        <v>28</v>
      </c>
      <c r="I11">
        <v>20.8</v>
      </c>
      <c r="J11">
        <v>18.600000000000001</v>
      </c>
      <c r="K11">
        <v>15.2</v>
      </c>
      <c r="L11">
        <v>15.1</v>
      </c>
      <c r="M11">
        <v>13.3</v>
      </c>
      <c r="N11">
        <v>15.3</v>
      </c>
      <c r="O11">
        <v>13.7</v>
      </c>
      <c r="P11">
        <v>14.1</v>
      </c>
      <c r="Q11">
        <v>12.3</v>
      </c>
      <c r="R11">
        <v>14.3</v>
      </c>
      <c r="S11">
        <v>15</v>
      </c>
      <c r="T11">
        <v>17</v>
      </c>
      <c r="U11">
        <v>17.2</v>
      </c>
      <c r="V11">
        <v>13.8</v>
      </c>
      <c r="W11">
        <v>14.6</v>
      </c>
      <c r="X11">
        <v>16</v>
      </c>
      <c r="Y11">
        <v>19.600000000000001</v>
      </c>
      <c r="Z11">
        <v>17.399999999999999</v>
      </c>
      <c r="AA11">
        <v>26.2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19.600000000000001</v>
      </c>
      <c r="E12">
        <v>28.1</v>
      </c>
      <c r="H12">
        <v>23.2</v>
      </c>
      <c r="I12">
        <v>18.7</v>
      </c>
      <c r="J12">
        <v>24.2</v>
      </c>
      <c r="K12">
        <v>18.8</v>
      </c>
      <c r="L12">
        <v>18.5</v>
      </c>
      <c r="M12">
        <v>18.100000000000001</v>
      </c>
      <c r="N12">
        <v>17.600000000000001</v>
      </c>
      <c r="O12">
        <v>16.399999999999999</v>
      </c>
      <c r="P12">
        <v>17.8</v>
      </c>
      <c r="Q12">
        <v>14.7</v>
      </c>
      <c r="R12">
        <v>16</v>
      </c>
      <c r="S12">
        <v>15.1</v>
      </c>
      <c r="T12">
        <v>17.7</v>
      </c>
      <c r="U12">
        <v>17.600000000000001</v>
      </c>
      <c r="V12">
        <v>16.5</v>
      </c>
      <c r="W12">
        <v>17.100000000000001</v>
      </c>
      <c r="X12">
        <v>16.2</v>
      </c>
      <c r="Y12">
        <v>19.3</v>
      </c>
      <c r="Z12">
        <v>18.899999999999999</v>
      </c>
      <c r="AA12">
        <v>24.2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23.5</v>
      </c>
      <c r="E13">
        <v>32.4</v>
      </c>
      <c r="H13">
        <v>24</v>
      </c>
      <c r="I13">
        <v>18.7</v>
      </c>
      <c r="J13">
        <v>12.7</v>
      </c>
      <c r="K13">
        <v>10.7</v>
      </c>
      <c r="L13">
        <v>11.4</v>
      </c>
      <c r="M13">
        <v>12.3</v>
      </c>
      <c r="N13">
        <v>11.8</v>
      </c>
      <c r="O13">
        <v>15</v>
      </c>
      <c r="P13">
        <v>13.4</v>
      </c>
      <c r="Q13">
        <v>13.6</v>
      </c>
      <c r="R13">
        <v>13.6</v>
      </c>
      <c r="S13">
        <v>13.8</v>
      </c>
      <c r="T13">
        <v>14.6</v>
      </c>
      <c r="U13">
        <v>14.2</v>
      </c>
      <c r="V13">
        <v>12.6</v>
      </c>
      <c r="W13">
        <v>13.3</v>
      </c>
      <c r="X13">
        <v>18</v>
      </c>
      <c r="Y13">
        <v>19.100000000000001</v>
      </c>
      <c r="Z13">
        <v>21.6</v>
      </c>
      <c r="AA13">
        <v>24.5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23.8</v>
      </c>
      <c r="E14">
        <v>37.799999999999997</v>
      </c>
      <c r="H14">
        <v>29.3</v>
      </c>
      <c r="I14">
        <v>22</v>
      </c>
      <c r="J14">
        <v>14.5</v>
      </c>
      <c r="K14">
        <v>13.6</v>
      </c>
      <c r="L14">
        <v>10.5</v>
      </c>
      <c r="M14">
        <v>13</v>
      </c>
      <c r="N14">
        <v>10.6</v>
      </c>
      <c r="O14">
        <v>13</v>
      </c>
      <c r="P14">
        <v>12.3</v>
      </c>
      <c r="Q14">
        <v>10.3</v>
      </c>
      <c r="R14">
        <v>14.6</v>
      </c>
      <c r="S14">
        <v>12.9</v>
      </c>
      <c r="T14">
        <v>17.100000000000001</v>
      </c>
      <c r="U14">
        <v>14.3</v>
      </c>
      <c r="V14">
        <v>13.7</v>
      </c>
      <c r="W14">
        <v>13.7</v>
      </c>
      <c r="X14">
        <v>15.4</v>
      </c>
      <c r="Y14">
        <v>17.2</v>
      </c>
      <c r="Z14">
        <v>21.1</v>
      </c>
      <c r="AA14">
        <v>19.8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26.7</v>
      </c>
      <c r="E15">
        <v>31.3</v>
      </c>
      <c r="H15">
        <v>23.2</v>
      </c>
      <c r="I15">
        <v>20.6</v>
      </c>
      <c r="J15">
        <v>11.6</v>
      </c>
      <c r="K15">
        <v>9.6999999999999993</v>
      </c>
      <c r="L15">
        <v>11.8</v>
      </c>
      <c r="M15">
        <v>13.7</v>
      </c>
      <c r="N15">
        <v>12.5</v>
      </c>
      <c r="O15">
        <v>13.7</v>
      </c>
      <c r="P15">
        <v>13.3</v>
      </c>
      <c r="Q15">
        <v>12</v>
      </c>
      <c r="R15">
        <v>13.1</v>
      </c>
      <c r="S15">
        <v>14.4</v>
      </c>
      <c r="T15">
        <v>14.2</v>
      </c>
      <c r="U15">
        <v>13</v>
      </c>
      <c r="V15">
        <v>13.3</v>
      </c>
      <c r="W15">
        <v>16.3</v>
      </c>
      <c r="X15">
        <v>16.100000000000001</v>
      </c>
      <c r="Y15">
        <v>21.4</v>
      </c>
      <c r="Z15">
        <v>18.399999999999999</v>
      </c>
      <c r="AA15">
        <v>23.5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19.100000000000001</v>
      </c>
      <c r="E16">
        <v>27.6</v>
      </c>
      <c r="H16">
        <v>18.899999999999999</v>
      </c>
      <c r="I16">
        <v>15.5</v>
      </c>
      <c r="J16">
        <v>11.5</v>
      </c>
      <c r="K16">
        <v>11.6</v>
      </c>
      <c r="L16">
        <v>10.1</v>
      </c>
      <c r="M16">
        <v>13</v>
      </c>
      <c r="N16">
        <v>12.6</v>
      </c>
      <c r="O16">
        <v>12.7</v>
      </c>
      <c r="P16">
        <v>13.8</v>
      </c>
      <c r="Q16">
        <v>12.9</v>
      </c>
      <c r="R16">
        <v>16.5</v>
      </c>
      <c r="S16">
        <v>16.5</v>
      </c>
      <c r="T16">
        <v>13.9</v>
      </c>
      <c r="U16">
        <v>13.3</v>
      </c>
      <c r="V16">
        <v>12.8</v>
      </c>
      <c r="W16">
        <v>13.9</v>
      </c>
      <c r="X16">
        <v>17.399999999999999</v>
      </c>
      <c r="Y16">
        <v>20.100000000000001</v>
      </c>
      <c r="Z16">
        <v>19</v>
      </c>
      <c r="AA16">
        <v>24.8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21.7</v>
      </c>
      <c r="E17">
        <v>20.100000000000001</v>
      </c>
      <c r="H17">
        <v>26</v>
      </c>
      <c r="I17">
        <v>22.2</v>
      </c>
      <c r="J17">
        <v>11.4</v>
      </c>
      <c r="K17">
        <v>10.199999999999999</v>
      </c>
      <c r="L17">
        <v>12.6</v>
      </c>
      <c r="M17">
        <v>14.1</v>
      </c>
      <c r="N17">
        <v>12</v>
      </c>
      <c r="O17">
        <v>12.7</v>
      </c>
      <c r="P17">
        <v>11.9</v>
      </c>
      <c r="Q17">
        <v>13</v>
      </c>
      <c r="R17">
        <v>14.1</v>
      </c>
      <c r="S17">
        <v>15.7</v>
      </c>
      <c r="T17">
        <v>14</v>
      </c>
      <c r="U17">
        <v>12.8</v>
      </c>
      <c r="V17">
        <v>13.8</v>
      </c>
      <c r="W17">
        <v>14.5</v>
      </c>
      <c r="X17">
        <v>18</v>
      </c>
      <c r="Y17">
        <v>15.9</v>
      </c>
      <c r="Z17">
        <v>18.899999999999999</v>
      </c>
      <c r="AA17">
        <v>19.399999999999999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21.5</v>
      </c>
      <c r="E18">
        <v>24.8</v>
      </c>
      <c r="H18">
        <v>24.4</v>
      </c>
      <c r="I18">
        <v>21</v>
      </c>
      <c r="J18">
        <v>19.100000000000001</v>
      </c>
      <c r="K18">
        <v>14.6</v>
      </c>
      <c r="L18">
        <v>13.1</v>
      </c>
      <c r="M18">
        <v>14.3</v>
      </c>
      <c r="N18">
        <v>15.1</v>
      </c>
      <c r="O18">
        <v>12.7</v>
      </c>
      <c r="P18">
        <v>13.7</v>
      </c>
      <c r="Q18">
        <v>14.1</v>
      </c>
      <c r="R18">
        <v>12.6</v>
      </c>
      <c r="S18">
        <v>15.2</v>
      </c>
      <c r="T18">
        <v>15.7</v>
      </c>
      <c r="U18">
        <v>19.100000000000001</v>
      </c>
      <c r="V18">
        <v>15</v>
      </c>
      <c r="W18">
        <v>10.9</v>
      </c>
      <c r="X18">
        <v>13.3</v>
      </c>
      <c r="Y18">
        <v>20.399999999999999</v>
      </c>
      <c r="Z18">
        <v>19.2</v>
      </c>
      <c r="AA18">
        <v>21.9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35</v>
      </c>
      <c r="H19">
        <v>30.2</v>
      </c>
      <c r="I19">
        <v>27.1</v>
      </c>
      <c r="J19">
        <v>21.5</v>
      </c>
      <c r="K19">
        <v>20.399999999999999</v>
      </c>
      <c r="L19">
        <v>20</v>
      </c>
      <c r="M19">
        <v>18.5</v>
      </c>
      <c r="N19">
        <v>15.1</v>
      </c>
      <c r="O19">
        <v>19.7</v>
      </c>
      <c r="P19">
        <v>16.8</v>
      </c>
      <c r="Q19">
        <v>18.600000000000001</v>
      </c>
      <c r="R19">
        <v>19</v>
      </c>
      <c r="S19">
        <v>18.600000000000001</v>
      </c>
      <c r="T19">
        <v>18.5</v>
      </c>
      <c r="U19">
        <v>16.3</v>
      </c>
      <c r="V19">
        <v>16.3</v>
      </c>
      <c r="W19">
        <v>16.899999999999999</v>
      </c>
      <c r="X19">
        <v>20.100000000000001</v>
      </c>
      <c r="Y19">
        <v>22.3</v>
      </c>
      <c r="Z19">
        <v>23.7</v>
      </c>
      <c r="AA19">
        <v>19.8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29.5</v>
      </c>
      <c r="E20">
        <v>18.100000000000001</v>
      </c>
      <c r="H20">
        <v>28.6</v>
      </c>
      <c r="I20">
        <v>19.8</v>
      </c>
      <c r="J20">
        <v>11.1</v>
      </c>
      <c r="K20">
        <v>10.9</v>
      </c>
      <c r="L20">
        <v>12.1</v>
      </c>
      <c r="M20">
        <v>13.5</v>
      </c>
      <c r="N20">
        <v>14</v>
      </c>
      <c r="O20">
        <v>12.1</v>
      </c>
      <c r="P20">
        <v>14.7</v>
      </c>
      <c r="Q20">
        <v>14.2</v>
      </c>
      <c r="R20">
        <v>13</v>
      </c>
      <c r="S20">
        <v>15.2</v>
      </c>
      <c r="T20">
        <v>11.7</v>
      </c>
      <c r="U20">
        <v>13.4</v>
      </c>
      <c r="V20">
        <v>13.2</v>
      </c>
      <c r="W20">
        <v>14.1</v>
      </c>
      <c r="X20">
        <v>17.2</v>
      </c>
      <c r="Y20">
        <v>18.3</v>
      </c>
      <c r="Z20">
        <v>21.2</v>
      </c>
      <c r="AA20">
        <v>25.6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28.1</v>
      </c>
      <c r="E21">
        <v>27</v>
      </c>
      <c r="H21">
        <v>23.3</v>
      </c>
      <c r="I21">
        <v>17.7</v>
      </c>
      <c r="J21">
        <v>11.8</v>
      </c>
      <c r="K21">
        <v>11.3</v>
      </c>
      <c r="L21">
        <v>12.9</v>
      </c>
      <c r="M21">
        <v>14.8</v>
      </c>
      <c r="N21">
        <v>13.9</v>
      </c>
      <c r="O21">
        <v>13.1</v>
      </c>
      <c r="P21">
        <v>11.9</v>
      </c>
      <c r="Q21">
        <v>13.8</v>
      </c>
      <c r="R21">
        <v>13.2</v>
      </c>
      <c r="S21">
        <v>15.8</v>
      </c>
      <c r="T21">
        <v>13</v>
      </c>
      <c r="U21">
        <v>12.9</v>
      </c>
      <c r="V21">
        <v>13.3</v>
      </c>
      <c r="W21">
        <v>13.4</v>
      </c>
      <c r="X21">
        <v>19</v>
      </c>
      <c r="Y21">
        <v>21.6</v>
      </c>
      <c r="Z21">
        <v>18.2</v>
      </c>
      <c r="AA21">
        <v>21.3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29.2</v>
      </c>
      <c r="E22">
        <v>27.9</v>
      </c>
      <c r="H22">
        <v>26.3</v>
      </c>
      <c r="I22">
        <v>20.2</v>
      </c>
      <c r="J22">
        <v>9.8000000000000007</v>
      </c>
      <c r="K22">
        <v>12.2</v>
      </c>
      <c r="L22">
        <v>8.5</v>
      </c>
      <c r="M22">
        <v>12.6</v>
      </c>
      <c r="N22">
        <v>13.3</v>
      </c>
      <c r="O22">
        <v>13.6</v>
      </c>
      <c r="P22">
        <v>14.1</v>
      </c>
      <c r="Q22">
        <v>13.6</v>
      </c>
      <c r="R22">
        <v>16.3</v>
      </c>
      <c r="S22">
        <v>13.2</v>
      </c>
      <c r="T22">
        <v>14.6</v>
      </c>
      <c r="U22">
        <v>12.4</v>
      </c>
      <c r="V22">
        <v>13.3</v>
      </c>
      <c r="W22">
        <v>14.4</v>
      </c>
      <c r="X22">
        <v>15.6</v>
      </c>
      <c r="Y22">
        <v>18.2</v>
      </c>
      <c r="Z22">
        <v>19.600000000000001</v>
      </c>
      <c r="AA22">
        <v>22.3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24.8</v>
      </c>
      <c r="E23">
        <v>24.9</v>
      </c>
      <c r="H23">
        <v>22.6</v>
      </c>
      <c r="I23">
        <v>20</v>
      </c>
      <c r="J23">
        <v>13.2</v>
      </c>
      <c r="K23">
        <v>12.4</v>
      </c>
      <c r="L23">
        <v>11.6</v>
      </c>
      <c r="M23">
        <v>12.4</v>
      </c>
      <c r="N23">
        <v>12.4</v>
      </c>
      <c r="O23">
        <v>15.2</v>
      </c>
      <c r="P23">
        <v>13.3</v>
      </c>
      <c r="Q23">
        <v>12.1</v>
      </c>
      <c r="R23">
        <v>13.5</v>
      </c>
      <c r="S23">
        <v>15.3</v>
      </c>
      <c r="T23">
        <v>11.8</v>
      </c>
      <c r="U23">
        <v>13.2</v>
      </c>
      <c r="V23">
        <v>12</v>
      </c>
      <c r="W23">
        <v>13.7</v>
      </c>
      <c r="X23">
        <v>16.7</v>
      </c>
      <c r="Y23">
        <v>22.4</v>
      </c>
      <c r="Z23">
        <v>21.9</v>
      </c>
      <c r="AA23">
        <v>26.2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27.4</v>
      </c>
      <c r="E24">
        <v>28.4</v>
      </c>
      <c r="H24">
        <v>25.8</v>
      </c>
      <c r="I24">
        <v>18.8</v>
      </c>
      <c r="J24">
        <v>14.7</v>
      </c>
      <c r="K24">
        <v>12.2</v>
      </c>
      <c r="L24">
        <v>9.6999999999999993</v>
      </c>
      <c r="M24">
        <v>13.6</v>
      </c>
      <c r="N24">
        <v>9.6</v>
      </c>
      <c r="O24">
        <v>16.399999999999999</v>
      </c>
      <c r="P24">
        <v>13.2</v>
      </c>
      <c r="Q24">
        <v>13.7</v>
      </c>
      <c r="R24">
        <v>13.1</v>
      </c>
      <c r="S24">
        <v>13.7</v>
      </c>
      <c r="T24">
        <v>13.6</v>
      </c>
      <c r="U24">
        <v>14.2</v>
      </c>
      <c r="V24">
        <v>12.5</v>
      </c>
      <c r="W24">
        <v>13.9</v>
      </c>
      <c r="X24">
        <v>16.7</v>
      </c>
      <c r="Y24">
        <v>20.3</v>
      </c>
      <c r="Z24">
        <v>20.3</v>
      </c>
      <c r="AA24">
        <v>21.2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28.2</v>
      </c>
      <c r="E25">
        <v>31.6</v>
      </c>
      <c r="H25">
        <v>26.7</v>
      </c>
      <c r="I25">
        <v>21.6</v>
      </c>
      <c r="J25">
        <v>18.600000000000001</v>
      </c>
      <c r="K25">
        <v>13.9</v>
      </c>
      <c r="L25">
        <v>14.7</v>
      </c>
      <c r="M25">
        <v>12.8</v>
      </c>
      <c r="N25">
        <v>12.5</v>
      </c>
      <c r="O25">
        <v>10.8</v>
      </c>
      <c r="P25">
        <v>16.100000000000001</v>
      </c>
      <c r="Q25">
        <v>12.1</v>
      </c>
      <c r="R25">
        <v>12.9</v>
      </c>
      <c r="T25">
        <v>19.3</v>
      </c>
      <c r="U25">
        <v>14.8</v>
      </c>
      <c r="V25">
        <v>11.5</v>
      </c>
      <c r="X25">
        <v>17.3</v>
      </c>
      <c r="Z25">
        <v>22.9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23.6</v>
      </c>
      <c r="E26">
        <v>27.7</v>
      </c>
      <c r="H26">
        <v>22.7</v>
      </c>
      <c r="I26">
        <v>22.8</v>
      </c>
      <c r="J26">
        <v>24.9</v>
      </c>
      <c r="K26">
        <v>17.8</v>
      </c>
      <c r="L26">
        <v>19.600000000000001</v>
      </c>
      <c r="M26">
        <v>18.7</v>
      </c>
      <c r="N26">
        <v>16.8</v>
      </c>
      <c r="O26">
        <v>16.2</v>
      </c>
      <c r="P26">
        <v>14.8</v>
      </c>
      <c r="Q26">
        <v>16.3</v>
      </c>
      <c r="R26">
        <v>15.6</v>
      </c>
      <c r="S26">
        <v>16.7</v>
      </c>
      <c r="T26">
        <v>14.6</v>
      </c>
      <c r="U26">
        <v>17.2</v>
      </c>
      <c r="V26">
        <v>16.899999999999999</v>
      </c>
      <c r="W26">
        <v>18</v>
      </c>
      <c r="X26">
        <v>19.100000000000001</v>
      </c>
      <c r="Y26">
        <v>13.2</v>
      </c>
      <c r="Z26">
        <v>19.3</v>
      </c>
      <c r="AA26">
        <v>21.2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23.2</v>
      </c>
      <c r="E27">
        <v>25.5</v>
      </c>
      <c r="F27">
        <v>15.4</v>
      </c>
      <c r="H27">
        <v>26.5</v>
      </c>
      <c r="I27">
        <v>21.3</v>
      </c>
      <c r="J27">
        <v>13.1</v>
      </c>
      <c r="K27">
        <v>13.1</v>
      </c>
      <c r="L27">
        <v>13.5</v>
      </c>
      <c r="M27">
        <v>13.1</v>
      </c>
      <c r="N27">
        <v>12.6</v>
      </c>
      <c r="O27">
        <v>13.1</v>
      </c>
      <c r="P27">
        <v>15.5</v>
      </c>
      <c r="Q27">
        <v>13.7</v>
      </c>
      <c r="R27">
        <v>13.6</v>
      </c>
      <c r="S27">
        <v>13.2</v>
      </c>
      <c r="T27">
        <v>14</v>
      </c>
      <c r="U27">
        <v>16</v>
      </c>
      <c r="V27">
        <v>12</v>
      </c>
      <c r="W27">
        <v>15.7</v>
      </c>
      <c r="X27">
        <v>20</v>
      </c>
      <c r="Y27">
        <v>17.5</v>
      </c>
      <c r="Z27">
        <v>16.600000000000001</v>
      </c>
      <c r="AA27">
        <v>18.7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23.3</v>
      </c>
      <c r="E28">
        <v>29.4</v>
      </c>
      <c r="H28">
        <v>25.4</v>
      </c>
      <c r="I28">
        <v>19.7</v>
      </c>
      <c r="J28">
        <v>13.3</v>
      </c>
      <c r="K28">
        <v>11.1</v>
      </c>
      <c r="L28">
        <v>14.5</v>
      </c>
      <c r="M28">
        <v>12.5</v>
      </c>
      <c r="N28">
        <v>11.8</v>
      </c>
      <c r="O28">
        <v>16.100000000000001</v>
      </c>
      <c r="P28">
        <v>13.2</v>
      </c>
      <c r="Q28">
        <v>14.9</v>
      </c>
      <c r="R28">
        <v>14.5</v>
      </c>
      <c r="S28">
        <v>12.9</v>
      </c>
      <c r="T28">
        <v>13.8</v>
      </c>
      <c r="U28">
        <v>13.3</v>
      </c>
      <c r="V28">
        <v>12.2</v>
      </c>
      <c r="W28">
        <v>16.600000000000001</v>
      </c>
      <c r="X28">
        <v>18.2</v>
      </c>
      <c r="Y28">
        <v>19.2</v>
      </c>
      <c r="Z28">
        <v>22.7</v>
      </c>
      <c r="AA28">
        <v>18.600000000000001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21.5</v>
      </c>
      <c r="E29">
        <v>35.4</v>
      </c>
      <c r="H29">
        <v>27.8</v>
      </c>
      <c r="I29">
        <v>21.8</v>
      </c>
      <c r="J29">
        <v>11.5</v>
      </c>
      <c r="K29">
        <v>11.2</v>
      </c>
      <c r="L29">
        <v>11.6</v>
      </c>
      <c r="M29">
        <v>14.7</v>
      </c>
      <c r="N29">
        <v>12.9</v>
      </c>
      <c r="O29">
        <v>13.8</v>
      </c>
      <c r="P29">
        <v>14.6</v>
      </c>
      <c r="Q29">
        <v>12.1</v>
      </c>
      <c r="R29">
        <v>10.5</v>
      </c>
      <c r="S29">
        <v>13.9</v>
      </c>
      <c r="T29">
        <v>12.4</v>
      </c>
      <c r="U29">
        <v>13.8</v>
      </c>
      <c r="V29">
        <v>13.6</v>
      </c>
      <c r="W29">
        <v>15.6</v>
      </c>
      <c r="X29">
        <v>17.7</v>
      </c>
      <c r="Y29">
        <v>21.2</v>
      </c>
      <c r="Z29">
        <v>21.4</v>
      </c>
      <c r="AA29">
        <v>24.9</v>
      </c>
    </row>
    <row r="31" spans="1:27" x14ac:dyDescent="0.25">
      <c r="C31">
        <v>1</v>
      </c>
      <c r="D31">
        <f t="array" ref="D31">MEDIAN(IF($C$3:$C$29=$C31,D$3:D$29,""))</f>
        <v>22.85</v>
      </c>
      <c r="E31">
        <f t="array" ref="E31">MEDIAN(IF($C$3:$C$29=$C31,E$3:E$29,""))</f>
        <v>25.1</v>
      </c>
      <c r="F31">
        <f t="array" ref="F31">MEDIAN(IF($C$3:$C$29=$C31,F$3:F$29,""))</f>
        <v>0</v>
      </c>
      <c r="G31">
        <v>26</v>
      </c>
      <c r="H31">
        <f t="array" ref="H31">MEDIAN(IF($C$3:$C$29=$C31,H$3:H$29,""))</f>
        <v>26.7</v>
      </c>
      <c r="I31">
        <f t="array" ref="I31">MEDIAN(IF($C$3:$C$29=$C31,I$3:I$29,""))</f>
        <v>22.75</v>
      </c>
      <c r="J31">
        <f t="array" ref="J31">MEDIAN(IF($C$3:$C$29=$C31,J$3:J$29,""))</f>
        <v>22.85</v>
      </c>
      <c r="K31">
        <f t="array" ref="K31">MEDIAN(IF($C$3:$C$29=$C31,K$3:K$29,""))</f>
        <v>19.600000000000001</v>
      </c>
      <c r="L31">
        <f t="array" ref="L31">MEDIAN(IF($C$3:$C$29=$C31,L$3:L$29,""))</f>
        <v>19.8</v>
      </c>
      <c r="M31">
        <f t="array" ref="M31">MEDIAN(IF($C$3:$C$29=$C31,M$3:M$29,""))</f>
        <v>18.3</v>
      </c>
      <c r="N31">
        <f t="array" ref="N31">MEDIAN(IF($C$3:$C$29=$C31,N$3:N$29,""))</f>
        <v>15.95</v>
      </c>
      <c r="O31">
        <f t="array" ref="O31">MEDIAN(IF($C$3:$C$29=$C31,O$3:O$29,""))</f>
        <v>16.850000000000001</v>
      </c>
      <c r="P31">
        <f t="array" ref="P31">MEDIAN(IF($C$3:$C$29=$C31,P$3:P$29,""))</f>
        <v>16.149999999999999</v>
      </c>
      <c r="Q31">
        <f t="array" ref="Q31">MEDIAN(IF($C$3:$C$29=$C31,Q$3:Q$29,""))</f>
        <v>17</v>
      </c>
      <c r="R31">
        <f t="array" ref="R31">MEDIAN(IF($C$3:$C$29=$C31,R$3:R$29,""))</f>
        <v>16.399999999999999</v>
      </c>
      <c r="S31">
        <f t="array" ref="S31">MEDIAN(IF($C$3:$C$29=$C31,S$3:S$29,""))</f>
        <v>16.549999999999997</v>
      </c>
      <c r="T31">
        <f t="array" ref="T31">MEDIAN(IF($C$3:$C$29=$C31,T$3:T$29,""))</f>
        <v>17.100000000000001</v>
      </c>
      <c r="U31">
        <f t="array" ref="U31">MEDIAN(IF($C$3:$C$29=$C31,U$3:U$29,""))</f>
        <v>16.75</v>
      </c>
      <c r="V31">
        <f t="array" ref="V31">MEDIAN(IF($C$3:$C$29=$C31,V$3:V$29,""))</f>
        <v>16.399999999999999</v>
      </c>
      <c r="W31">
        <f t="array" ref="W31">MEDIAN(IF($C$3:$C$29=$C31,W$3:W$29,""))</f>
        <v>17.55</v>
      </c>
      <c r="X31">
        <f t="array" ref="X31">MEDIAN(IF($C$3:$C$29=$C31,X$3:X$29,""))</f>
        <v>18</v>
      </c>
      <c r="Y31">
        <f t="array" ref="Y31">MEDIAN(IF($C$3:$C$29=$C31,Y$3:Y$29,""))</f>
        <v>19.700000000000003</v>
      </c>
      <c r="Z31">
        <f t="array" ref="Z31">MEDIAN(IF($C$3:$C$29=$C31,Z$3:Z$29,""))</f>
        <v>20.149999999999999</v>
      </c>
      <c r="AA31">
        <f t="array" ref="AA31">MEDIAN(IF($C$3:$C$29=$C31,AA$3:AA$29,""))</f>
        <v>22.7</v>
      </c>
    </row>
    <row r="32" spans="1:27" x14ac:dyDescent="0.25">
      <c r="C32">
        <v>2</v>
      </c>
      <c r="D32">
        <f t="array" ref="D32">MEDIAN(IF($C$3:$C$29=$C32,D$3:D$29,""))</f>
        <v>21.3</v>
      </c>
      <c r="E32">
        <f t="array" ref="E32">MEDIAN(IF($C$3:$C$29=$C32,E$3:E$29,""))</f>
        <v>22.8</v>
      </c>
      <c r="F32">
        <f t="array" ref="F32">MEDIAN(IF($C$3:$C$29=$C32,F$3:F$29,""))</f>
        <v>0</v>
      </c>
      <c r="G32">
        <v>26</v>
      </c>
      <c r="H32">
        <f t="array" ref="H32">MEDIAN(IF($C$3:$C$29=$C32,H$3:H$29,""))</f>
        <v>25.549999999999997</v>
      </c>
      <c r="I32">
        <f t="array" ref="I32">MEDIAN(IF($C$3:$C$29=$C32,I$3:I$29,""))</f>
        <v>21.3</v>
      </c>
      <c r="J32">
        <f t="array" ref="J32">MEDIAN(IF($C$3:$C$29=$C32,J$3:J$29,""))</f>
        <v>18.600000000000001</v>
      </c>
      <c r="K32">
        <f t="array" ref="K32">MEDIAN(IF($C$3:$C$29=$C32,K$3:K$29,""))</f>
        <v>14.35</v>
      </c>
      <c r="L32">
        <f t="array" ref="L32">MEDIAN(IF($C$3:$C$29=$C32,L$3:L$29,""))</f>
        <v>14</v>
      </c>
      <c r="M32">
        <f t="array" ref="M32">MEDIAN(IF($C$3:$C$29=$C32,M$3:M$29,""))</f>
        <v>13.05</v>
      </c>
      <c r="N32">
        <f t="array" ref="N32">MEDIAN(IF($C$3:$C$29=$C32,N$3:N$29,""))</f>
        <v>14.45</v>
      </c>
      <c r="O32">
        <f t="array" ref="O32">MEDIAN(IF($C$3:$C$29=$C32,O$3:O$29,""))</f>
        <v>13.05</v>
      </c>
      <c r="P32">
        <f t="array" ref="P32">MEDIAN(IF($C$3:$C$29=$C32,P$3:P$29,""))</f>
        <v>14.45</v>
      </c>
      <c r="Q32">
        <f t="array" ref="Q32">MEDIAN(IF($C$3:$C$29=$C32,Q$3:Q$29,""))</f>
        <v>13.2</v>
      </c>
      <c r="R32">
        <f t="array" ref="R32">MEDIAN(IF($C$3:$C$29=$C32,R$3:R$29,""))</f>
        <v>13.600000000000001</v>
      </c>
      <c r="S32">
        <f t="array" ref="S32">MEDIAN(IF($C$3:$C$29=$C32,S$3:S$29,""))</f>
        <v>15.1</v>
      </c>
      <c r="T32">
        <f t="array" ref="T32">MEDIAN(IF($C$3:$C$29=$C32,T$3:T$29,""))</f>
        <v>16.350000000000001</v>
      </c>
      <c r="U32">
        <f t="array" ref="U32">MEDIAN(IF($C$3:$C$29=$C32,U$3:U$29,""))</f>
        <v>16.850000000000001</v>
      </c>
      <c r="V32">
        <f t="array" ref="V32">MEDIAN(IF($C$3:$C$29=$C32,V$3:V$29,""))</f>
        <v>14.4</v>
      </c>
      <c r="W32">
        <f t="array" ref="W32">MEDIAN(IF($C$3:$C$29=$C32,W$3:W$29,""))</f>
        <v>12.75</v>
      </c>
      <c r="X32">
        <f t="array" ref="X32">MEDIAN(IF($C$3:$C$29=$C32,X$3:X$29,""))</f>
        <v>15</v>
      </c>
      <c r="Y32">
        <f t="array" ref="Y32">MEDIAN(IF($C$3:$C$29=$C32,Y$3:Y$29,""))</f>
        <v>18.399999999999999</v>
      </c>
      <c r="Z32">
        <f t="array" ref="Z32">MEDIAN(IF($C$3:$C$29=$C32,Z$3:Z$29,""))</f>
        <v>19</v>
      </c>
      <c r="AA32">
        <f t="array" ref="AA32">MEDIAN(IF($C$3:$C$29=$C32,AA$3:AA$29,""))</f>
        <v>21</v>
      </c>
    </row>
    <row r="33" spans="3:27" x14ac:dyDescent="0.25">
      <c r="C33">
        <v>3</v>
      </c>
      <c r="D33">
        <f t="array" ref="D33">MEDIAN(IF($C$3:$C$29=$C33,D$3:D$29,""))</f>
        <v>24.8</v>
      </c>
      <c r="E33">
        <f t="array" ref="E33">MEDIAN(IF($C$3:$C$29=$C33,E$3:E$29,""))</f>
        <v>22.2</v>
      </c>
      <c r="F33">
        <f t="array" ref="F33">MEDIAN(IF($C$3:$C$29=$C33,F$3:F$29,""))</f>
        <v>0</v>
      </c>
      <c r="G33">
        <v>26</v>
      </c>
      <c r="H33">
        <f t="array" ref="H33">MEDIAN(IF($C$3:$C$29=$C33,H$3:H$29,""))</f>
        <v>25.25</v>
      </c>
      <c r="I33">
        <f t="array" ref="I33">MEDIAN(IF($C$3:$C$29=$C33,I$3:I$29,""))</f>
        <v>19.25</v>
      </c>
      <c r="J33">
        <f t="array" ref="J33">MEDIAN(IF($C$3:$C$29=$C33,J$3:J$29,""))</f>
        <v>11.899999999999999</v>
      </c>
      <c r="K33">
        <f t="array" ref="K33">MEDIAN(IF($C$3:$C$29=$C33,K$3:K$29,""))</f>
        <v>10.850000000000001</v>
      </c>
      <c r="L33">
        <f t="array" ref="L33">MEDIAN(IF($C$3:$C$29=$C33,L$3:L$29,""))</f>
        <v>12.25</v>
      </c>
      <c r="M33">
        <f t="array" ref="M33">MEDIAN(IF($C$3:$C$29=$C33,M$3:M$29,""))</f>
        <v>13.3</v>
      </c>
      <c r="N33">
        <f t="array" ref="N33">MEDIAN(IF($C$3:$C$29=$C33,N$3:N$29,""))</f>
        <v>12.3</v>
      </c>
      <c r="O33">
        <f t="array" ref="O33">MEDIAN(IF($C$3:$C$29=$C33,O$3:O$29,""))</f>
        <v>13.45</v>
      </c>
      <c r="P33">
        <f t="array" ref="P33">MEDIAN(IF($C$3:$C$29=$C33,P$3:P$29,""))</f>
        <v>14.649999999999999</v>
      </c>
      <c r="Q33">
        <f t="array" ref="Q33">MEDIAN(IF($C$3:$C$29=$C33,Q$3:Q$29,""))</f>
        <v>13.95</v>
      </c>
      <c r="R33">
        <f t="array" ref="R33">MEDIAN(IF($C$3:$C$29=$C33,R$3:R$29,""))</f>
        <v>13.6</v>
      </c>
      <c r="S33">
        <f t="array" ref="S33">MEDIAN(IF($C$3:$C$29=$C33,S$3:S$29,""))</f>
        <v>13.65</v>
      </c>
      <c r="T33">
        <f t="array" ref="T33">MEDIAN(IF($C$3:$C$29=$C33,T$3:T$29,""))</f>
        <v>14.3</v>
      </c>
      <c r="U33">
        <f t="array" ref="U33">MEDIAN(IF($C$3:$C$29=$C33,U$3:U$29,""))</f>
        <v>14.7</v>
      </c>
      <c r="V33">
        <f t="array" ref="V33">MEDIAN(IF($C$3:$C$29=$C33,V$3:V$29,""))</f>
        <v>12.899999999999999</v>
      </c>
      <c r="W33">
        <f t="array" ref="W33">MEDIAN(IF($C$3:$C$29=$C33,W$3:W$29,""))</f>
        <v>13.8</v>
      </c>
      <c r="X33">
        <f t="array" ref="X33">MEDIAN(IF($C$3:$C$29=$C33,X$3:X$29,""))</f>
        <v>17.600000000000001</v>
      </c>
      <c r="Y33">
        <f t="array" ref="Y33">MEDIAN(IF($C$3:$C$29=$C33,Y$3:Y$29,""))</f>
        <v>18.700000000000003</v>
      </c>
      <c r="Z33">
        <f t="array" ref="Z33">MEDIAN(IF($C$3:$C$29=$C33,Z$3:Z$29,""))</f>
        <v>19.600000000000001</v>
      </c>
      <c r="AA33">
        <f t="array" ref="AA33">MEDIAN(IF($C$3:$C$29=$C33,AA$3:AA$29,""))</f>
        <v>23.4</v>
      </c>
    </row>
    <row r="34" spans="3:27" x14ac:dyDescent="0.25">
      <c r="C34">
        <v>4</v>
      </c>
      <c r="D34">
        <f t="array" ref="D34">MEDIAN(IF($C$3:$C$29=$C34,D$3:D$29,""))</f>
        <v>24.35</v>
      </c>
      <c r="E34">
        <f t="array" ref="E34">MEDIAN(IF($C$3:$C$29=$C34,E$3:E$29,""))</f>
        <v>33.599999999999994</v>
      </c>
      <c r="F34">
        <f t="array" ref="F34">MEDIAN(IF($C$3:$C$29=$C34,F$3:F$29,""))</f>
        <v>0</v>
      </c>
      <c r="G34">
        <v>26</v>
      </c>
      <c r="H34">
        <f t="array" ref="H34">MEDIAN(IF($C$3:$C$29=$C34,H$3:H$29,""))</f>
        <v>27.35</v>
      </c>
      <c r="I34">
        <f t="array" ref="I34">MEDIAN(IF($C$3:$C$29=$C34,I$3:I$29,""))</f>
        <v>20.5</v>
      </c>
      <c r="J34">
        <f t="array" ref="J34">MEDIAN(IF($C$3:$C$29=$C34,J$3:J$29,""))</f>
        <v>12.55</v>
      </c>
      <c r="K34">
        <f t="array" ref="K34">MEDIAN(IF($C$3:$C$29=$C34,K$3:K$29,""))</f>
        <v>12.05</v>
      </c>
      <c r="L34">
        <f t="array" ref="L34">MEDIAN(IF($C$3:$C$29=$C34,L$3:L$29,""))</f>
        <v>12.100000000000001</v>
      </c>
      <c r="M34">
        <f t="array" ref="M34">MEDIAN(IF($C$3:$C$29=$C34,M$3:M$29,""))</f>
        <v>12.75</v>
      </c>
      <c r="N34">
        <f t="array" ref="N34">MEDIAN(IF($C$3:$C$29=$C34,N$3:N$29,""))</f>
        <v>11.3</v>
      </c>
      <c r="O34">
        <f t="array" ref="O34">MEDIAN(IF($C$3:$C$29=$C34,O$3:O$29,""))</f>
        <v>13.05</v>
      </c>
      <c r="P34">
        <f t="array" ref="P34">MEDIAN(IF($C$3:$C$29=$C34,P$3:P$29,""))</f>
        <v>12.75</v>
      </c>
      <c r="Q34">
        <f t="array" ref="Q34">MEDIAN(IF($C$3:$C$29=$C34,Q$3:Q$29,""))</f>
        <v>13.15</v>
      </c>
      <c r="R34">
        <f t="array" ref="R34">MEDIAN(IF($C$3:$C$29=$C34,R$3:R$29,""))</f>
        <v>14.4</v>
      </c>
      <c r="S34">
        <f t="array" ref="S34">MEDIAN(IF($C$3:$C$29=$C34,S$3:S$29,""))</f>
        <v>14.350000000000001</v>
      </c>
      <c r="T34">
        <f t="array" ref="T34">MEDIAN(IF($C$3:$C$29=$C34,T$3:T$29,""))</f>
        <v>14.4</v>
      </c>
      <c r="U34">
        <f t="array" ref="U34">MEDIAN(IF($C$3:$C$29=$C34,U$3:U$29,""))</f>
        <v>13.8</v>
      </c>
      <c r="V34">
        <f t="array" ref="V34">MEDIAN(IF($C$3:$C$29=$C34,V$3:V$29,""))</f>
        <v>13.5</v>
      </c>
      <c r="W34">
        <f t="array" ref="W34">MEDIAN(IF($C$3:$C$29=$C34,W$3:W$29,""))</f>
        <v>15.15</v>
      </c>
      <c r="X34">
        <f t="array" ref="X34">MEDIAN(IF($C$3:$C$29=$C34,X$3:X$29,""))</f>
        <v>17.299999999999997</v>
      </c>
      <c r="Y34">
        <f t="array" ref="Y34">MEDIAN(IF($C$3:$C$29=$C34,Y$3:Y$29,""))</f>
        <v>20.399999999999999</v>
      </c>
      <c r="Z34">
        <f t="array" ref="Z34">MEDIAN(IF($C$3:$C$29=$C34,Z$3:Z$29,""))</f>
        <v>21</v>
      </c>
      <c r="AA34">
        <f t="array" ref="AA34">MEDIAN(IF($C$3:$C$29=$C34,AA$3:AA$29,""))</f>
        <v>19.75</v>
      </c>
    </row>
    <row r="35" spans="3:27" x14ac:dyDescent="0.25">
      <c r="C35">
        <v>5</v>
      </c>
      <c r="D35">
        <f t="array" ref="D35">MEDIAN(IF($C$3:$C$29=$C35,D$3:D$29,""))</f>
        <v>25.049999999999997</v>
      </c>
      <c r="E35">
        <f t="array" ref="E35">MEDIAN(IF($C$3:$C$29=$C35,E$3:E$29,""))</f>
        <v>31.75</v>
      </c>
      <c r="F35">
        <f t="array" ref="F35">MEDIAN(IF($C$3:$C$29=$C35,F$3:F$29,""))</f>
        <v>0</v>
      </c>
      <c r="G35">
        <v>26</v>
      </c>
      <c r="H35">
        <f t="array" ref="H35">MEDIAN(IF($C$3:$C$29=$C35,H$3:H$29,""))</f>
        <v>26.75</v>
      </c>
      <c r="I35">
        <f t="array" ref="I35">MEDIAN(IF($C$3:$C$29=$C35,I$3:I$29,""))</f>
        <v>20.399999999999999</v>
      </c>
      <c r="J35">
        <f t="array" ref="J35">MEDIAN(IF($C$3:$C$29=$C35,J$3:J$29,""))</f>
        <v>10.9</v>
      </c>
      <c r="K35">
        <f t="array" ref="K35">MEDIAN(IF($C$3:$C$29=$C35,K$3:K$29,""))</f>
        <v>11.7</v>
      </c>
      <c r="L35">
        <f t="array" ref="L35">MEDIAN(IF($C$3:$C$29=$C35,L$3:L$29,""))</f>
        <v>11.7</v>
      </c>
      <c r="M35">
        <f t="array" ref="M35">MEDIAN(IF($C$3:$C$29=$C35,M$3:M$29,""))</f>
        <v>13.5</v>
      </c>
      <c r="N35">
        <f t="array" ref="N35">MEDIAN(IF($C$3:$C$29=$C35,N$3:N$29,""))</f>
        <v>12.7</v>
      </c>
      <c r="O35">
        <f t="array" ref="O35">MEDIAN(IF($C$3:$C$29=$C35,O$3:O$29,""))</f>
        <v>13.649999999999999</v>
      </c>
      <c r="P35">
        <f t="array" ref="P35">MEDIAN(IF($C$3:$C$29=$C35,P$3:P$29,""))</f>
        <v>14.35</v>
      </c>
      <c r="Q35">
        <f t="array" ref="Q35">MEDIAN(IF($C$3:$C$29=$C35,Q$3:Q$29,""))</f>
        <v>12.85</v>
      </c>
      <c r="R35">
        <f t="array" ref="R35">MEDIAN(IF($C$3:$C$29=$C35,R$3:R$29,""))</f>
        <v>13.55</v>
      </c>
      <c r="S35">
        <f t="array" ref="S35">MEDIAN(IF($C$3:$C$29=$C35,S$3:S$29,""))</f>
        <v>13.55</v>
      </c>
      <c r="T35">
        <f t="array" ref="T35">MEDIAN(IF($C$3:$C$29=$C35,T$3:T$29,""))</f>
        <v>14.25</v>
      </c>
      <c r="U35">
        <f t="array" ref="U35">MEDIAN(IF($C$3:$C$29=$C35,U$3:U$29,""))</f>
        <v>13.4</v>
      </c>
      <c r="V35">
        <f t="array" ref="V35">MEDIAN(IF($C$3:$C$29=$C35,V$3:V$29,""))</f>
        <v>13.3</v>
      </c>
      <c r="W35">
        <f t="array" ref="W35">MEDIAN(IF($C$3:$C$29=$C35,W$3:W$29,""))</f>
        <v>15.95</v>
      </c>
      <c r="X35">
        <f t="array" ref="X35">MEDIAN(IF($C$3:$C$29=$C35,X$3:X$29,""))</f>
        <v>16.600000000000001</v>
      </c>
      <c r="Y35">
        <f t="array" ref="Y35">MEDIAN(IF($C$3:$C$29=$C35,Y$3:Y$29,""))</f>
        <v>21.25</v>
      </c>
      <c r="Z35">
        <f t="array" ref="Z35">MEDIAN(IF($C$3:$C$29=$C35,Z$3:Z$29,""))</f>
        <v>19.649999999999999</v>
      </c>
      <c r="AA35">
        <f t="array" ref="AA35">MEDIAN(IF($C$3:$C$29=$C35,AA$3:AA$29,""))</f>
        <v>23.45</v>
      </c>
    </row>
    <row r="36" spans="3:27" x14ac:dyDescent="0.25">
      <c r="C36">
        <v>6</v>
      </c>
      <c r="D36">
        <f t="array" ref="D36">MEDIAN(IF($C$3:$C$29=$C36,D$3:D$29,""))</f>
        <v>24.8</v>
      </c>
      <c r="E36">
        <f t="array" ref="E36">MEDIAN(IF($C$3:$C$29=$C36,E$3:E$29,""))</f>
        <v>24.9</v>
      </c>
      <c r="F36">
        <f t="array" ref="F36">MEDIAN(IF($C$3:$C$29=$C36,F$3:F$29,""))</f>
        <v>0</v>
      </c>
      <c r="G36">
        <v>26</v>
      </c>
      <c r="H36">
        <f t="array" ref="H36">MEDIAN(IF($C$3:$C$29=$C36,H$3:H$29,""))</f>
        <v>22.6</v>
      </c>
      <c r="I36">
        <f t="array" ref="I36">MEDIAN(IF($C$3:$C$29=$C36,I$3:I$29,""))</f>
        <v>18.600000000000001</v>
      </c>
      <c r="J36">
        <f t="array" ref="J36">MEDIAN(IF($C$3:$C$29=$C36,J$3:J$29,""))</f>
        <v>13.2</v>
      </c>
      <c r="K36">
        <f t="array" ref="K36">MEDIAN(IF($C$3:$C$29=$C36,K$3:K$29,""))</f>
        <v>11.7</v>
      </c>
      <c r="L36">
        <f t="array" ref="L36">MEDIAN(IF($C$3:$C$29=$C36,L$3:L$29,""))</f>
        <v>11.6</v>
      </c>
      <c r="M36">
        <f t="array" ref="M36">MEDIAN(IF($C$3:$C$29=$C36,M$3:M$29,""))</f>
        <v>12.8</v>
      </c>
      <c r="N36">
        <f t="array" ref="N36">MEDIAN(IF($C$3:$C$29=$C36,N$3:N$29,""))</f>
        <v>12.6</v>
      </c>
      <c r="O36">
        <f t="array" ref="O36">MEDIAN(IF($C$3:$C$29=$C36,O$3:O$29,""))</f>
        <v>12.7</v>
      </c>
      <c r="P36">
        <f t="array" ref="P36">MEDIAN(IF($C$3:$C$29=$C36,P$3:P$29,""))</f>
        <v>13.3</v>
      </c>
      <c r="Q36">
        <f t="array" ref="Q36">MEDIAN(IF($C$3:$C$29=$C36,Q$3:Q$29,""))</f>
        <v>12.1</v>
      </c>
      <c r="R36">
        <f t="array" ref="R36">MEDIAN(IF($C$3:$C$29=$C36,R$3:R$29,""))</f>
        <v>13.9</v>
      </c>
      <c r="S36">
        <f t="array" ref="S36">MEDIAN(IF($C$3:$C$29=$C36,S$3:S$29,""))</f>
        <v>15.3</v>
      </c>
      <c r="T36">
        <f t="array" ref="T36">MEDIAN(IF($C$3:$C$29=$C36,T$3:T$29,""))</f>
        <v>13.9</v>
      </c>
      <c r="U36">
        <f t="array" ref="U36">MEDIAN(IF($C$3:$C$29=$C36,U$3:U$29,""))</f>
        <v>13.3</v>
      </c>
      <c r="V36">
        <f t="array" ref="V36">MEDIAN(IF($C$3:$C$29=$C36,V$3:V$29,""))</f>
        <v>12.8</v>
      </c>
      <c r="W36">
        <f t="array" ref="W36">MEDIAN(IF($C$3:$C$29=$C36,W$3:W$29,""))</f>
        <v>13.9</v>
      </c>
      <c r="X36">
        <f t="array" ref="X36">MEDIAN(IF($C$3:$C$29=$C36,X$3:X$29,""))</f>
        <v>16.8</v>
      </c>
      <c r="Y36">
        <f t="array" ref="Y36">MEDIAN(IF($C$3:$C$29=$C36,Y$3:Y$29,""))</f>
        <v>20.100000000000001</v>
      </c>
      <c r="Z36">
        <f t="array" ref="Z36">MEDIAN(IF($C$3:$C$29=$C36,Z$3:Z$29,""))</f>
        <v>19</v>
      </c>
      <c r="AA36">
        <f t="array" ref="AA36">MEDIAN(IF($C$3:$C$29=$C36,AA$3:AA$29,""))</f>
        <v>24.8</v>
      </c>
    </row>
    <row r="37" spans="3:27" x14ac:dyDescent="0.25">
      <c r="C37">
        <v>7</v>
      </c>
      <c r="D37">
        <f t="array" ref="D37">MEDIAN(IF($C$3:$C$29=$C37,D$3:D$29,""))</f>
        <v>25.2</v>
      </c>
      <c r="E37">
        <f t="array" ref="E37">MEDIAN(IF($C$3:$C$29=$C37,E$3:E$29,""))</f>
        <v>23.3</v>
      </c>
      <c r="F37">
        <f t="array" ref="F37">MEDIAN(IF($C$3:$C$29=$C37,F$3:F$29,""))</f>
        <v>0</v>
      </c>
      <c r="G37">
        <v>26</v>
      </c>
      <c r="H37">
        <f t="array" ref="H37">MEDIAN(IF($C$3:$C$29=$C37,H$3:H$29,""))</f>
        <v>25.25</v>
      </c>
      <c r="I37">
        <f t="array" ref="I37">MEDIAN(IF($C$3:$C$29=$C37,I$3:I$29,""))</f>
        <v>18.850000000000001</v>
      </c>
      <c r="J37">
        <f t="array" ref="J37">MEDIAN(IF($C$3:$C$29=$C37,J$3:J$29,""))</f>
        <v>14.45</v>
      </c>
      <c r="K37">
        <f t="array" ref="K37">MEDIAN(IF($C$3:$C$29=$C37,K$3:K$29,""))</f>
        <v>12.25</v>
      </c>
      <c r="L37">
        <f t="array" ref="L37">MEDIAN(IF($C$3:$C$29=$C37,L$3:L$29,""))</f>
        <v>11.85</v>
      </c>
      <c r="M37">
        <f t="array" ref="M37">MEDIAN(IF($C$3:$C$29=$C37,M$3:M$29,""))</f>
        <v>12.649999999999999</v>
      </c>
      <c r="N37">
        <f t="array" ref="N37">MEDIAN(IF($C$3:$C$29=$C37,N$3:N$29,""))</f>
        <v>12.1</v>
      </c>
      <c r="O37">
        <f t="array" ref="O37">MEDIAN(IF($C$3:$C$29=$C37,O$3:O$29,""))</f>
        <v>13.7</v>
      </c>
      <c r="P37">
        <f t="array" ref="P37">MEDIAN(IF($C$3:$C$29=$C37,P$3:P$29,""))</f>
        <v>13.5</v>
      </c>
      <c r="Q37">
        <f t="array" ref="Q37">MEDIAN(IF($C$3:$C$29=$C37,Q$3:Q$29,""))</f>
        <v>13.35</v>
      </c>
      <c r="R37">
        <f t="array" ref="R37">MEDIAN(IF($C$3:$C$29=$C37,R$3:R$29,""))</f>
        <v>13.6</v>
      </c>
      <c r="S37">
        <f t="array" ref="S37">MEDIAN(IF($C$3:$C$29=$C37,S$3:S$29,""))</f>
        <v>14.55</v>
      </c>
      <c r="T37">
        <f t="array" ref="T37">MEDIAN(IF($C$3:$C$29=$C37,T$3:T$29,""))</f>
        <v>13.85</v>
      </c>
      <c r="U37">
        <f t="array" ref="U37">MEDIAN(IF($C$3:$C$29=$C37,U$3:U$29,""))</f>
        <v>14</v>
      </c>
      <c r="V37">
        <f t="array" ref="V37">MEDIAN(IF($C$3:$C$29=$C37,V$3:V$29,""))</f>
        <v>13.75</v>
      </c>
      <c r="W37">
        <f t="array" ref="W37">MEDIAN(IF($C$3:$C$29=$C37,W$3:W$29,""))</f>
        <v>14.55</v>
      </c>
      <c r="X37">
        <f t="array" ref="X37">MEDIAN(IF($C$3:$C$29=$C37,X$3:X$29,""))</f>
        <v>16.75</v>
      </c>
      <c r="Y37">
        <f t="array" ref="Y37">MEDIAN(IF($C$3:$C$29=$C37,Y$3:Y$29,""))</f>
        <v>19</v>
      </c>
      <c r="Z37">
        <f t="array" ref="Z37">MEDIAN(IF($C$3:$C$29=$C37,Z$3:Z$29,""))</f>
        <v>18.25</v>
      </c>
      <c r="AA37">
        <f t="array" ref="AA37">MEDIAN(IF($C$3:$C$29=$C37,AA$3:AA$29,""))</f>
        <v>20.299999999999997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0"/>
  <dimension ref="A1:AA37"/>
  <sheetViews>
    <sheetView workbookViewId="0">
      <selection activeCell="G31" sqref="G31:G37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24.8</v>
      </c>
      <c r="H3">
        <v>26.2</v>
      </c>
      <c r="I3">
        <v>17.399999999999999</v>
      </c>
      <c r="J3">
        <v>12.5</v>
      </c>
      <c r="K3">
        <v>10.5</v>
      </c>
      <c r="L3">
        <v>9.6</v>
      </c>
      <c r="M3">
        <v>8.1999999999999993</v>
      </c>
      <c r="N3">
        <v>11.5</v>
      </c>
      <c r="O3">
        <v>11.2</v>
      </c>
      <c r="P3">
        <v>12.7</v>
      </c>
      <c r="Q3">
        <v>8.5</v>
      </c>
      <c r="R3">
        <v>14.4</v>
      </c>
      <c r="S3">
        <v>11.7</v>
      </c>
      <c r="T3">
        <v>12.2</v>
      </c>
      <c r="U3">
        <v>11.5</v>
      </c>
      <c r="V3">
        <v>12.8</v>
      </c>
      <c r="W3">
        <v>12.7</v>
      </c>
      <c r="X3">
        <v>15.1</v>
      </c>
      <c r="Y3">
        <v>19.5</v>
      </c>
      <c r="Z3">
        <v>19.8</v>
      </c>
      <c r="AA3">
        <v>17.100000000000001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21.8</v>
      </c>
      <c r="H4">
        <v>23.7</v>
      </c>
      <c r="I4">
        <v>19.100000000000001</v>
      </c>
      <c r="J4">
        <v>18</v>
      </c>
      <c r="K4">
        <v>15.9</v>
      </c>
      <c r="L4">
        <v>13.9</v>
      </c>
      <c r="M4">
        <v>11.7</v>
      </c>
      <c r="N4">
        <v>10.9</v>
      </c>
      <c r="O4">
        <v>13</v>
      </c>
      <c r="P4">
        <v>13.6</v>
      </c>
      <c r="Q4">
        <v>16.2</v>
      </c>
      <c r="R4">
        <v>15.9</v>
      </c>
      <c r="S4">
        <v>15.4</v>
      </c>
      <c r="T4">
        <v>14.8</v>
      </c>
      <c r="U4">
        <v>14.6</v>
      </c>
      <c r="V4">
        <v>16.399999999999999</v>
      </c>
      <c r="W4">
        <v>17.600000000000001</v>
      </c>
      <c r="X4">
        <v>12.5</v>
      </c>
      <c r="Y4">
        <v>15</v>
      </c>
      <c r="Z4">
        <v>16.100000000000001</v>
      </c>
      <c r="AA4">
        <v>19.2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22.8</v>
      </c>
      <c r="E5">
        <v>49.3</v>
      </c>
      <c r="H5">
        <v>26.3</v>
      </c>
      <c r="I5">
        <v>18.8</v>
      </c>
      <c r="J5">
        <v>22.9</v>
      </c>
      <c r="K5">
        <v>21.1</v>
      </c>
      <c r="L5">
        <v>17.8</v>
      </c>
      <c r="M5">
        <v>14.6</v>
      </c>
      <c r="N5">
        <v>13.5</v>
      </c>
      <c r="O5">
        <v>14.1</v>
      </c>
      <c r="P5">
        <v>14.8</v>
      </c>
      <c r="Q5">
        <v>17</v>
      </c>
      <c r="R5">
        <v>16.5</v>
      </c>
      <c r="S5">
        <v>14.1</v>
      </c>
      <c r="T5">
        <v>17.2</v>
      </c>
      <c r="U5">
        <v>15.1</v>
      </c>
      <c r="V5">
        <v>14.5</v>
      </c>
      <c r="W5">
        <v>14</v>
      </c>
      <c r="X5">
        <v>15.7</v>
      </c>
      <c r="Y5">
        <v>22.6</v>
      </c>
      <c r="Z5">
        <v>19.899999999999999</v>
      </c>
      <c r="AA5">
        <v>25.7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21.3</v>
      </c>
      <c r="H6">
        <v>24.2</v>
      </c>
      <c r="I6">
        <v>17.100000000000001</v>
      </c>
      <c r="J6">
        <v>12.4</v>
      </c>
      <c r="K6">
        <v>10.4</v>
      </c>
      <c r="L6">
        <v>9.4</v>
      </c>
      <c r="M6">
        <v>10.9</v>
      </c>
      <c r="N6">
        <v>10.7</v>
      </c>
      <c r="O6">
        <v>12.3</v>
      </c>
      <c r="P6">
        <v>11.3</v>
      </c>
      <c r="Q6">
        <v>11.8</v>
      </c>
      <c r="R6">
        <v>14.7</v>
      </c>
      <c r="S6">
        <v>13.3</v>
      </c>
      <c r="T6">
        <v>14.6</v>
      </c>
      <c r="U6">
        <v>14.7</v>
      </c>
      <c r="V6">
        <v>13.7</v>
      </c>
      <c r="W6">
        <v>17.899999999999999</v>
      </c>
      <c r="X6">
        <v>16.100000000000001</v>
      </c>
      <c r="Y6">
        <v>21.4</v>
      </c>
      <c r="Z6">
        <v>18.8</v>
      </c>
      <c r="AA6">
        <v>22.7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20.8</v>
      </c>
      <c r="H7">
        <v>37.299999999999997</v>
      </c>
      <c r="I7">
        <v>20.399999999999999</v>
      </c>
      <c r="J7">
        <v>12</v>
      </c>
      <c r="K7">
        <v>9.9</v>
      </c>
      <c r="L7">
        <v>10.1</v>
      </c>
      <c r="M7">
        <v>10</v>
      </c>
      <c r="N7">
        <v>10.199999999999999</v>
      </c>
      <c r="O7">
        <v>11.6</v>
      </c>
      <c r="P7">
        <v>13.9</v>
      </c>
      <c r="Q7">
        <v>11.6</v>
      </c>
      <c r="R7">
        <v>12</v>
      </c>
      <c r="S7">
        <v>12.9</v>
      </c>
      <c r="T7">
        <v>15.2</v>
      </c>
      <c r="U7">
        <v>12.3</v>
      </c>
      <c r="V7">
        <v>12.8</v>
      </c>
      <c r="W7">
        <v>13.7</v>
      </c>
      <c r="X7">
        <v>16.2</v>
      </c>
      <c r="Y7">
        <v>16.8</v>
      </c>
      <c r="Z7">
        <v>17.399999999999999</v>
      </c>
      <c r="AA7">
        <v>17.899999999999999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23.9</v>
      </c>
      <c r="H8">
        <v>33.700000000000003</v>
      </c>
      <c r="I8">
        <v>17.399999999999999</v>
      </c>
      <c r="J8">
        <v>11.1</v>
      </c>
      <c r="K8">
        <v>9.5</v>
      </c>
      <c r="L8">
        <v>8.4</v>
      </c>
      <c r="M8">
        <v>10.6</v>
      </c>
      <c r="N8">
        <v>6.2</v>
      </c>
      <c r="O8">
        <v>5.0999999999999996</v>
      </c>
      <c r="P8">
        <v>11.5</v>
      </c>
      <c r="Q8">
        <v>15</v>
      </c>
      <c r="R8">
        <v>13.1</v>
      </c>
      <c r="S8">
        <v>10.5</v>
      </c>
      <c r="T8">
        <v>11.2</v>
      </c>
      <c r="U8">
        <v>13.5</v>
      </c>
      <c r="V8">
        <v>9.8000000000000007</v>
      </c>
      <c r="W8">
        <v>14.3</v>
      </c>
      <c r="X8">
        <v>14.9</v>
      </c>
      <c r="Y8">
        <v>21.9</v>
      </c>
      <c r="Z8">
        <v>17.7</v>
      </c>
      <c r="AA8">
        <v>18.8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22.3</v>
      </c>
      <c r="H9">
        <v>30.7</v>
      </c>
      <c r="I9">
        <v>17.8</v>
      </c>
      <c r="J9">
        <v>10.5</v>
      </c>
      <c r="K9">
        <v>6.5</v>
      </c>
      <c r="L9">
        <v>10.8</v>
      </c>
      <c r="M9">
        <v>12.5</v>
      </c>
      <c r="N9">
        <v>11.2</v>
      </c>
      <c r="O9">
        <v>11.1</v>
      </c>
      <c r="P9">
        <v>10.3</v>
      </c>
      <c r="Q9">
        <v>13.3</v>
      </c>
      <c r="R9">
        <v>10.9</v>
      </c>
      <c r="S9">
        <v>14.5</v>
      </c>
      <c r="T9">
        <v>12.1</v>
      </c>
      <c r="U9">
        <v>12</v>
      </c>
      <c r="V9">
        <v>14.1</v>
      </c>
      <c r="W9">
        <v>15.3</v>
      </c>
      <c r="X9">
        <v>18.399999999999999</v>
      </c>
      <c r="Y9">
        <v>11.8</v>
      </c>
      <c r="Z9">
        <v>19.5</v>
      </c>
      <c r="AA9">
        <v>19.100000000000001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21.9</v>
      </c>
      <c r="H10">
        <v>19.8</v>
      </c>
      <c r="I10">
        <v>16.899999999999999</v>
      </c>
      <c r="J10">
        <v>13.9</v>
      </c>
      <c r="K10">
        <v>11.5</v>
      </c>
      <c r="L10">
        <v>11</v>
      </c>
      <c r="M10">
        <v>9.1999999999999993</v>
      </c>
      <c r="N10">
        <v>10.7</v>
      </c>
      <c r="O10">
        <v>12.8</v>
      </c>
      <c r="P10">
        <v>10.7</v>
      </c>
      <c r="Q10">
        <v>14.2</v>
      </c>
      <c r="R10">
        <v>15.5</v>
      </c>
      <c r="S10">
        <v>12.2</v>
      </c>
      <c r="T10">
        <v>11.6</v>
      </c>
      <c r="U10">
        <v>13.7</v>
      </c>
      <c r="V10">
        <v>14.5</v>
      </c>
      <c r="W10">
        <v>13.6</v>
      </c>
      <c r="X10">
        <v>15.3</v>
      </c>
      <c r="Y10">
        <v>16.100000000000001</v>
      </c>
      <c r="Z10">
        <v>19.2</v>
      </c>
      <c r="AA10">
        <v>17.7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23</v>
      </c>
      <c r="H11">
        <v>27.9</v>
      </c>
      <c r="I11">
        <v>19.100000000000001</v>
      </c>
      <c r="J11">
        <v>19.899999999999999</v>
      </c>
      <c r="K11">
        <v>15.3</v>
      </c>
      <c r="L11">
        <v>16.100000000000001</v>
      </c>
      <c r="M11">
        <v>13.2</v>
      </c>
      <c r="N11">
        <v>12.9</v>
      </c>
      <c r="O11">
        <v>13.5</v>
      </c>
      <c r="P11">
        <v>11</v>
      </c>
      <c r="Q11">
        <v>11.1</v>
      </c>
      <c r="R11">
        <v>13.3</v>
      </c>
      <c r="S11">
        <v>13.1</v>
      </c>
      <c r="T11">
        <v>17.3</v>
      </c>
      <c r="U11">
        <v>14.6</v>
      </c>
      <c r="V11">
        <v>15.1</v>
      </c>
      <c r="W11">
        <v>14.1</v>
      </c>
      <c r="X11">
        <v>14.4</v>
      </c>
      <c r="Y11">
        <v>16.100000000000001</v>
      </c>
      <c r="Z11">
        <v>16.100000000000001</v>
      </c>
      <c r="AA11">
        <v>20.6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22.8</v>
      </c>
      <c r="E12">
        <v>22.5</v>
      </c>
      <c r="H12">
        <v>21.7</v>
      </c>
      <c r="I12">
        <v>19</v>
      </c>
      <c r="J12">
        <v>24.2</v>
      </c>
      <c r="K12">
        <v>17.600000000000001</v>
      </c>
      <c r="L12">
        <v>17.600000000000001</v>
      </c>
      <c r="M12">
        <v>16.5</v>
      </c>
      <c r="N12">
        <v>19.100000000000001</v>
      </c>
      <c r="O12">
        <v>13.6</v>
      </c>
      <c r="P12">
        <v>13.9</v>
      </c>
      <c r="Q12">
        <v>13.2</v>
      </c>
      <c r="R12">
        <v>16.8</v>
      </c>
      <c r="S12">
        <v>12.8</v>
      </c>
      <c r="T12">
        <v>17.899999999999999</v>
      </c>
      <c r="U12">
        <v>14.3</v>
      </c>
      <c r="V12">
        <v>17.2</v>
      </c>
      <c r="W12">
        <v>15.3</v>
      </c>
      <c r="X12">
        <v>15.6</v>
      </c>
      <c r="Y12">
        <v>17.399999999999999</v>
      </c>
      <c r="Z12">
        <v>16.5</v>
      </c>
      <c r="AA12">
        <v>25.3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25.7</v>
      </c>
      <c r="H13">
        <v>23.6</v>
      </c>
      <c r="I13">
        <v>17.600000000000001</v>
      </c>
      <c r="J13">
        <v>13.4</v>
      </c>
      <c r="K13">
        <v>9.3000000000000007</v>
      </c>
      <c r="L13">
        <v>10.6</v>
      </c>
      <c r="M13">
        <v>12.5</v>
      </c>
      <c r="N13">
        <v>11.1</v>
      </c>
      <c r="O13">
        <v>13.8</v>
      </c>
      <c r="P13">
        <v>12.5</v>
      </c>
      <c r="Q13">
        <v>13.6</v>
      </c>
      <c r="R13">
        <v>11.7</v>
      </c>
      <c r="S13">
        <v>11.5</v>
      </c>
      <c r="T13">
        <v>13.9</v>
      </c>
      <c r="U13">
        <v>15.1</v>
      </c>
      <c r="V13">
        <v>11.7</v>
      </c>
      <c r="W13">
        <v>12.7</v>
      </c>
      <c r="X13">
        <v>18.8</v>
      </c>
      <c r="Y13">
        <v>14.9</v>
      </c>
      <c r="Z13">
        <v>18.100000000000001</v>
      </c>
      <c r="AA13">
        <v>23.2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19.3</v>
      </c>
      <c r="H14">
        <v>14.5</v>
      </c>
      <c r="I14">
        <v>18</v>
      </c>
      <c r="J14">
        <v>12.7</v>
      </c>
      <c r="K14">
        <v>8.1999999999999993</v>
      </c>
      <c r="L14">
        <v>8.9</v>
      </c>
      <c r="M14">
        <v>11.8</v>
      </c>
      <c r="N14">
        <v>9.8000000000000007</v>
      </c>
      <c r="O14">
        <v>11.9</v>
      </c>
      <c r="P14">
        <v>13</v>
      </c>
      <c r="Q14">
        <v>10.6</v>
      </c>
      <c r="R14">
        <v>11.8</v>
      </c>
      <c r="S14">
        <v>11</v>
      </c>
      <c r="T14">
        <v>13.3</v>
      </c>
      <c r="U14">
        <v>8.8000000000000007</v>
      </c>
      <c r="V14">
        <v>10.199999999999999</v>
      </c>
      <c r="W14">
        <v>12.2</v>
      </c>
      <c r="X14">
        <v>18.2</v>
      </c>
      <c r="Y14">
        <v>17.3</v>
      </c>
      <c r="Z14">
        <v>18.7</v>
      </c>
      <c r="AA14">
        <v>21.4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24.2</v>
      </c>
      <c r="H15">
        <v>25.9</v>
      </c>
      <c r="I15">
        <v>20.8</v>
      </c>
      <c r="J15">
        <v>11.6</v>
      </c>
      <c r="K15">
        <v>7.4</v>
      </c>
      <c r="L15">
        <v>10.1</v>
      </c>
      <c r="M15">
        <v>10.3</v>
      </c>
      <c r="N15">
        <v>10.3</v>
      </c>
      <c r="O15">
        <v>12.2</v>
      </c>
      <c r="P15">
        <v>12.9</v>
      </c>
      <c r="Q15">
        <v>10</v>
      </c>
      <c r="R15">
        <v>10</v>
      </c>
      <c r="S15">
        <v>15</v>
      </c>
      <c r="T15">
        <v>11.1</v>
      </c>
      <c r="U15">
        <v>12.2</v>
      </c>
      <c r="V15">
        <v>12.1</v>
      </c>
      <c r="W15">
        <v>13.1</v>
      </c>
      <c r="X15">
        <v>15.5</v>
      </c>
      <c r="Y15">
        <v>17.8</v>
      </c>
      <c r="Z15">
        <v>19.100000000000001</v>
      </c>
      <c r="AA15">
        <v>18.100000000000001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22.7</v>
      </c>
      <c r="H16">
        <v>18</v>
      </c>
      <c r="I16">
        <v>19.399999999999999</v>
      </c>
      <c r="J16">
        <v>12.1</v>
      </c>
      <c r="K16">
        <v>9.6999999999999993</v>
      </c>
      <c r="L16">
        <v>10.1</v>
      </c>
      <c r="M16">
        <v>7.8</v>
      </c>
      <c r="N16">
        <v>10.199999999999999</v>
      </c>
      <c r="O16">
        <v>14.3</v>
      </c>
      <c r="P16">
        <v>12</v>
      </c>
      <c r="Q16">
        <v>10.7</v>
      </c>
      <c r="R16">
        <v>12.8</v>
      </c>
      <c r="S16">
        <v>12.7</v>
      </c>
      <c r="T16">
        <v>13.8</v>
      </c>
      <c r="U16">
        <v>11</v>
      </c>
      <c r="V16">
        <v>11.3</v>
      </c>
      <c r="W16">
        <v>14.7</v>
      </c>
      <c r="X16">
        <v>14.9</v>
      </c>
      <c r="Y16">
        <v>17.3</v>
      </c>
      <c r="Z16">
        <v>16.600000000000001</v>
      </c>
      <c r="AA16">
        <v>16.2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22.1</v>
      </c>
      <c r="H17">
        <v>20.6</v>
      </c>
      <c r="I17">
        <v>18.3</v>
      </c>
      <c r="J17">
        <v>12.6</v>
      </c>
      <c r="K17">
        <v>9.4</v>
      </c>
      <c r="L17">
        <v>10.3</v>
      </c>
      <c r="M17">
        <v>11.7</v>
      </c>
      <c r="N17">
        <v>11.4</v>
      </c>
      <c r="O17">
        <v>11.8</v>
      </c>
      <c r="P17">
        <v>10</v>
      </c>
      <c r="Q17">
        <v>11.1</v>
      </c>
      <c r="R17">
        <v>12.3</v>
      </c>
      <c r="S17">
        <v>12</v>
      </c>
      <c r="T17">
        <v>14.2</v>
      </c>
      <c r="U17">
        <v>10.1</v>
      </c>
      <c r="V17">
        <v>11.6</v>
      </c>
      <c r="W17">
        <v>11.6</v>
      </c>
      <c r="X17">
        <v>16</v>
      </c>
      <c r="Y17">
        <v>14.8</v>
      </c>
      <c r="Z17">
        <v>15.8</v>
      </c>
      <c r="AA17">
        <v>16.600000000000001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21.4</v>
      </c>
      <c r="H18">
        <v>23.4</v>
      </c>
      <c r="I18">
        <v>20.8</v>
      </c>
      <c r="J18">
        <v>17.899999999999999</v>
      </c>
      <c r="K18">
        <v>15.7</v>
      </c>
      <c r="L18">
        <v>13.7</v>
      </c>
      <c r="M18">
        <v>11.8</v>
      </c>
      <c r="N18">
        <v>12.3</v>
      </c>
      <c r="O18">
        <v>8.9</v>
      </c>
      <c r="P18">
        <v>8</v>
      </c>
      <c r="Q18">
        <v>13.5</v>
      </c>
      <c r="R18">
        <v>11.9</v>
      </c>
      <c r="S18">
        <v>14.4</v>
      </c>
      <c r="T18">
        <v>16.8</v>
      </c>
      <c r="U18">
        <v>14.6</v>
      </c>
      <c r="V18">
        <v>14.8</v>
      </c>
      <c r="W18">
        <v>14.4</v>
      </c>
      <c r="X18">
        <v>14.9</v>
      </c>
      <c r="Y18">
        <v>17.3</v>
      </c>
      <c r="Z18">
        <v>18.3</v>
      </c>
      <c r="AA18">
        <v>21.2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37.1</v>
      </c>
      <c r="H19">
        <v>28.5</v>
      </c>
      <c r="I19">
        <v>26.8</v>
      </c>
      <c r="J19">
        <v>19.100000000000001</v>
      </c>
      <c r="K19">
        <v>20.399999999999999</v>
      </c>
      <c r="L19">
        <v>18.899999999999999</v>
      </c>
      <c r="M19">
        <v>16.100000000000001</v>
      </c>
      <c r="N19">
        <v>16</v>
      </c>
      <c r="O19">
        <v>18.3</v>
      </c>
      <c r="P19">
        <v>15.1</v>
      </c>
      <c r="Q19">
        <v>15.5</v>
      </c>
      <c r="R19">
        <v>19.8</v>
      </c>
      <c r="S19">
        <v>14.5</v>
      </c>
      <c r="T19">
        <v>16</v>
      </c>
      <c r="U19">
        <v>18.600000000000001</v>
      </c>
      <c r="V19">
        <v>14.7</v>
      </c>
      <c r="W19">
        <v>15.8</v>
      </c>
      <c r="X19">
        <v>19.600000000000001</v>
      </c>
      <c r="Y19">
        <v>19.899999999999999</v>
      </c>
      <c r="Z19">
        <v>18.8</v>
      </c>
      <c r="AA19">
        <v>18.5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27.7</v>
      </c>
      <c r="H20">
        <v>22.6</v>
      </c>
      <c r="I20">
        <v>18.399999999999999</v>
      </c>
      <c r="J20">
        <v>13.5</v>
      </c>
      <c r="K20">
        <v>9.4</v>
      </c>
      <c r="L20">
        <v>11.4</v>
      </c>
      <c r="M20">
        <v>10.1</v>
      </c>
      <c r="N20">
        <v>10.7</v>
      </c>
      <c r="O20">
        <v>11.6</v>
      </c>
      <c r="P20">
        <v>14.5</v>
      </c>
      <c r="Q20">
        <v>11.9</v>
      </c>
      <c r="R20">
        <v>10.7</v>
      </c>
      <c r="S20">
        <v>12.3</v>
      </c>
      <c r="T20">
        <v>13</v>
      </c>
      <c r="U20">
        <v>11.3</v>
      </c>
      <c r="V20">
        <v>11.4</v>
      </c>
      <c r="W20">
        <v>12.7</v>
      </c>
      <c r="X20">
        <v>16.7</v>
      </c>
      <c r="Y20">
        <v>24</v>
      </c>
      <c r="Z20">
        <v>19.600000000000001</v>
      </c>
      <c r="AA20">
        <v>21.8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26.4</v>
      </c>
      <c r="H21">
        <v>22.4</v>
      </c>
      <c r="I21">
        <v>18.100000000000001</v>
      </c>
      <c r="J21">
        <v>10.6</v>
      </c>
      <c r="K21">
        <v>8.4</v>
      </c>
      <c r="L21">
        <v>10.9</v>
      </c>
      <c r="M21">
        <v>11.3</v>
      </c>
      <c r="N21">
        <v>12.9</v>
      </c>
      <c r="O21">
        <v>13.4</v>
      </c>
      <c r="P21">
        <v>15.2</v>
      </c>
      <c r="Q21">
        <v>10</v>
      </c>
      <c r="R21">
        <v>12</v>
      </c>
      <c r="S21">
        <v>14.7</v>
      </c>
      <c r="T21">
        <v>10.199999999999999</v>
      </c>
      <c r="U21">
        <v>12</v>
      </c>
      <c r="V21">
        <v>11.5</v>
      </c>
      <c r="W21">
        <v>13.8</v>
      </c>
      <c r="X21">
        <v>15.2</v>
      </c>
      <c r="Y21">
        <v>20</v>
      </c>
      <c r="Z21">
        <v>18.2</v>
      </c>
      <c r="AA21">
        <v>25.6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25</v>
      </c>
      <c r="H22">
        <v>29.2</v>
      </c>
      <c r="I22">
        <v>17.7</v>
      </c>
      <c r="J22">
        <v>12.8</v>
      </c>
      <c r="K22">
        <v>8.4</v>
      </c>
      <c r="L22">
        <v>9</v>
      </c>
      <c r="M22">
        <v>13.5</v>
      </c>
      <c r="N22">
        <v>8.5</v>
      </c>
      <c r="O22">
        <v>11.6</v>
      </c>
      <c r="P22">
        <v>12.5</v>
      </c>
      <c r="Q22">
        <v>11.8</v>
      </c>
      <c r="R22">
        <v>12.3</v>
      </c>
      <c r="S22">
        <v>11.3</v>
      </c>
      <c r="T22">
        <v>13.5</v>
      </c>
      <c r="U22">
        <v>11.5</v>
      </c>
      <c r="V22">
        <v>12.5</v>
      </c>
      <c r="W22">
        <v>13.5</v>
      </c>
      <c r="X22">
        <v>14.5</v>
      </c>
      <c r="Y22">
        <v>14</v>
      </c>
      <c r="Z22">
        <v>17.8</v>
      </c>
      <c r="AA22">
        <v>20.7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19.899999999999999</v>
      </c>
      <c r="H23">
        <v>21</v>
      </c>
      <c r="I23">
        <v>18</v>
      </c>
      <c r="J23">
        <v>11</v>
      </c>
      <c r="K23">
        <v>9</v>
      </c>
      <c r="L23">
        <v>9.1999999999999993</v>
      </c>
      <c r="M23">
        <v>9.5</v>
      </c>
      <c r="N23">
        <v>8.4</v>
      </c>
      <c r="O23">
        <v>13</v>
      </c>
      <c r="P23">
        <v>6.5</v>
      </c>
      <c r="Q23">
        <v>11.6</v>
      </c>
      <c r="R23">
        <v>12.3</v>
      </c>
      <c r="S23">
        <v>14.5</v>
      </c>
      <c r="T23">
        <v>11.8</v>
      </c>
      <c r="U23">
        <v>13</v>
      </c>
      <c r="V23">
        <v>13</v>
      </c>
      <c r="W23">
        <v>11</v>
      </c>
      <c r="X23">
        <v>14.1</v>
      </c>
      <c r="Y23">
        <v>17.7</v>
      </c>
      <c r="Z23">
        <v>18.5</v>
      </c>
      <c r="AA23">
        <v>19.7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23.7</v>
      </c>
      <c r="H24">
        <v>23.6</v>
      </c>
      <c r="I24">
        <v>19.100000000000001</v>
      </c>
      <c r="J24">
        <v>13.2</v>
      </c>
      <c r="K24">
        <v>9.3000000000000007</v>
      </c>
      <c r="L24">
        <v>8.1</v>
      </c>
      <c r="M24">
        <v>10.7</v>
      </c>
      <c r="N24">
        <v>9.8000000000000007</v>
      </c>
      <c r="O24">
        <v>12</v>
      </c>
      <c r="P24">
        <v>9.6999999999999993</v>
      </c>
      <c r="Q24">
        <v>13.3</v>
      </c>
      <c r="R24">
        <v>11</v>
      </c>
      <c r="S24">
        <v>12.1</v>
      </c>
      <c r="T24">
        <v>12.2</v>
      </c>
      <c r="U24">
        <v>12.6</v>
      </c>
      <c r="V24">
        <v>10.1</v>
      </c>
      <c r="W24">
        <v>14</v>
      </c>
      <c r="X24">
        <v>14.9</v>
      </c>
      <c r="Y24">
        <v>22.9</v>
      </c>
      <c r="Z24">
        <v>17.8</v>
      </c>
      <c r="AA24">
        <v>18.5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24.4</v>
      </c>
      <c r="H25">
        <v>20.5</v>
      </c>
      <c r="I25">
        <v>22.8</v>
      </c>
      <c r="J25">
        <v>17.5</v>
      </c>
      <c r="K25">
        <v>12.7</v>
      </c>
      <c r="L25">
        <v>10.3</v>
      </c>
      <c r="M25">
        <v>10.1</v>
      </c>
      <c r="N25">
        <v>11</v>
      </c>
      <c r="O25">
        <v>10.6</v>
      </c>
      <c r="P25">
        <v>12.6</v>
      </c>
      <c r="Q25">
        <v>10.8</v>
      </c>
      <c r="R25">
        <v>14.7</v>
      </c>
      <c r="T25">
        <v>13.8</v>
      </c>
      <c r="V25">
        <v>14</v>
      </c>
      <c r="X25">
        <v>30.2</v>
      </c>
      <c r="Z25">
        <v>21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21.3</v>
      </c>
      <c r="E26">
        <v>28.7</v>
      </c>
      <c r="H26">
        <v>21</v>
      </c>
      <c r="I26">
        <v>22.7</v>
      </c>
      <c r="J26">
        <v>21</v>
      </c>
      <c r="K26">
        <v>16.399999999999999</v>
      </c>
      <c r="L26">
        <v>15.1</v>
      </c>
      <c r="M26">
        <v>15.9</v>
      </c>
      <c r="N26">
        <v>17</v>
      </c>
      <c r="O26">
        <v>14.1</v>
      </c>
      <c r="P26">
        <v>14.9</v>
      </c>
      <c r="Q26">
        <v>15.4</v>
      </c>
      <c r="R26">
        <v>12.5</v>
      </c>
      <c r="S26">
        <v>15.1</v>
      </c>
      <c r="T26">
        <v>12.4</v>
      </c>
      <c r="U26">
        <v>16.2</v>
      </c>
      <c r="V26">
        <v>18.100000000000001</v>
      </c>
      <c r="W26">
        <v>16.7</v>
      </c>
      <c r="X26">
        <v>14.2</v>
      </c>
      <c r="Y26">
        <v>14.9</v>
      </c>
      <c r="Z26">
        <v>21.6</v>
      </c>
      <c r="AA26">
        <v>19.399999999999999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30.3</v>
      </c>
      <c r="H27">
        <v>26.2</v>
      </c>
      <c r="I27">
        <v>22.5</v>
      </c>
      <c r="J27">
        <v>12.1</v>
      </c>
      <c r="K27">
        <v>7.3</v>
      </c>
      <c r="L27">
        <v>9.3000000000000007</v>
      </c>
      <c r="M27">
        <v>11.7</v>
      </c>
      <c r="N27">
        <v>11.9</v>
      </c>
      <c r="O27">
        <v>12.2</v>
      </c>
      <c r="P27">
        <v>12.3</v>
      </c>
      <c r="Q27">
        <v>11.3</v>
      </c>
      <c r="R27">
        <v>13</v>
      </c>
      <c r="S27">
        <v>12.6</v>
      </c>
      <c r="T27">
        <v>13.3</v>
      </c>
      <c r="U27">
        <v>13.2</v>
      </c>
      <c r="V27">
        <v>11.7</v>
      </c>
      <c r="W27">
        <v>14.6</v>
      </c>
      <c r="X27">
        <v>16.5</v>
      </c>
      <c r="Y27">
        <v>16.399999999999999</v>
      </c>
      <c r="Z27">
        <v>19.8</v>
      </c>
      <c r="AA27">
        <v>22.8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20.8</v>
      </c>
      <c r="H28">
        <v>25.8</v>
      </c>
      <c r="I28">
        <v>19.600000000000001</v>
      </c>
      <c r="J28">
        <v>13.1</v>
      </c>
      <c r="K28">
        <v>8.1</v>
      </c>
      <c r="L28">
        <v>10.9</v>
      </c>
      <c r="M28">
        <v>9.9</v>
      </c>
      <c r="N28">
        <v>9.9</v>
      </c>
      <c r="O28">
        <v>12.5</v>
      </c>
      <c r="P28">
        <v>9.1999999999999993</v>
      </c>
      <c r="Q28">
        <v>12.4</v>
      </c>
      <c r="R28">
        <v>14.5</v>
      </c>
      <c r="S28">
        <v>13.4</v>
      </c>
      <c r="T28">
        <v>10.4</v>
      </c>
      <c r="U28">
        <v>9.6</v>
      </c>
      <c r="V28">
        <v>10.7</v>
      </c>
      <c r="W28">
        <v>15.4</v>
      </c>
      <c r="X28">
        <v>16.399999999999999</v>
      </c>
      <c r="Y28">
        <v>16.2</v>
      </c>
      <c r="Z28">
        <v>17.7</v>
      </c>
      <c r="AA28">
        <v>21.6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27.1</v>
      </c>
      <c r="H29">
        <v>25.4</v>
      </c>
      <c r="I29">
        <v>21.4</v>
      </c>
      <c r="J29">
        <v>12.4</v>
      </c>
      <c r="K29">
        <v>8.9</v>
      </c>
      <c r="L29">
        <v>9.1999999999999993</v>
      </c>
      <c r="M29">
        <v>11.1</v>
      </c>
      <c r="N29">
        <v>7.2</v>
      </c>
      <c r="O29">
        <v>12.6</v>
      </c>
      <c r="P29">
        <v>9.8000000000000007</v>
      </c>
      <c r="Q29">
        <v>10.5</v>
      </c>
      <c r="R29">
        <v>9.1</v>
      </c>
      <c r="S29">
        <v>11.8</v>
      </c>
      <c r="T29">
        <v>10.3</v>
      </c>
      <c r="U29">
        <v>12.2</v>
      </c>
      <c r="V29">
        <v>12</v>
      </c>
      <c r="W29">
        <v>15.5</v>
      </c>
      <c r="X29">
        <v>13.9</v>
      </c>
      <c r="Y29">
        <v>17.600000000000001</v>
      </c>
      <c r="Z29">
        <v>16.899999999999999</v>
      </c>
      <c r="AA29">
        <v>24.6</v>
      </c>
    </row>
    <row r="31" spans="1:27" x14ac:dyDescent="0.25">
      <c r="C31">
        <v>1</v>
      </c>
      <c r="D31">
        <f t="array" ref="D31">MEDIAN(IF($C$3:$C$29=$C31,D$3:D$29,""))</f>
        <v>22.8</v>
      </c>
      <c r="E31">
        <f t="array" ref="E31">MEDIAN(IF($C$3:$C$29=$C31,E$3:E$29,""))</f>
        <v>25.6</v>
      </c>
      <c r="F31">
        <f t="array" ref="F31">MEDIAN(IF($C$3:$C$29=$C31,F$3:F$29,""))</f>
        <v>0</v>
      </c>
      <c r="G31">
        <v>26</v>
      </c>
      <c r="H31">
        <f t="array" ref="H31">MEDIAN(IF($C$3:$C$29=$C31,H$3:H$29,""))</f>
        <v>24</v>
      </c>
      <c r="I31">
        <f t="array" ref="I31">MEDIAN(IF($C$3:$C$29=$C31,I$3:I$29,""))</f>
        <v>20.85</v>
      </c>
      <c r="J31">
        <f t="array" ref="J31">MEDIAN(IF($C$3:$C$29=$C31,J$3:J$29,""))</f>
        <v>21.95</v>
      </c>
      <c r="K31">
        <f t="array" ref="K31">MEDIAN(IF($C$3:$C$29=$C31,K$3:K$29,""))</f>
        <v>19</v>
      </c>
      <c r="L31">
        <f t="array" ref="L31">MEDIAN(IF($C$3:$C$29=$C31,L$3:L$29,""))</f>
        <v>17.700000000000003</v>
      </c>
      <c r="M31">
        <f t="array" ref="M31">MEDIAN(IF($C$3:$C$29=$C31,M$3:M$29,""))</f>
        <v>16</v>
      </c>
      <c r="N31">
        <f t="array" ref="N31">MEDIAN(IF($C$3:$C$29=$C31,N$3:N$29,""))</f>
        <v>16.5</v>
      </c>
      <c r="O31">
        <f t="array" ref="O31">MEDIAN(IF($C$3:$C$29=$C31,O$3:O$29,""))</f>
        <v>14.1</v>
      </c>
      <c r="P31">
        <f t="array" ref="P31">MEDIAN(IF($C$3:$C$29=$C31,P$3:P$29,""))</f>
        <v>14.850000000000001</v>
      </c>
      <c r="Q31">
        <f t="array" ref="Q31">MEDIAN(IF($C$3:$C$29=$C31,Q$3:Q$29,""))</f>
        <v>15.45</v>
      </c>
      <c r="R31">
        <f t="array" ref="R31">MEDIAN(IF($C$3:$C$29=$C31,R$3:R$29,""))</f>
        <v>16.649999999999999</v>
      </c>
      <c r="S31">
        <f t="array" ref="S31">MEDIAN(IF($C$3:$C$29=$C31,S$3:S$29,""))</f>
        <v>14.3</v>
      </c>
      <c r="T31">
        <f t="array" ref="T31">MEDIAN(IF($C$3:$C$29=$C31,T$3:T$29,""))</f>
        <v>16.600000000000001</v>
      </c>
      <c r="U31">
        <f t="array" ref="U31">MEDIAN(IF($C$3:$C$29=$C31,U$3:U$29,""))</f>
        <v>15.649999999999999</v>
      </c>
      <c r="V31">
        <f t="array" ref="V31">MEDIAN(IF($C$3:$C$29=$C31,V$3:V$29,""))</f>
        <v>15.95</v>
      </c>
      <c r="W31">
        <f t="array" ref="W31">MEDIAN(IF($C$3:$C$29=$C31,W$3:W$29,""))</f>
        <v>15.55</v>
      </c>
      <c r="X31">
        <f t="array" ref="X31">MEDIAN(IF($C$3:$C$29=$C31,X$3:X$29,""))</f>
        <v>15.649999999999999</v>
      </c>
      <c r="Y31">
        <f t="array" ref="Y31">MEDIAN(IF($C$3:$C$29=$C31,Y$3:Y$29,""))</f>
        <v>18.649999999999999</v>
      </c>
      <c r="Z31">
        <f t="array" ref="Z31">MEDIAN(IF($C$3:$C$29=$C31,Z$3:Z$29,""))</f>
        <v>19.350000000000001</v>
      </c>
      <c r="AA31">
        <f t="array" ref="AA31">MEDIAN(IF($C$3:$C$29=$C31,AA$3:AA$29,""))</f>
        <v>22.35</v>
      </c>
    </row>
    <row r="32" spans="1:27" x14ac:dyDescent="0.25">
      <c r="C32">
        <v>2</v>
      </c>
      <c r="D32">
        <f t="array" ref="D32">MEDIAN(IF($C$3:$C$29=$C32,D$3:D$29,""))</f>
        <v>22.4</v>
      </c>
      <c r="E32">
        <f t="array" ref="E32">MEDIAN(IF($C$3:$C$29=$C32,E$3:E$29,""))</f>
        <v>0</v>
      </c>
      <c r="F32">
        <f t="array" ref="F32">MEDIAN(IF($C$3:$C$29=$C32,F$3:F$29,""))</f>
        <v>0</v>
      </c>
      <c r="G32">
        <v>26</v>
      </c>
      <c r="H32">
        <f t="array" ref="H32">MEDIAN(IF($C$3:$C$29=$C32,H$3:H$29,""))</f>
        <v>23.549999999999997</v>
      </c>
      <c r="I32">
        <f t="array" ref="I32">MEDIAN(IF($C$3:$C$29=$C32,I$3:I$29,""))</f>
        <v>19.950000000000003</v>
      </c>
      <c r="J32">
        <f t="array" ref="J32">MEDIAN(IF($C$3:$C$29=$C32,J$3:J$29,""))</f>
        <v>17.95</v>
      </c>
      <c r="K32">
        <f t="array" ref="K32">MEDIAN(IF($C$3:$C$29=$C32,K$3:K$29,""))</f>
        <v>15.5</v>
      </c>
      <c r="L32">
        <f t="array" ref="L32">MEDIAN(IF($C$3:$C$29=$C32,L$3:L$29,""))</f>
        <v>13.8</v>
      </c>
      <c r="M32">
        <f t="array" ref="M32">MEDIAN(IF($C$3:$C$29=$C32,M$3:M$29,""))</f>
        <v>11.75</v>
      </c>
      <c r="N32">
        <f t="array" ref="N32">MEDIAN(IF($C$3:$C$29=$C32,N$3:N$29,""))</f>
        <v>11.65</v>
      </c>
      <c r="O32">
        <f t="array" ref="O32">MEDIAN(IF($C$3:$C$29=$C32,O$3:O$29,""))</f>
        <v>11.8</v>
      </c>
      <c r="P32">
        <f t="array" ref="P32">MEDIAN(IF($C$3:$C$29=$C32,P$3:P$29,""))</f>
        <v>11.8</v>
      </c>
      <c r="Q32">
        <f t="array" ref="Q32">MEDIAN(IF($C$3:$C$29=$C32,Q$3:Q$29,""))</f>
        <v>12.3</v>
      </c>
      <c r="R32">
        <f t="array" ref="R32">MEDIAN(IF($C$3:$C$29=$C32,R$3:R$29,""))</f>
        <v>14</v>
      </c>
      <c r="S32">
        <f t="array" ref="S32">MEDIAN(IF($C$3:$C$29=$C32,S$3:S$29,""))</f>
        <v>13.75</v>
      </c>
      <c r="T32">
        <f t="array" ref="T32">MEDIAN(IF($C$3:$C$29=$C32,T$3:T$29,""))</f>
        <v>15.8</v>
      </c>
      <c r="U32">
        <f t="array" ref="U32">MEDIAN(IF($C$3:$C$29=$C32,U$3:U$29,""))</f>
        <v>14.6</v>
      </c>
      <c r="V32">
        <f t="array" ref="V32">MEDIAN(IF($C$3:$C$29=$C32,V$3:V$29,""))</f>
        <v>14.95</v>
      </c>
      <c r="W32">
        <f t="array" ref="W32">MEDIAN(IF($C$3:$C$29=$C32,W$3:W$29,""))</f>
        <v>14.25</v>
      </c>
      <c r="X32">
        <f t="array" ref="X32">MEDIAN(IF($C$3:$C$29=$C32,X$3:X$29,""))</f>
        <v>14.65</v>
      </c>
      <c r="Y32">
        <f t="array" ref="Y32">MEDIAN(IF($C$3:$C$29=$C32,Y$3:Y$29,""))</f>
        <v>15.55</v>
      </c>
      <c r="Z32">
        <f t="array" ref="Z32">MEDIAN(IF($C$3:$C$29=$C32,Z$3:Z$29,""))</f>
        <v>17.200000000000003</v>
      </c>
      <c r="AA32">
        <f t="array" ref="AA32">MEDIAN(IF($C$3:$C$29=$C32,AA$3:AA$29,""))</f>
        <v>19.899999999999999</v>
      </c>
    </row>
    <row r="33" spans="3:27" x14ac:dyDescent="0.25">
      <c r="C33">
        <v>3</v>
      </c>
      <c r="D33">
        <f t="array" ref="D33">MEDIAN(IF($C$3:$C$29=$C33,D$3:D$29,""))</f>
        <v>26.7</v>
      </c>
      <c r="E33">
        <f t="array" ref="E33">MEDIAN(IF($C$3:$C$29=$C33,E$3:E$29,""))</f>
        <v>0</v>
      </c>
      <c r="F33">
        <f t="array" ref="F33">MEDIAN(IF($C$3:$C$29=$C33,F$3:F$29,""))</f>
        <v>0</v>
      </c>
      <c r="G33">
        <v>26</v>
      </c>
      <c r="H33">
        <f t="array" ref="H33">MEDIAN(IF($C$3:$C$29=$C33,H$3:H$29,""))</f>
        <v>23.9</v>
      </c>
      <c r="I33">
        <f t="array" ref="I33">MEDIAN(IF($C$3:$C$29=$C33,I$3:I$29,""))</f>
        <v>18</v>
      </c>
      <c r="J33">
        <f t="array" ref="J33">MEDIAN(IF($C$3:$C$29=$C33,J$3:J$29,""))</f>
        <v>12.9</v>
      </c>
      <c r="K33">
        <f t="array" ref="K33">MEDIAN(IF($C$3:$C$29=$C33,K$3:K$29,""))</f>
        <v>9.3500000000000014</v>
      </c>
      <c r="L33">
        <f t="array" ref="L33">MEDIAN(IF($C$3:$C$29=$C33,L$3:L$29,""))</f>
        <v>10</v>
      </c>
      <c r="M33">
        <f t="array" ref="M33">MEDIAN(IF($C$3:$C$29=$C33,M$3:M$29,""))</f>
        <v>11.3</v>
      </c>
      <c r="N33">
        <f t="array" ref="N33">MEDIAN(IF($C$3:$C$29=$C33,N$3:N$29,""))</f>
        <v>10.899999999999999</v>
      </c>
      <c r="O33">
        <f t="array" ref="O33">MEDIAN(IF($C$3:$C$29=$C33,O$3:O$29,""))</f>
        <v>12.25</v>
      </c>
      <c r="P33">
        <f t="array" ref="P33">MEDIAN(IF($C$3:$C$29=$C33,P$3:P$29,""))</f>
        <v>12.4</v>
      </c>
      <c r="Q33">
        <f t="array" ref="Q33">MEDIAN(IF($C$3:$C$29=$C33,Q$3:Q$29,""))</f>
        <v>11.850000000000001</v>
      </c>
      <c r="R33">
        <f t="array" ref="R33">MEDIAN(IF($C$3:$C$29=$C33,R$3:R$29,""))</f>
        <v>12.35</v>
      </c>
      <c r="S33">
        <f t="array" ref="S33">MEDIAN(IF($C$3:$C$29=$C33,S$3:S$29,""))</f>
        <v>12.45</v>
      </c>
      <c r="T33">
        <f t="array" ref="T33">MEDIAN(IF($C$3:$C$29=$C33,T$3:T$29,""))</f>
        <v>13.600000000000001</v>
      </c>
      <c r="U33">
        <f t="array" ref="U33">MEDIAN(IF($C$3:$C$29=$C33,U$3:U$29,""))</f>
        <v>13.95</v>
      </c>
      <c r="V33">
        <f t="array" ref="V33">MEDIAN(IF($C$3:$C$29=$C33,V$3:V$29,""))</f>
        <v>11.7</v>
      </c>
      <c r="W33">
        <f t="array" ref="W33">MEDIAN(IF($C$3:$C$29=$C33,W$3:W$29,""))</f>
        <v>13.649999999999999</v>
      </c>
      <c r="X33">
        <f t="array" ref="X33">MEDIAN(IF($C$3:$C$29=$C33,X$3:X$29,""))</f>
        <v>16.600000000000001</v>
      </c>
      <c r="Y33">
        <f t="array" ref="Y33">MEDIAN(IF($C$3:$C$29=$C33,Y$3:Y$29,""))</f>
        <v>18.899999999999999</v>
      </c>
      <c r="Z33">
        <f t="array" ref="Z33">MEDIAN(IF($C$3:$C$29=$C33,Z$3:Z$29,""))</f>
        <v>19.200000000000003</v>
      </c>
      <c r="AA33">
        <f t="array" ref="AA33">MEDIAN(IF($C$3:$C$29=$C33,AA$3:AA$29,""))</f>
        <v>22.75</v>
      </c>
    </row>
    <row r="34" spans="3:27" x14ac:dyDescent="0.25">
      <c r="C34">
        <v>4</v>
      </c>
      <c r="D34">
        <f t="array" ref="D34">MEDIAN(IF($C$3:$C$29=$C34,D$3:D$29,""))</f>
        <v>20.8</v>
      </c>
      <c r="E34">
        <f t="array" ref="E34">MEDIAN(IF($C$3:$C$29=$C34,E$3:E$29,""))</f>
        <v>0</v>
      </c>
      <c r="F34">
        <f t="array" ref="F34">MEDIAN(IF($C$3:$C$29=$C34,F$3:F$29,""))</f>
        <v>0</v>
      </c>
      <c r="G34">
        <v>26</v>
      </c>
      <c r="H34">
        <f t="array" ref="H34">MEDIAN(IF($C$3:$C$29=$C34,H$3:H$29,""))</f>
        <v>24.1</v>
      </c>
      <c r="I34">
        <f t="array" ref="I34">MEDIAN(IF($C$3:$C$29=$C34,I$3:I$29,""))</f>
        <v>18.850000000000001</v>
      </c>
      <c r="J34">
        <f t="array" ref="J34">MEDIAN(IF($C$3:$C$29=$C34,J$3:J$29,""))</f>
        <v>12.35</v>
      </c>
      <c r="K34">
        <f t="array" ref="K34">MEDIAN(IF($C$3:$C$29=$C34,K$3:K$29,""))</f>
        <v>8.3000000000000007</v>
      </c>
      <c r="L34">
        <f t="array" ref="L34">MEDIAN(IF($C$3:$C$29=$C34,L$3:L$29,""))</f>
        <v>10.5</v>
      </c>
      <c r="M34">
        <f t="array" ref="M34">MEDIAN(IF($C$3:$C$29=$C34,M$3:M$29,""))</f>
        <v>10.65</v>
      </c>
      <c r="N34">
        <f t="array" ref="N34">MEDIAN(IF($C$3:$C$29=$C34,N$3:N$29,""))</f>
        <v>10.050000000000001</v>
      </c>
      <c r="O34">
        <f t="array" ref="O34">MEDIAN(IF($C$3:$C$29=$C34,O$3:O$29,""))</f>
        <v>12.2</v>
      </c>
      <c r="P34">
        <f t="array" ref="P34">MEDIAN(IF($C$3:$C$29=$C34,P$3:P$29,""))</f>
        <v>13.45</v>
      </c>
      <c r="Q34">
        <f t="array" ref="Q34">MEDIAN(IF($C$3:$C$29=$C34,Q$3:Q$29,""))</f>
        <v>11.1</v>
      </c>
      <c r="R34">
        <f t="array" ref="R34">MEDIAN(IF($C$3:$C$29=$C34,R$3:R$29,""))</f>
        <v>12</v>
      </c>
      <c r="S34">
        <f t="array" ref="S34">MEDIAN(IF($C$3:$C$29=$C34,S$3:S$29,""))</f>
        <v>13.15</v>
      </c>
      <c r="T34">
        <f t="array" ref="T34">MEDIAN(IF($C$3:$C$29=$C34,T$3:T$29,""))</f>
        <v>11.850000000000001</v>
      </c>
      <c r="U34">
        <f t="array" ref="U34">MEDIAN(IF($C$3:$C$29=$C34,U$3:U$29,""))</f>
        <v>10.8</v>
      </c>
      <c r="V34">
        <f t="array" ref="V34">MEDIAN(IF($C$3:$C$29=$C34,V$3:V$29,""))</f>
        <v>11.1</v>
      </c>
      <c r="W34">
        <f t="array" ref="W34">MEDIAN(IF($C$3:$C$29=$C34,W$3:W$29,""))</f>
        <v>13.75</v>
      </c>
      <c r="X34">
        <f t="array" ref="X34">MEDIAN(IF($C$3:$C$29=$C34,X$3:X$29,""))</f>
        <v>16.299999999999997</v>
      </c>
      <c r="Y34">
        <f t="array" ref="Y34">MEDIAN(IF($C$3:$C$29=$C34,Y$3:Y$29,""))</f>
        <v>17.05</v>
      </c>
      <c r="Z34">
        <f t="array" ref="Z34">MEDIAN(IF($C$3:$C$29=$C34,Z$3:Z$29,""))</f>
        <v>17.95</v>
      </c>
      <c r="AA34">
        <f t="array" ref="AA34">MEDIAN(IF($C$3:$C$29=$C34,AA$3:AA$29,""))</f>
        <v>21.5</v>
      </c>
    </row>
    <row r="35" spans="3:27" x14ac:dyDescent="0.25">
      <c r="C35">
        <v>5</v>
      </c>
      <c r="D35">
        <f t="array" ref="D35">MEDIAN(IF($C$3:$C$29=$C35,D$3:D$29,""))</f>
        <v>24.6</v>
      </c>
      <c r="E35">
        <f t="array" ref="E35">MEDIAN(IF($C$3:$C$29=$C35,E$3:E$29,""))</f>
        <v>0</v>
      </c>
      <c r="F35">
        <f t="array" ref="F35">MEDIAN(IF($C$3:$C$29=$C35,F$3:F$29,""))</f>
        <v>0</v>
      </c>
      <c r="G35">
        <v>26</v>
      </c>
      <c r="H35">
        <f t="array" ref="H35">MEDIAN(IF($C$3:$C$29=$C35,H$3:H$29,""))</f>
        <v>27.549999999999997</v>
      </c>
      <c r="I35">
        <f t="array" ref="I35">MEDIAN(IF($C$3:$C$29=$C35,I$3:I$29,""))</f>
        <v>19.25</v>
      </c>
      <c r="J35">
        <f t="array" ref="J35">MEDIAN(IF($C$3:$C$29=$C35,J$3:J$29,""))</f>
        <v>12</v>
      </c>
      <c r="K35">
        <f t="array" ref="K35">MEDIAN(IF($C$3:$C$29=$C35,K$3:K$29,""))</f>
        <v>8.65</v>
      </c>
      <c r="L35">
        <f t="array" ref="L35">MEDIAN(IF($C$3:$C$29=$C35,L$3:L$29,""))</f>
        <v>9.1</v>
      </c>
      <c r="M35">
        <f t="array" ref="M35">MEDIAN(IF($C$3:$C$29=$C35,M$3:M$29,""))</f>
        <v>10.85</v>
      </c>
      <c r="N35">
        <f t="array" ref="N35">MEDIAN(IF($C$3:$C$29=$C35,N$3:N$29,""))</f>
        <v>7.85</v>
      </c>
      <c r="O35">
        <f t="array" ref="O35">MEDIAN(IF($C$3:$C$29=$C35,O$3:O$29,""))</f>
        <v>11.899999999999999</v>
      </c>
      <c r="P35">
        <f t="array" ref="P35">MEDIAN(IF($C$3:$C$29=$C35,P$3:P$29,""))</f>
        <v>12</v>
      </c>
      <c r="Q35">
        <f t="array" ref="Q35">MEDIAN(IF($C$3:$C$29=$C35,Q$3:Q$29,""))</f>
        <v>11.15</v>
      </c>
      <c r="R35">
        <f t="array" ref="R35">MEDIAN(IF($C$3:$C$29=$C35,R$3:R$29,""))</f>
        <v>11.15</v>
      </c>
      <c r="S35">
        <f t="array" ref="S35">MEDIAN(IF($C$3:$C$29=$C35,S$3:S$29,""))</f>
        <v>11.55</v>
      </c>
      <c r="T35">
        <f t="array" ref="T35">MEDIAN(IF($C$3:$C$29=$C35,T$3:T$29,""))</f>
        <v>11.149999999999999</v>
      </c>
      <c r="U35">
        <f t="array" ref="U35">MEDIAN(IF($C$3:$C$29=$C35,U$3:U$29,""))</f>
        <v>12.2</v>
      </c>
      <c r="V35">
        <f t="array" ref="V35">MEDIAN(IF($C$3:$C$29=$C35,V$3:V$29,""))</f>
        <v>12.05</v>
      </c>
      <c r="W35">
        <f t="array" ref="W35">MEDIAN(IF($C$3:$C$29=$C35,W$3:W$29,""))</f>
        <v>13.9</v>
      </c>
      <c r="X35">
        <f t="array" ref="X35">MEDIAN(IF($C$3:$C$29=$C35,X$3:X$29,""))</f>
        <v>14.7</v>
      </c>
      <c r="Y35">
        <f t="array" ref="Y35">MEDIAN(IF($C$3:$C$29=$C35,Y$3:Y$29,""))</f>
        <v>17.700000000000003</v>
      </c>
      <c r="Z35">
        <f t="array" ref="Z35">MEDIAN(IF($C$3:$C$29=$C35,Z$3:Z$29,""))</f>
        <v>17.75</v>
      </c>
      <c r="AA35">
        <f t="array" ref="AA35">MEDIAN(IF($C$3:$C$29=$C35,AA$3:AA$29,""))</f>
        <v>19.75</v>
      </c>
    </row>
    <row r="36" spans="3:27" x14ac:dyDescent="0.25">
      <c r="C36">
        <v>6</v>
      </c>
      <c r="D36">
        <f t="array" ref="D36">MEDIAN(IF($C$3:$C$29=$C36,D$3:D$29,""))</f>
        <v>22.3</v>
      </c>
      <c r="E36">
        <f t="array" ref="E36">MEDIAN(IF($C$3:$C$29=$C36,E$3:E$29,""))</f>
        <v>0</v>
      </c>
      <c r="F36">
        <f t="array" ref="F36">MEDIAN(IF($C$3:$C$29=$C36,F$3:F$29,""))</f>
        <v>0</v>
      </c>
      <c r="G36">
        <v>26</v>
      </c>
      <c r="H36">
        <f t="array" ref="H36">MEDIAN(IF($C$3:$C$29=$C36,H$3:H$29,""))</f>
        <v>21</v>
      </c>
      <c r="I36">
        <f t="array" ref="I36">MEDIAN(IF($C$3:$C$29=$C36,I$3:I$29,""))</f>
        <v>18</v>
      </c>
      <c r="J36">
        <f t="array" ref="J36">MEDIAN(IF($C$3:$C$29=$C36,J$3:J$29,""))</f>
        <v>11</v>
      </c>
      <c r="K36">
        <f t="array" ref="K36">MEDIAN(IF($C$3:$C$29=$C36,K$3:K$29,""))</f>
        <v>9</v>
      </c>
      <c r="L36">
        <f t="array" ref="L36">MEDIAN(IF($C$3:$C$29=$C36,L$3:L$29,""))</f>
        <v>10.1</v>
      </c>
      <c r="M36">
        <f t="array" ref="M36">MEDIAN(IF($C$3:$C$29=$C36,M$3:M$29,""))</f>
        <v>9.5</v>
      </c>
      <c r="N36">
        <f t="array" ref="N36">MEDIAN(IF($C$3:$C$29=$C36,N$3:N$29,""))</f>
        <v>10.199999999999999</v>
      </c>
      <c r="O36">
        <f t="array" ref="O36">MEDIAN(IF($C$3:$C$29=$C36,O$3:O$29,""))</f>
        <v>13</v>
      </c>
      <c r="P36">
        <f t="array" ref="P36">MEDIAN(IF($C$3:$C$29=$C36,P$3:P$29,""))</f>
        <v>10.3</v>
      </c>
      <c r="Q36">
        <f t="array" ref="Q36">MEDIAN(IF($C$3:$C$29=$C36,Q$3:Q$29,""))</f>
        <v>11.6</v>
      </c>
      <c r="R36">
        <f t="array" ref="R36">MEDIAN(IF($C$3:$C$29=$C36,R$3:R$29,""))</f>
        <v>12.3</v>
      </c>
      <c r="S36">
        <f t="array" ref="S36">MEDIAN(IF($C$3:$C$29=$C36,S$3:S$29,""))</f>
        <v>14.5</v>
      </c>
      <c r="T36">
        <f t="array" ref="T36">MEDIAN(IF($C$3:$C$29=$C36,T$3:T$29,""))</f>
        <v>12.1</v>
      </c>
      <c r="U36">
        <f t="array" ref="U36">MEDIAN(IF($C$3:$C$29=$C36,U$3:U$29,""))</f>
        <v>12</v>
      </c>
      <c r="V36">
        <f t="array" ref="V36">MEDIAN(IF($C$3:$C$29=$C36,V$3:V$29,""))</f>
        <v>13</v>
      </c>
      <c r="W36">
        <f t="array" ref="W36">MEDIAN(IF($C$3:$C$29=$C36,W$3:W$29,""))</f>
        <v>14.7</v>
      </c>
      <c r="X36">
        <f t="array" ref="X36">MEDIAN(IF($C$3:$C$29=$C36,X$3:X$29,""))</f>
        <v>14.9</v>
      </c>
      <c r="Y36">
        <f t="array" ref="Y36">MEDIAN(IF($C$3:$C$29=$C36,Y$3:Y$29,""))</f>
        <v>17.3</v>
      </c>
      <c r="Z36">
        <f t="array" ref="Z36">MEDIAN(IF($C$3:$C$29=$C36,Z$3:Z$29,""))</f>
        <v>18.5</v>
      </c>
      <c r="AA36">
        <f t="array" ref="AA36">MEDIAN(IF($C$3:$C$29=$C36,AA$3:AA$29,""))</f>
        <v>19.100000000000001</v>
      </c>
    </row>
    <row r="37" spans="3:27" x14ac:dyDescent="0.25">
      <c r="C37">
        <v>7</v>
      </c>
      <c r="D37">
        <f t="array" ref="D37">MEDIAN(IF($C$3:$C$29=$C37,D$3:D$29,""))</f>
        <v>22.9</v>
      </c>
      <c r="E37">
        <f t="array" ref="E37">MEDIAN(IF($C$3:$C$29=$C37,E$3:E$29,""))</f>
        <v>0</v>
      </c>
      <c r="F37">
        <f t="array" ref="F37">MEDIAN(IF($C$3:$C$29=$C37,F$3:F$29,""))</f>
        <v>0</v>
      </c>
      <c r="G37">
        <v>26</v>
      </c>
      <c r="H37">
        <f t="array" ref="H37">MEDIAN(IF($C$3:$C$29=$C37,H$3:H$29,""))</f>
        <v>22.1</v>
      </c>
      <c r="I37">
        <f t="array" ref="I37">MEDIAN(IF($C$3:$C$29=$C37,I$3:I$29,""))</f>
        <v>17.850000000000001</v>
      </c>
      <c r="J37">
        <f t="array" ref="J37">MEDIAN(IF($C$3:$C$29=$C37,J$3:J$29,""))</f>
        <v>12.899999999999999</v>
      </c>
      <c r="K37">
        <f t="array" ref="K37">MEDIAN(IF($C$3:$C$29=$C37,K$3:K$29,""))</f>
        <v>9.9499999999999993</v>
      </c>
      <c r="L37">
        <f t="array" ref="L37">MEDIAN(IF($C$3:$C$29=$C37,L$3:L$29,""))</f>
        <v>9.9499999999999993</v>
      </c>
      <c r="M37">
        <f t="array" ref="M37">MEDIAN(IF($C$3:$C$29=$C37,M$3:M$29,""))</f>
        <v>9.9499999999999993</v>
      </c>
      <c r="N37">
        <f t="array" ref="N37">MEDIAN(IF($C$3:$C$29=$C37,N$3:N$29,""))</f>
        <v>11.05</v>
      </c>
      <c r="O37">
        <f t="array" ref="O37">MEDIAN(IF($C$3:$C$29=$C37,O$3:O$29,""))</f>
        <v>11.9</v>
      </c>
      <c r="P37">
        <f t="array" ref="P37">MEDIAN(IF($C$3:$C$29=$C37,P$3:P$29,""))</f>
        <v>10.35</v>
      </c>
      <c r="Q37">
        <f t="array" ref="Q37">MEDIAN(IF($C$3:$C$29=$C37,Q$3:Q$29,""))</f>
        <v>12.2</v>
      </c>
      <c r="R37">
        <f t="array" ref="R37">MEDIAN(IF($C$3:$C$29=$C37,R$3:R$29,""))</f>
        <v>13.350000000000001</v>
      </c>
      <c r="S37">
        <f t="array" ref="S37">MEDIAN(IF($C$3:$C$29=$C37,S$3:S$29,""))</f>
        <v>12.05</v>
      </c>
      <c r="T37">
        <f t="array" ref="T37">MEDIAN(IF($C$3:$C$29=$C37,T$3:T$29,""))</f>
        <v>12.2</v>
      </c>
      <c r="U37">
        <f t="array" ref="U37">MEDIAN(IF($C$3:$C$29=$C37,U$3:U$29,""))</f>
        <v>12.05</v>
      </c>
      <c r="V37">
        <f t="array" ref="V37">MEDIAN(IF($C$3:$C$29=$C37,V$3:V$29,""))</f>
        <v>12.2</v>
      </c>
      <c r="W37">
        <f t="array" ref="W37">MEDIAN(IF($C$3:$C$29=$C37,W$3:W$29,""))</f>
        <v>13.149999999999999</v>
      </c>
      <c r="X37">
        <f t="array" ref="X37">MEDIAN(IF($C$3:$C$29=$C37,X$3:X$29,""))</f>
        <v>15.2</v>
      </c>
      <c r="Y37">
        <f t="array" ref="Y37">MEDIAN(IF($C$3:$C$29=$C37,Y$3:Y$29,""))</f>
        <v>17.8</v>
      </c>
      <c r="Z37">
        <f t="array" ref="Z37">MEDIAN(IF($C$3:$C$29=$C37,Z$3:Z$29,""))</f>
        <v>18.5</v>
      </c>
      <c r="AA37">
        <f t="array" ref="AA37">MEDIAN(IF($C$3:$C$29=$C37,AA$3:AA$29,""))</f>
        <v>17.399999999999999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1"/>
  <dimension ref="A1:AA37"/>
  <sheetViews>
    <sheetView workbookViewId="0">
      <selection activeCell="G31" sqref="G31:G37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24.4</v>
      </c>
      <c r="H3">
        <v>23</v>
      </c>
      <c r="I3">
        <v>17.100000000000001</v>
      </c>
      <c r="J3">
        <v>11.6</v>
      </c>
      <c r="K3">
        <v>5.6</v>
      </c>
      <c r="L3">
        <v>5</v>
      </c>
      <c r="M3">
        <v>6.3</v>
      </c>
      <c r="N3">
        <v>9.6999999999999993</v>
      </c>
      <c r="O3">
        <v>11.4</v>
      </c>
      <c r="P3">
        <v>12.8</v>
      </c>
      <c r="Q3">
        <v>8</v>
      </c>
      <c r="R3">
        <v>11.3</v>
      </c>
      <c r="S3">
        <v>9.1</v>
      </c>
      <c r="T3">
        <v>11</v>
      </c>
      <c r="U3">
        <v>13</v>
      </c>
      <c r="V3">
        <v>10.1</v>
      </c>
      <c r="W3">
        <v>16.100000000000001</v>
      </c>
      <c r="X3">
        <v>13.6</v>
      </c>
      <c r="Y3">
        <v>17.399999999999999</v>
      </c>
      <c r="Z3">
        <v>17.5</v>
      </c>
      <c r="AA3">
        <v>16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26.8</v>
      </c>
      <c r="H4">
        <v>25.6</v>
      </c>
      <c r="I4">
        <v>16.899999999999999</v>
      </c>
      <c r="J4">
        <v>18.7</v>
      </c>
      <c r="K4">
        <v>16.3</v>
      </c>
      <c r="L4">
        <v>12.7</v>
      </c>
      <c r="M4">
        <v>10.8</v>
      </c>
      <c r="N4">
        <v>8.8000000000000007</v>
      </c>
      <c r="O4">
        <v>9.6</v>
      </c>
      <c r="P4">
        <v>11.6</v>
      </c>
      <c r="Q4">
        <v>11.3</v>
      </c>
      <c r="R4">
        <v>14.9</v>
      </c>
      <c r="S4">
        <v>14.4</v>
      </c>
      <c r="T4">
        <v>14.2</v>
      </c>
      <c r="U4">
        <v>13.4</v>
      </c>
      <c r="V4">
        <v>16.3</v>
      </c>
      <c r="W4">
        <v>14.9</v>
      </c>
      <c r="X4">
        <v>12.9</v>
      </c>
      <c r="Y4">
        <v>21.4</v>
      </c>
      <c r="Z4">
        <v>14.5</v>
      </c>
      <c r="AA4">
        <v>19.5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24.2</v>
      </c>
      <c r="E5">
        <v>45.7</v>
      </c>
      <c r="H5">
        <v>36.200000000000003</v>
      </c>
      <c r="I5">
        <v>22.1</v>
      </c>
      <c r="J5">
        <v>19.100000000000001</v>
      </c>
      <c r="K5">
        <v>17</v>
      </c>
      <c r="L5">
        <v>18.600000000000001</v>
      </c>
      <c r="M5">
        <v>17.399999999999999</v>
      </c>
      <c r="N5">
        <v>14.6</v>
      </c>
      <c r="O5">
        <v>14.7</v>
      </c>
      <c r="P5">
        <v>16</v>
      </c>
      <c r="Q5">
        <v>15.1</v>
      </c>
      <c r="R5">
        <v>17.899999999999999</v>
      </c>
      <c r="S5">
        <v>12.7</v>
      </c>
      <c r="T5">
        <v>16.600000000000001</v>
      </c>
      <c r="U5">
        <v>14.6</v>
      </c>
      <c r="V5">
        <v>15.9</v>
      </c>
      <c r="W5">
        <v>11.5</v>
      </c>
      <c r="X5">
        <v>15</v>
      </c>
      <c r="Y5">
        <v>19.399999999999999</v>
      </c>
      <c r="Z5">
        <v>18</v>
      </c>
      <c r="AA5">
        <v>18.8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20.100000000000001</v>
      </c>
      <c r="H6">
        <v>24</v>
      </c>
      <c r="I6">
        <v>20</v>
      </c>
      <c r="J6">
        <v>11.7</v>
      </c>
      <c r="K6">
        <v>8.1</v>
      </c>
      <c r="L6">
        <v>11.2</v>
      </c>
      <c r="M6">
        <v>6.7</v>
      </c>
      <c r="N6">
        <v>9.1999999999999993</v>
      </c>
      <c r="O6">
        <v>10.9</v>
      </c>
      <c r="P6">
        <v>12.8</v>
      </c>
      <c r="Q6">
        <v>10.9</v>
      </c>
      <c r="R6">
        <v>14.1</v>
      </c>
      <c r="S6">
        <v>14.2</v>
      </c>
      <c r="T6">
        <v>13.1</v>
      </c>
      <c r="U6">
        <v>15.3</v>
      </c>
      <c r="V6">
        <v>12.3</v>
      </c>
      <c r="W6">
        <v>14.3</v>
      </c>
      <c r="X6">
        <v>15.4</v>
      </c>
      <c r="Y6">
        <v>19.8</v>
      </c>
      <c r="Z6">
        <v>19.899999999999999</v>
      </c>
      <c r="AA6">
        <v>19.100000000000001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20.3</v>
      </c>
      <c r="H7">
        <v>28.5</v>
      </c>
      <c r="I7">
        <v>22.2</v>
      </c>
      <c r="J7">
        <v>12.1</v>
      </c>
      <c r="K7">
        <v>6.2</v>
      </c>
      <c r="L7">
        <v>6.5</v>
      </c>
      <c r="M7">
        <v>5.8</v>
      </c>
      <c r="N7">
        <v>8.8000000000000007</v>
      </c>
      <c r="O7">
        <v>11</v>
      </c>
      <c r="P7">
        <v>12.1</v>
      </c>
      <c r="Q7">
        <v>13.5</v>
      </c>
      <c r="R7">
        <v>11.7</v>
      </c>
      <c r="S7">
        <v>11.8</v>
      </c>
      <c r="T7">
        <v>13.9</v>
      </c>
      <c r="U7">
        <v>14.1</v>
      </c>
      <c r="V7">
        <v>13.4</v>
      </c>
      <c r="W7">
        <v>14.5</v>
      </c>
      <c r="X7">
        <v>18.899999999999999</v>
      </c>
      <c r="Y7">
        <v>19.899999999999999</v>
      </c>
      <c r="Z7">
        <v>17.2</v>
      </c>
      <c r="AA7">
        <v>23.2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23.1</v>
      </c>
      <c r="H8">
        <v>31.8</v>
      </c>
      <c r="I8">
        <v>18.7</v>
      </c>
      <c r="J8">
        <v>11.9</v>
      </c>
      <c r="K8">
        <v>6.4</v>
      </c>
      <c r="L8">
        <v>6.9</v>
      </c>
      <c r="M8">
        <v>8.4</v>
      </c>
      <c r="N8">
        <v>4.3</v>
      </c>
      <c r="O8">
        <v>5.3</v>
      </c>
      <c r="P8">
        <v>12.9</v>
      </c>
      <c r="Q8">
        <v>11.5</v>
      </c>
      <c r="R8">
        <v>12.1</v>
      </c>
      <c r="S8">
        <v>13.9</v>
      </c>
      <c r="T8">
        <v>10</v>
      </c>
      <c r="U8">
        <v>9.8000000000000007</v>
      </c>
      <c r="V8">
        <v>13.3</v>
      </c>
      <c r="W8">
        <v>13.7</v>
      </c>
      <c r="X8">
        <v>13.8</v>
      </c>
      <c r="Y8">
        <v>19.8</v>
      </c>
      <c r="Z8">
        <v>19.399999999999999</v>
      </c>
      <c r="AA8">
        <v>16.100000000000001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29.2</v>
      </c>
      <c r="H9">
        <v>27.6</v>
      </c>
      <c r="I9">
        <v>17.600000000000001</v>
      </c>
      <c r="J9">
        <v>11.2</v>
      </c>
      <c r="K9">
        <v>4.5</v>
      </c>
      <c r="L9">
        <v>9.5</v>
      </c>
      <c r="M9">
        <v>10.3</v>
      </c>
      <c r="N9">
        <v>10.5</v>
      </c>
      <c r="O9">
        <v>9</v>
      </c>
      <c r="P9">
        <v>8.6999999999999993</v>
      </c>
      <c r="Q9">
        <v>11.7</v>
      </c>
      <c r="R9">
        <v>10.7</v>
      </c>
      <c r="S9">
        <v>12</v>
      </c>
      <c r="T9">
        <v>11.1</v>
      </c>
      <c r="U9">
        <v>11.4</v>
      </c>
      <c r="V9">
        <v>12.4</v>
      </c>
      <c r="W9">
        <v>18.2</v>
      </c>
      <c r="X9">
        <v>16.3</v>
      </c>
      <c r="Y9">
        <v>18.3</v>
      </c>
      <c r="Z9">
        <v>17.5</v>
      </c>
      <c r="AA9">
        <v>19.100000000000001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21.1</v>
      </c>
      <c r="H10">
        <v>19.3</v>
      </c>
      <c r="I10">
        <v>17.600000000000001</v>
      </c>
      <c r="J10">
        <v>11.5</v>
      </c>
      <c r="K10">
        <v>9.6</v>
      </c>
      <c r="L10">
        <v>7</v>
      </c>
      <c r="M10">
        <v>7.3</v>
      </c>
      <c r="N10">
        <v>11.4</v>
      </c>
      <c r="O10">
        <v>11.3</v>
      </c>
      <c r="P10">
        <v>10.5</v>
      </c>
      <c r="Q10">
        <v>12.9</v>
      </c>
      <c r="R10">
        <v>13.5</v>
      </c>
      <c r="S10">
        <v>10</v>
      </c>
      <c r="T10">
        <v>12.5</v>
      </c>
      <c r="U10">
        <v>12.2</v>
      </c>
      <c r="V10">
        <v>12.3</v>
      </c>
      <c r="W10">
        <v>10.5</v>
      </c>
      <c r="X10">
        <v>16</v>
      </c>
      <c r="Y10">
        <v>17.3</v>
      </c>
      <c r="Z10">
        <v>18</v>
      </c>
      <c r="AA10">
        <v>21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23</v>
      </c>
      <c r="H11">
        <v>26.9</v>
      </c>
      <c r="I11">
        <v>20.6</v>
      </c>
      <c r="J11">
        <v>19.899999999999999</v>
      </c>
      <c r="K11">
        <v>12.8</v>
      </c>
      <c r="L11">
        <v>13.2</v>
      </c>
      <c r="M11">
        <v>15.1</v>
      </c>
      <c r="N11">
        <v>12</v>
      </c>
      <c r="O11">
        <v>10.5</v>
      </c>
      <c r="P11">
        <v>7.6</v>
      </c>
      <c r="Q11">
        <v>8.1999999999999993</v>
      </c>
      <c r="R11">
        <v>11.4</v>
      </c>
      <c r="S11">
        <v>12</v>
      </c>
      <c r="T11">
        <v>16.100000000000001</v>
      </c>
      <c r="U11">
        <v>13.4</v>
      </c>
      <c r="V11">
        <v>13.3</v>
      </c>
      <c r="W11">
        <v>16.399999999999999</v>
      </c>
      <c r="X11">
        <v>13.2</v>
      </c>
      <c r="Y11">
        <v>19.5</v>
      </c>
      <c r="Z11">
        <v>17.100000000000001</v>
      </c>
      <c r="AA11">
        <v>18.600000000000001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29.3</v>
      </c>
      <c r="E12">
        <v>17.7</v>
      </c>
      <c r="H12">
        <v>22.6</v>
      </c>
      <c r="I12">
        <v>18.3</v>
      </c>
      <c r="J12">
        <v>20.399999999999999</v>
      </c>
      <c r="K12">
        <v>20.100000000000001</v>
      </c>
      <c r="L12">
        <v>18.3</v>
      </c>
      <c r="M12">
        <v>15.2</v>
      </c>
      <c r="N12">
        <v>15.1</v>
      </c>
      <c r="O12">
        <v>12.6</v>
      </c>
      <c r="P12">
        <v>13</v>
      </c>
      <c r="Q12">
        <v>15.2</v>
      </c>
      <c r="R12">
        <v>18.100000000000001</v>
      </c>
      <c r="S12">
        <v>14.6</v>
      </c>
      <c r="T12">
        <v>19</v>
      </c>
      <c r="U12">
        <v>11.5</v>
      </c>
      <c r="V12">
        <v>17.8</v>
      </c>
      <c r="W12">
        <v>15.2</v>
      </c>
      <c r="X12">
        <v>24.1</v>
      </c>
      <c r="Y12">
        <v>16.2</v>
      </c>
      <c r="Z12">
        <v>15.9</v>
      </c>
      <c r="AA12">
        <v>25.2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29.5</v>
      </c>
      <c r="H13">
        <v>27</v>
      </c>
      <c r="I13">
        <v>17.399999999999999</v>
      </c>
      <c r="J13">
        <v>10.6</v>
      </c>
      <c r="K13">
        <v>7.4</v>
      </c>
      <c r="L13">
        <v>5.2</v>
      </c>
      <c r="M13">
        <v>8.6</v>
      </c>
      <c r="N13">
        <v>7.6</v>
      </c>
      <c r="O13">
        <v>14.7</v>
      </c>
      <c r="P13">
        <v>9.6999999999999993</v>
      </c>
      <c r="Q13">
        <v>7.2</v>
      </c>
      <c r="R13">
        <v>9.9</v>
      </c>
      <c r="S13">
        <v>10.7</v>
      </c>
      <c r="T13">
        <v>16</v>
      </c>
      <c r="U13">
        <v>13.1</v>
      </c>
      <c r="V13">
        <v>10.199999999999999</v>
      </c>
      <c r="W13">
        <v>14.2</v>
      </c>
      <c r="X13">
        <v>16.899999999999999</v>
      </c>
      <c r="Y13">
        <v>13</v>
      </c>
      <c r="Z13">
        <v>18.399999999999999</v>
      </c>
      <c r="AA13">
        <v>19.8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19.899999999999999</v>
      </c>
      <c r="H14">
        <v>14.3</v>
      </c>
      <c r="I14">
        <v>15.9</v>
      </c>
      <c r="J14">
        <v>12.4</v>
      </c>
      <c r="K14">
        <v>4.9000000000000004</v>
      </c>
      <c r="L14">
        <v>8.4</v>
      </c>
      <c r="M14">
        <v>10.1</v>
      </c>
      <c r="N14">
        <v>9.1999999999999993</v>
      </c>
      <c r="O14">
        <v>9.4</v>
      </c>
      <c r="P14">
        <v>9.3000000000000007</v>
      </c>
      <c r="Q14">
        <v>14.5</v>
      </c>
      <c r="R14">
        <v>10.8</v>
      </c>
      <c r="S14">
        <v>9.9</v>
      </c>
      <c r="T14">
        <v>7.1</v>
      </c>
      <c r="U14">
        <v>5.6</v>
      </c>
      <c r="V14">
        <v>6.6</v>
      </c>
      <c r="W14">
        <v>7.4</v>
      </c>
      <c r="X14">
        <v>18.2</v>
      </c>
      <c r="Y14">
        <v>17.3</v>
      </c>
      <c r="Z14">
        <v>20.2</v>
      </c>
      <c r="AA14">
        <v>22.2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27.6</v>
      </c>
      <c r="H15">
        <v>27.6</v>
      </c>
      <c r="I15">
        <v>21.3</v>
      </c>
      <c r="J15">
        <v>16</v>
      </c>
      <c r="K15">
        <v>4.4000000000000004</v>
      </c>
      <c r="L15">
        <v>8.1</v>
      </c>
      <c r="M15">
        <v>7.8</v>
      </c>
      <c r="N15">
        <v>10.5</v>
      </c>
      <c r="O15">
        <v>8.8000000000000007</v>
      </c>
      <c r="P15">
        <v>8.3000000000000007</v>
      </c>
      <c r="Q15">
        <v>7.7</v>
      </c>
      <c r="R15">
        <v>8.3000000000000007</v>
      </c>
      <c r="S15">
        <v>9.6999999999999993</v>
      </c>
      <c r="T15">
        <v>6.5</v>
      </c>
      <c r="U15">
        <v>6.5</v>
      </c>
      <c r="V15">
        <v>11.3</v>
      </c>
      <c r="W15">
        <v>14.7</v>
      </c>
      <c r="X15">
        <v>14.1</v>
      </c>
      <c r="Y15">
        <v>17.3</v>
      </c>
      <c r="Z15">
        <v>18.399999999999999</v>
      </c>
      <c r="AA15">
        <v>17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19.600000000000001</v>
      </c>
      <c r="H16">
        <v>21.3</v>
      </c>
      <c r="I16">
        <v>18.5</v>
      </c>
      <c r="J16">
        <v>8.6999999999999993</v>
      </c>
      <c r="K16">
        <v>6.4</v>
      </c>
      <c r="L16">
        <v>5.4</v>
      </c>
      <c r="M16">
        <v>5</v>
      </c>
      <c r="N16">
        <v>8.5</v>
      </c>
      <c r="O16">
        <v>12.8</v>
      </c>
      <c r="P16">
        <v>6.7</v>
      </c>
      <c r="Q16">
        <v>10.3</v>
      </c>
      <c r="R16">
        <v>9.8000000000000007</v>
      </c>
      <c r="S16">
        <v>10.5</v>
      </c>
      <c r="T16">
        <v>8.5</v>
      </c>
      <c r="U16">
        <v>10.1</v>
      </c>
      <c r="V16">
        <v>8.5</v>
      </c>
      <c r="W16">
        <v>14.7</v>
      </c>
      <c r="X16">
        <v>15.2</v>
      </c>
      <c r="Y16">
        <v>17.100000000000001</v>
      </c>
      <c r="Z16">
        <v>17</v>
      </c>
      <c r="AA16">
        <v>17.100000000000001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23</v>
      </c>
      <c r="H17">
        <v>26.3</v>
      </c>
      <c r="I17">
        <v>18.5</v>
      </c>
      <c r="J17">
        <v>12.1</v>
      </c>
      <c r="K17">
        <v>9.1</v>
      </c>
      <c r="L17">
        <v>6.1</v>
      </c>
      <c r="M17">
        <v>8.8000000000000007</v>
      </c>
      <c r="N17">
        <v>7.8</v>
      </c>
      <c r="O17">
        <v>9.5</v>
      </c>
      <c r="P17">
        <v>8.5</v>
      </c>
      <c r="Q17">
        <v>8.9</v>
      </c>
      <c r="R17">
        <v>9</v>
      </c>
      <c r="S17">
        <v>10.7</v>
      </c>
      <c r="T17">
        <v>10.5</v>
      </c>
      <c r="U17">
        <v>9</v>
      </c>
      <c r="V17">
        <v>8.5</v>
      </c>
      <c r="W17">
        <v>8.9</v>
      </c>
      <c r="X17">
        <v>8.3000000000000007</v>
      </c>
      <c r="Y17">
        <v>14.9</v>
      </c>
      <c r="Z17">
        <v>16.3</v>
      </c>
      <c r="AA17">
        <v>16.2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18.600000000000001</v>
      </c>
      <c r="H18">
        <v>30.8</v>
      </c>
      <c r="I18">
        <v>24.1</v>
      </c>
      <c r="J18">
        <v>16</v>
      </c>
      <c r="K18">
        <v>18.100000000000001</v>
      </c>
      <c r="L18">
        <v>11.4</v>
      </c>
      <c r="M18">
        <v>10.4</v>
      </c>
      <c r="N18">
        <v>11.1</v>
      </c>
      <c r="O18">
        <v>5.0999999999999996</v>
      </c>
      <c r="P18">
        <v>5.7</v>
      </c>
      <c r="Q18">
        <v>10.1</v>
      </c>
      <c r="R18">
        <v>13.1</v>
      </c>
      <c r="S18">
        <v>11.4</v>
      </c>
      <c r="T18">
        <v>15.4</v>
      </c>
      <c r="U18">
        <v>11</v>
      </c>
      <c r="V18">
        <v>15</v>
      </c>
      <c r="W18">
        <v>14.6</v>
      </c>
      <c r="X18">
        <v>12.4</v>
      </c>
      <c r="Y18">
        <v>16.3</v>
      </c>
      <c r="Z18">
        <v>21.6</v>
      </c>
      <c r="AA18">
        <v>24.5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39.5</v>
      </c>
      <c r="H19">
        <v>22.6</v>
      </c>
      <c r="I19">
        <v>25.1</v>
      </c>
      <c r="J19">
        <v>18.399999999999999</v>
      </c>
      <c r="K19">
        <v>21.3</v>
      </c>
      <c r="L19">
        <v>17.100000000000001</v>
      </c>
      <c r="M19">
        <v>17.100000000000001</v>
      </c>
      <c r="N19">
        <v>18.3</v>
      </c>
      <c r="O19">
        <v>14.5</v>
      </c>
      <c r="P19">
        <v>13.3</v>
      </c>
      <c r="Q19">
        <v>14.1</v>
      </c>
      <c r="R19">
        <v>22</v>
      </c>
      <c r="S19">
        <v>13.8</v>
      </c>
      <c r="T19">
        <v>19.3</v>
      </c>
      <c r="U19">
        <v>19.100000000000001</v>
      </c>
      <c r="V19">
        <v>18.3</v>
      </c>
      <c r="W19">
        <v>14.4</v>
      </c>
      <c r="X19">
        <v>20.8</v>
      </c>
      <c r="Y19">
        <v>17.8</v>
      </c>
      <c r="Z19">
        <v>16.3</v>
      </c>
      <c r="AA19">
        <v>17.8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26.9</v>
      </c>
      <c r="H20">
        <v>26.9</v>
      </c>
      <c r="I20">
        <v>18.8</v>
      </c>
      <c r="J20">
        <v>10.3</v>
      </c>
      <c r="K20">
        <v>4.8</v>
      </c>
      <c r="L20">
        <v>6.8</v>
      </c>
      <c r="M20">
        <v>6.3</v>
      </c>
      <c r="N20">
        <v>8.1</v>
      </c>
      <c r="O20">
        <v>11</v>
      </c>
      <c r="P20">
        <v>12.7</v>
      </c>
      <c r="Q20">
        <v>8</v>
      </c>
      <c r="R20">
        <v>8.8000000000000007</v>
      </c>
      <c r="S20">
        <v>10.5</v>
      </c>
      <c r="T20">
        <v>12</v>
      </c>
      <c r="U20">
        <v>8.6</v>
      </c>
      <c r="V20">
        <v>8.1999999999999993</v>
      </c>
      <c r="W20">
        <v>11.7</v>
      </c>
      <c r="X20">
        <v>14.2</v>
      </c>
      <c r="Y20">
        <v>19.5</v>
      </c>
      <c r="Z20">
        <v>19</v>
      </c>
      <c r="AA20">
        <v>18.399999999999999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26.2</v>
      </c>
      <c r="H21">
        <v>25.2</v>
      </c>
      <c r="I21">
        <v>21.6</v>
      </c>
      <c r="J21">
        <v>7.4</v>
      </c>
      <c r="K21">
        <v>5.9</v>
      </c>
      <c r="L21">
        <v>6.5</v>
      </c>
      <c r="M21">
        <v>7.6</v>
      </c>
      <c r="N21">
        <v>9.4</v>
      </c>
      <c r="O21">
        <v>11.7</v>
      </c>
      <c r="P21">
        <v>13.7</v>
      </c>
      <c r="Q21">
        <v>7.9</v>
      </c>
      <c r="R21">
        <v>8.5</v>
      </c>
      <c r="S21">
        <v>12.6</v>
      </c>
      <c r="T21">
        <v>7.7</v>
      </c>
      <c r="U21">
        <v>8.5</v>
      </c>
      <c r="V21">
        <v>11.1</v>
      </c>
      <c r="W21">
        <v>12.4</v>
      </c>
      <c r="X21">
        <v>18.8</v>
      </c>
      <c r="Y21">
        <v>21.9</v>
      </c>
      <c r="Z21">
        <v>15.9</v>
      </c>
      <c r="AA21">
        <v>27.3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22.9</v>
      </c>
      <c r="H22">
        <v>26.2</v>
      </c>
      <c r="I22">
        <v>14.5</v>
      </c>
      <c r="J22">
        <v>10</v>
      </c>
      <c r="K22">
        <v>5.9</v>
      </c>
      <c r="L22">
        <v>5.6</v>
      </c>
      <c r="M22">
        <v>7.8</v>
      </c>
      <c r="N22">
        <v>5.3</v>
      </c>
      <c r="O22">
        <v>8.4</v>
      </c>
      <c r="P22">
        <v>9.8000000000000007</v>
      </c>
      <c r="Q22">
        <v>9.8000000000000007</v>
      </c>
      <c r="R22">
        <v>11.2</v>
      </c>
      <c r="S22">
        <v>7.9</v>
      </c>
      <c r="T22">
        <v>8.3000000000000007</v>
      </c>
      <c r="U22">
        <v>9.6</v>
      </c>
      <c r="V22">
        <v>10.199999999999999</v>
      </c>
      <c r="W22">
        <v>12.8</v>
      </c>
      <c r="X22">
        <v>13.5</v>
      </c>
      <c r="Y22">
        <v>14.2</v>
      </c>
      <c r="Z22">
        <v>16.899999999999999</v>
      </c>
      <c r="AA22">
        <v>20.8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18.899999999999999</v>
      </c>
      <c r="H23">
        <v>14.3</v>
      </c>
      <c r="I23">
        <v>19.100000000000001</v>
      </c>
      <c r="J23">
        <v>5.6</v>
      </c>
      <c r="K23">
        <v>5.4</v>
      </c>
      <c r="L23">
        <v>5.2</v>
      </c>
      <c r="M23">
        <v>6.7</v>
      </c>
      <c r="N23">
        <v>4.7</v>
      </c>
      <c r="O23">
        <v>10.9</v>
      </c>
      <c r="P23">
        <v>4.5</v>
      </c>
      <c r="Q23">
        <v>7.7</v>
      </c>
      <c r="R23">
        <v>11.6</v>
      </c>
      <c r="S23">
        <v>11.2</v>
      </c>
      <c r="T23">
        <v>9.6999999999999993</v>
      </c>
      <c r="U23">
        <v>11</v>
      </c>
      <c r="V23">
        <v>9.8000000000000007</v>
      </c>
      <c r="W23">
        <v>11.1</v>
      </c>
      <c r="X23">
        <v>15.3</v>
      </c>
      <c r="Y23">
        <v>15.3</v>
      </c>
      <c r="Z23">
        <v>15.5</v>
      </c>
      <c r="AA23">
        <v>18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29.9</v>
      </c>
      <c r="H24">
        <v>28.2</v>
      </c>
      <c r="I24">
        <v>21.2</v>
      </c>
      <c r="J24">
        <v>9.6</v>
      </c>
      <c r="K24">
        <v>6.8</v>
      </c>
      <c r="L24">
        <v>8.6</v>
      </c>
      <c r="M24">
        <v>6.6</v>
      </c>
      <c r="N24">
        <v>9.6</v>
      </c>
      <c r="O24">
        <v>8.6</v>
      </c>
      <c r="P24">
        <v>9.6999999999999993</v>
      </c>
      <c r="Q24">
        <v>8.6999999999999993</v>
      </c>
      <c r="R24">
        <v>11.2</v>
      </c>
      <c r="S24">
        <v>9.5</v>
      </c>
      <c r="T24">
        <v>7.8</v>
      </c>
      <c r="U24">
        <v>9.8000000000000007</v>
      </c>
      <c r="V24">
        <v>8.1</v>
      </c>
      <c r="W24">
        <v>8.1</v>
      </c>
      <c r="X24">
        <v>13.3</v>
      </c>
      <c r="Y24">
        <v>16.3</v>
      </c>
      <c r="Z24">
        <v>18.399999999999999</v>
      </c>
      <c r="AA24">
        <v>18.100000000000001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30</v>
      </c>
      <c r="H25">
        <v>28.1</v>
      </c>
      <c r="I25">
        <v>22.7</v>
      </c>
      <c r="J25">
        <v>16.7</v>
      </c>
      <c r="K25">
        <v>9.9</v>
      </c>
      <c r="L25">
        <v>8.1</v>
      </c>
      <c r="M25">
        <v>6.4</v>
      </c>
      <c r="N25">
        <v>7.1</v>
      </c>
      <c r="O25">
        <v>9.3000000000000007</v>
      </c>
      <c r="P25">
        <v>7</v>
      </c>
      <c r="Q25">
        <v>12.6</v>
      </c>
      <c r="R25">
        <v>7.4</v>
      </c>
      <c r="T25">
        <v>14.1</v>
      </c>
      <c r="V25">
        <v>10.5</v>
      </c>
      <c r="Z25">
        <v>15.1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23.2</v>
      </c>
      <c r="E26">
        <v>33.700000000000003</v>
      </c>
      <c r="H26">
        <v>29.3</v>
      </c>
      <c r="I26">
        <v>26.7</v>
      </c>
      <c r="J26">
        <v>21.9</v>
      </c>
      <c r="K26">
        <v>20.100000000000001</v>
      </c>
      <c r="L26">
        <v>15.8</v>
      </c>
      <c r="M26">
        <v>15.7</v>
      </c>
      <c r="N26">
        <v>17.2</v>
      </c>
      <c r="O26">
        <v>13</v>
      </c>
      <c r="P26">
        <v>14</v>
      </c>
      <c r="Q26">
        <v>15.9</v>
      </c>
      <c r="R26">
        <v>12.5</v>
      </c>
      <c r="S26">
        <v>12.7</v>
      </c>
      <c r="T26">
        <v>14</v>
      </c>
      <c r="U26">
        <v>14.7</v>
      </c>
      <c r="V26">
        <v>15.4</v>
      </c>
      <c r="W26">
        <v>18.2</v>
      </c>
      <c r="X26">
        <v>14.4</v>
      </c>
      <c r="Y26">
        <v>16.7</v>
      </c>
      <c r="Z26">
        <v>19.899999999999999</v>
      </c>
      <c r="AA26">
        <v>21.3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27.2</v>
      </c>
      <c r="H27">
        <v>26.3</v>
      </c>
      <c r="I27">
        <v>25.3</v>
      </c>
      <c r="J27">
        <v>6.9</v>
      </c>
      <c r="K27">
        <v>4.5</v>
      </c>
      <c r="L27">
        <v>4.0999999999999996</v>
      </c>
      <c r="M27">
        <v>7.1</v>
      </c>
      <c r="N27">
        <v>8.9</v>
      </c>
      <c r="O27">
        <v>10</v>
      </c>
      <c r="P27">
        <v>8.3000000000000007</v>
      </c>
      <c r="Q27">
        <v>10.8</v>
      </c>
      <c r="R27">
        <v>12.1</v>
      </c>
      <c r="S27">
        <v>10.3</v>
      </c>
      <c r="T27">
        <v>11.6</v>
      </c>
      <c r="U27">
        <v>9.8000000000000007</v>
      </c>
      <c r="V27">
        <v>7.8</v>
      </c>
      <c r="W27">
        <v>14.5</v>
      </c>
      <c r="X27">
        <v>14.5</v>
      </c>
      <c r="Y27">
        <v>17.399999999999999</v>
      </c>
      <c r="Z27">
        <v>19.899999999999999</v>
      </c>
      <c r="AA27">
        <v>20.7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20.6</v>
      </c>
      <c r="H28">
        <v>28.2</v>
      </c>
      <c r="I28">
        <v>18.899999999999999</v>
      </c>
      <c r="J28">
        <v>9.1</v>
      </c>
      <c r="K28">
        <v>4.5</v>
      </c>
      <c r="L28">
        <v>6.1</v>
      </c>
      <c r="M28">
        <v>6.8</v>
      </c>
      <c r="N28">
        <v>8.3000000000000007</v>
      </c>
      <c r="O28">
        <v>9.3000000000000007</v>
      </c>
      <c r="P28">
        <v>6.9</v>
      </c>
      <c r="Q28">
        <v>8.1</v>
      </c>
      <c r="R28">
        <v>11.2</v>
      </c>
      <c r="S28">
        <v>12.2</v>
      </c>
      <c r="T28">
        <v>8.5</v>
      </c>
      <c r="U28">
        <v>7.7</v>
      </c>
      <c r="V28">
        <v>8.1999999999999993</v>
      </c>
      <c r="W28">
        <v>10.5</v>
      </c>
      <c r="X28">
        <v>14.4</v>
      </c>
      <c r="Y28">
        <v>15.8</v>
      </c>
      <c r="Z28">
        <v>24.5</v>
      </c>
      <c r="AA28">
        <v>23.2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29.3</v>
      </c>
      <c r="H29">
        <v>20.8</v>
      </c>
      <c r="I29">
        <v>19</v>
      </c>
      <c r="J29">
        <v>12.2</v>
      </c>
      <c r="K29">
        <v>5.2</v>
      </c>
      <c r="L29">
        <v>6.2</v>
      </c>
      <c r="M29">
        <v>5.5</v>
      </c>
      <c r="N29">
        <v>5.2</v>
      </c>
      <c r="O29">
        <v>9.1</v>
      </c>
      <c r="P29">
        <v>8.1999999999999993</v>
      </c>
      <c r="Q29">
        <v>7.6</v>
      </c>
      <c r="R29">
        <v>8.4</v>
      </c>
      <c r="S29">
        <v>9.1</v>
      </c>
      <c r="T29">
        <v>9.6999999999999993</v>
      </c>
      <c r="U29">
        <v>8.1999999999999993</v>
      </c>
      <c r="V29">
        <v>7.9</v>
      </c>
      <c r="W29">
        <v>13.2</v>
      </c>
      <c r="X29">
        <v>14</v>
      </c>
      <c r="Y29">
        <v>13.2</v>
      </c>
      <c r="Z29">
        <v>17.399999999999999</v>
      </c>
      <c r="AA29">
        <v>23.1</v>
      </c>
    </row>
    <row r="31" spans="1:27" x14ac:dyDescent="0.25">
      <c r="C31">
        <v>1</v>
      </c>
      <c r="D31">
        <f t="array" ref="D31">MEDIAN(IF($C$3:$C$29=$C31,D$3:D$29,""))</f>
        <v>26.75</v>
      </c>
      <c r="E31">
        <f t="array" ref="E31">MEDIAN(IF($C$3:$C$29=$C31,E$3:E$29,""))</f>
        <v>25.700000000000003</v>
      </c>
      <c r="F31">
        <f t="array" ref="F31">MEDIAN(IF($C$3:$C$29=$C31,F$3:F$29,""))</f>
        <v>0</v>
      </c>
      <c r="G31">
        <v>26</v>
      </c>
      <c r="H31">
        <f t="array" ref="H31">MEDIAN(IF($C$3:$C$29=$C31,H$3:H$29,""))</f>
        <v>25.950000000000003</v>
      </c>
      <c r="I31">
        <f t="array" ref="I31">MEDIAN(IF($C$3:$C$29=$C31,I$3:I$29,""))</f>
        <v>23.6</v>
      </c>
      <c r="J31">
        <f t="array" ref="J31">MEDIAN(IF($C$3:$C$29=$C31,J$3:J$29,""))</f>
        <v>19.75</v>
      </c>
      <c r="K31">
        <f t="array" ref="K31">MEDIAN(IF($C$3:$C$29=$C31,K$3:K$29,""))</f>
        <v>20.100000000000001</v>
      </c>
      <c r="L31">
        <f t="array" ref="L31">MEDIAN(IF($C$3:$C$29=$C31,L$3:L$29,""))</f>
        <v>17.700000000000003</v>
      </c>
      <c r="M31">
        <f t="array" ref="M31">MEDIAN(IF($C$3:$C$29=$C31,M$3:M$29,""))</f>
        <v>16.399999999999999</v>
      </c>
      <c r="N31">
        <f t="array" ref="N31">MEDIAN(IF($C$3:$C$29=$C31,N$3:N$29,""))</f>
        <v>16.149999999999999</v>
      </c>
      <c r="O31">
        <f t="array" ref="O31">MEDIAN(IF($C$3:$C$29=$C31,O$3:O$29,""))</f>
        <v>13.75</v>
      </c>
      <c r="P31">
        <f t="array" ref="P31">MEDIAN(IF($C$3:$C$29=$C31,P$3:P$29,""))</f>
        <v>13.65</v>
      </c>
      <c r="Q31">
        <f t="array" ref="Q31">MEDIAN(IF($C$3:$C$29=$C31,Q$3:Q$29,""))</f>
        <v>15.149999999999999</v>
      </c>
      <c r="R31">
        <f t="array" ref="R31">MEDIAN(IF($C$3:$C$29=$C31,R$3:R$29,""))</f>
        <v>18</v>
      </c>
      <c r="S31">
        <f t="array" ref="S31">MEDIAN(IF($C$3:$C$29=$C31,S$3:S$29,""))</f>
        <v>13.25</v>
      </c>
      <c r="T31">
        <f t="array" ref="T31">MEDIAN(IF($C$3:$C$29=$C31,T$3:T$29,""))</f>
        <v>17.8</v>
      </c>
      <c r="U31">
        <f t="array" ref="U31">MEDIAN(IF($C$3:$C$29=$C31,U$3:U$29,""))</f>
        <v>14.649999999999999</v>
      </c>
      <c r="V31">
        <f t="array" ref="V31">MEDIAN(IF($C$3:$C$29=$C31,V$3:V$29,""))</f>
        <v>16.850000000000001</v>
      </c>
      <c r="W31">
        <f t="array" ref="W31">MEDIAN(IF($C$3:$C$29=$C31,W$3:W$29,""))</f>
        <v>14.8</v>
      </c>
      <c r="X31">
        <f t="array" ref="X31">MEDIAN(IF($C$3:$C$29=$C31,X$3:X$29,""))</f>
        <v>17.899999999999999</v>
      </c>
      <c r="Y31">
        <f t="array" ref="Y31">MEDIAN(IF($C$3:$C$29=$C31,Y$3:Y$29,""))</f>
        <v>17.25</v>
      </c>
      <c r="Z31">
        <f t="array" ref="Z31">MEDIAN(IF($C$3:$C$29=$C31,Z$3:Z$29,""))</f>
        <v>17.149999999999999</v>
      </c>
      <c r="AA31">
        <f t="array" ref="AA31">MEDIAN(IF($C$3:$C$29=$C31,AA$3:AA$29,""))</f>
        <v>20.05</v>
      </c>
    </row>
    <row r="32" spans="1:27" x14ac:dyDescent="0.25">
      <c r="C32">
        <v>2</v>
      </c>
      <c r="D32">
        <f t="array" ref="D32">MEDIAN(IF($C$3:$C$29=$C32,D$3:D$29,""))</f>
        <v>24.9</v>
      </c>
      <c r="E32">
        <f t="array" ref="E32">MEDIAN(IF($C$3:$C$29=$C32,E$3:E$29,""))</f>
        <v>0</v>
      </c>
      <c r="F32">
        <f t="array" ref="F32">MEDIAN(IF($C$3:$C$29=$C32,F$3:F$29,""))</f>
        <v>0</v>
      </c>
      <c r="G32">
        <v>26</v>
      </c>
      <c r="H32">
        <f t="array" ref="H32">MEDIAN(IF($C$3:$C$29=$C32,H$3:H$29,""))</f>
        <v>27.5</v>
      </c>
      <c r="I32">
        <f t="array" ref="I32">MEDIAN(IF($C$3:$C$29=$C32,I$3:I$29,""))</f>
        <v>21.65</v>
      </c>
      <c r="J32">
        <f t="array" ref="J32">MEDIAN(IF($C$3:$C$29=$C32,J$3:J$29,""))</f>
        <v>17.7</v>
      </c>
      <c r="K32">
        <f t="array" ref="K32">MEDIAN(IF($C$3:$C$29=$C32,K$3:K$29,""))</f>
        <v>14.55</v>
      </c>
      <c r="L32">
        <f t="array" ref="L32">MEDIAN(IF($C$3:$C$29=$C32,L$3:L$29,""))</f>
        <v>12.05</v>
      </c>
      <c r="M32">
        <f t="array" ref="M32">MEDIAN(IF($C$3:$C$29=$C32,M$3:M$29,""))</f>
        <v>10.600000000000001</v>
      </c>
      <c r="N32">
        <f t="array" ref="N32">MEDIAN(IF($C$3:$C$29=$C32,N$3:N$29,""))</f>
        <v>9.9499999999999993</v>
      </c>
      <c r="O32">
        <f t="array" ref="O32">MEDIAN(IF($C$3:$C$29=$C32,O$3:O$29,""))</f>
        <v>9.4499999999999993</v>
      </c>
      <c r="P32">
        <f t="array" ref="P32">MEDIAN(IF($C$3:$C$29=$C32,P$3:P$29,""))</f>
        <v>7.3</v>
      </c>
      <c r="Q32">
        <f t="array" ref="Q32">MEDIAN(IF($C$3:$C$29=$C32,Q$3:Q$29,""))</f>
        <v>10.7</v>
      </c>
      <c r="R32">
        <f t="array" ref="R32">MEDIAN(IF($C$3:$C$29=$C32,R$3:R$29,""))</f>
        <v>12.25</v>
      </c>
      <c r="S32">
        <f t="array" ref="S32">MEDIAN(IF($C$3:$C$29=$C32,S$3:S$29,""))</f>
        <v>11.7</v>
      </c>
      <c r="T32">
        <f t="array" ref="T32">MEDIAN(IF($C$3:$C$29=$C32,T$3:T$29,""))</f>
        <v>14.8</v>
      </c>
      <c r="U32">
        <f t="array" ref="U32">MEDIAN(IF($C$3:$C$29=$C32,U$3:U$29,""))</f>
        <v>12.2</v>
      </c>
      <c r="V32">
        <f t="array" ref="V32">MEDIAN(IF($C$3:$C$29=$C32,V$3:V$29,""))</f>
        <v>14.15</v>
      </c>
      <c r="W32">
        <f t="array" ref="W32">MEDIAN(IF($C$3:$C$29=$C32,W$3:W$29,""))</f>
        <v>14.75</v>
      </c>
      <c r="X32">
        <f t="array" ref="X32">MEDIAN(IF($C$3:$C$29=$C32,X$3:X$29,""))</f>
        <v>12.65</v>
      </c>
      <c r="Y32">
        <f t="array" ref="Y32">MEDIAN(IF($C$3:$C$29=$C32,Y$3:Y$29,""))</f>
        <v>17.899999999999999</v>
      </c>
      <c r="Z32">
        <f t="array" ref="Z32">MEDIAN(IF($C$3:$C$29=$C32,Z$3:Z$29,""))</f>
        <v>16.100000000000001</v>
      </c>
      <c r="AA32">
        <f t="array" ref="AA32">MEDIAN(IF($C$3:$C$29=$C32,AA$3:AA$29,""))</f>
        <v>19.05</v>
      </c>
    </row>
    <row r="33" spans="3:27" x14ac:dyDescent="0.25">
      <c r="C33">
        <v>3</v>
      </c>
      <c r="D33">
        <f t="array" ref="D33">MEDIAN(IF($C$3:$C$29=$C33,D$3:D$29,""))</f>
        <v>27.049999999999997</v>
      </c>
      <c r="E33">
        <f t="array" ref="E33">MEDIAN(IF($C$3:$C$29=$C33,E$3:E$29,""))</f>
        <v>0</v>
      </c>
      <c r="F33">
        <f t="array" ref="F33">MEDIAN(IF($C$3:$C$29=$C33,F$3:F$29,""))</f>
        <v>0</v>
      </c>
      <c r="G33">
        <v>26</v>
      </c>
      <c r="H33">
        <f t="array" ref="H33">MEDIAN(IF($C$3:$C$29=$C33,H$3:H$29,""))</f>
        <v>26.6</v>
      </c>
      <c r="I33">
        <f t="array" ref="I33">MEDIAN(IF($C$3:$C$29=$C33,I$3:I$29,""))</f>
        <v>19.399999999999999</v>
      </c>
      <c r="J33">
        <f t="array" ref="J33">MEDIAN(IF($C$3:$C$29=$C33,J$3:J$29,""))</f>
        <v>10.45</v>
      </c>
      <c r="K33">
        <f t="array" ref="K33">MEDIAN(IF($C$3:$C$29=$C33,K$3:K$29,""))</f>
        <v>6.1</v>
      </c>
      <c r="L33">
        <f t="array" ref="L33">MEDIAN(IF($C$3:$C$29=$C33,L$3:L$29,""))</f>
        <v>6</v>
      </c>
      <c r="M33">
        <f t="array" ref="M33">MEDIAN(IF($C$3:$C$29=$C33,M$3:M$29,""))</f>
        <v>6.9</v>
      </c>
      <c r="N33">
        <f t="array" ref="N33">MEDIAN(IF($C$3:$C$29=$C33,N$3:N$29,""))</f>
        <v>8.5</v>
      </c>
      <c r="O33">
        <f t="array" ref="O33">MEDIAN(IF($C$3:$C$29=$C33,O$3:O$29,""))</f>
        <v>10.95</v>
      </c>
      <c r="P33">
        <f t="array" ref="P33">MEDIAN(IF($C$3:$C$29=$C33,P$3:P$29,""))</f>
        <v>11.2</v>
      </c>
      <c r="Q33">
        <f t="array" ref="Q33">MEDIAN(IF($C$3:$C$29=$C33,Q$3:Q$29,""))</f>
        <v>9.4</v>
      </c>
      <c r="R33">
        <f t="array" ref="R33">MEDIAN(IF($C$3:$C$29=$C33,R$3:R$29,""))</f>
        <v>11</v>
      </c>
      <c r="S33">
        <f t="array" ref="S33">MEDIAN(IF($C$3:$C$29=$C33,S$3:S$29,""))</f>
        <v>10.6</v>
      </c>
      <c r="T33">
        <f t="array" ref="T33">MEDIAN(IF($C$3:$C$29=$C33,T$3:T$29,""))</f>
        <v>12.55</v>
      </c>
      <c r="U33">
        <f t="array" ref="U33">MEDIAN(IF($C$3:$C$29=$C33,U$3:U$29,""))</f>
        <v>11.45</v>
      </c>
      <c r="V33">
        <f t="array" ref="V33">MEDIAN(IF($C$3:$C$29=$C33,V$3:V$29,""))</f>
        <v>9.1999999999999993</v>
      </c>
      <c r="W33">
        <f t="array" ref="W33">MEDIAN(IF($C$3:$C$29=$C33,W$3:W$29,""))</f>
        <v>14.25</v>
      </c>
      <c r="X33">
        <f t="array" ref="X33">MEDIAN(IF($C$3:$C$29=$C33,X$3:X$29,""))</f>
        <v>14.95</v>
      </c>
      <c r="Y33">
        <f t="array" ref="Y33">MEDIAN(IF($C$3:$C$29=$C33,Y$3:Y$29,""))</f>
        <v>18.45</v>
      </c>
      <c r="Z33">
        <f t="array" ref="Z33">MEDIAN(IF($C$3:$C$29=$C33,Z$3:Z$29,""))</f>
        <v>19.45</v>
      </c>
      <c r="AA33">
        <f t="array" ref="AA33">MEDIAN(IF($C$3:$C$29=$C33,AA$3:AA$29,""))</f>
        <v>19.450000000000003</v>
      </c>
    </row>
    <row r="34" spans="3:27" x14ac:dyDescent="0.25">
      <c r="C34">
        <v>4</v>
      </c>
      <c r="D34">
        <f t="array" ref="D34">MEDIAN(IF($C$3:$C$29=$C34,D$3:D$29,""))</f>
        <v>20.450000000000003</v>
      </c>
      <c r="E34">
        <f t="array" ref="E34">MEDIAN(IF($C$3:$C$29=$C34,E$3:E$29,""))</f>
        <v>0</v>
      </c>
      <c r="F34">
        <f t="array" ref="F34">MEDIAN(IF($C$3:$C$29=$C34,F$3:F$29,""))</f>
        <v>0</v>
      </c>
      <c r="G34">
        <v>26</v>
      </c>
      <c r="H34">
        <f t="array" ref="H34">MEDIAN(IF($C$3:$C$29=$C34,H$3:H$29,""))</f>
        <v>26.7</v>
      </c>
      <c r="I34">
        <f t="array" ref="I34">MEDIAN(IF($C$3:$C$29=$C34,I$3:I$29,""))</f>
        <v>20.25</v>
      </c>
      <c r="J34">
        <f t="array" ref="J34">MEDIAN(IF($C$3:$C$29=$C34,J$3:J$29,""))</f>
        <v>10.6</v>
      </c>
      <c r="K34">
        <f t="array" ref="K34">MEDIAN(IF($C$3:$C$29=$C34,K$3:K$29,""))</f>
        <v>5.4</v>
      </c>
      <c r="L34">
        <f t="array" ref="L34">MEDIAN(IF($C$3:$C$29=$C34,L$3:L$29,""))</f>
        <v>6.5</v>
      </c>
      <c r="M34">
        <f t="array" ref="M34">MEDIAN(IF($C$3:$C$29=$C34,M$3:M$29,""))</f>
        <v>7.1999999999999993</v>
      </c>
      <c r="N34">
        <f t="array" ref="N34">MEDIAN(IF($C$3:$C$29=$C34,N$3:N$29,""))</f>
        <v>9</v>
      </c>
      <c r="O34">
        <f t="array" ref="O34">MEDIAN(IF($C$3:$C$29=$C34,O$3:O$29,""))</f>
        <v>10.199999999999999</v>
      </c>
      <c r="P34">
        <f t="array" ref="P34">MEDIAN(IF($C$3:$C$29=$C34,P$3:P$29,""))</f>
        <v>10.7</v>
      </c>
      <c r="Q34">
        <f t="array" ref="Q34">MEDIAN(IF($C$3:$C$29=$C34,Q$3:Q$29,""))</f>
        <v>10.8</v>
      </c>
      <c r="R34">
        <f t="array" ref="R34">MEDIAN(IF($C$3:$C$29=$C34,R$3:R$29,""))</f>
        <v>11</v>
      </c>
      <c r="S34">
        <f t="array" ref="S34">MEDIAN(IF($C$3:$C$29=$C34,S$3:S$29,""))</f>
        <v>12</v>
      </c>
      <c r="T34">
        <f t="array" ref="T34">MEDIAN(IF($C$3:$C$29=$C34,T$3:T$29,""))</f>
        <v>8.1</v>
      </c>
      <c r="U34">
        <f t="array" ref="U34">MEDIAN(IF($C$3:$C$29=$C34,U$3:U$29,""))</f>
        <v>8.1</v>
      </c>
      <c r="V34">
        <f t="array" ref="V34">MEDIAN(IF($C$3:$C$29=$C34,V$3:V$29,""))</f>
        <v>9.6499999999999986</v>
      </c>
      <c r="W34">
        <f t="array" ref="W34">MEDIAN(IF($C$3:$C$29=$C34,W$3:W$29,""))</f>
        <v>11.45</v>
      </c>
      <c r="X34">
        <f t="array" ref="X34">MEDIAN(IF($C$3:$C$29=$C34,X$3:X$29,""))</f>
        <v>18.5</v>
      </c>
      <c r="Y34">
        <f t="array" ref="Y34">MEDIAN(IF($C$3:$C$29=$C34,Y$3:Y$29,""))</f>
        <v>18.600000000000001</v>
      </c>
      <c r="Z34">
        <f t="array" ref="Z34">MEDIAN(IF($C$3:$C$29=$C34,Z$3:Z$29,""))</f>
        <v>18.7</v>
      </c>
      <c r="AA34">
        <f t="array" ref="AA34">MEDIAN(IF($C$3:$C$29=$C34,AA$3:AA$29,""))</f>
        <v>23.2</v>
      </c>
    </row>
    <row r="35" spans="3:27" x14ac:dyDescent="0.25">
      <c r="C35">
        <v>5</v>
      </c>
      <c r="D35">
        <f t="array" ref="D35">MEDIAN(IF($C$3:$C$29=$C35,D$3:D$29,""))</f>
        <v>25.35</v>
      </c>
      <c r="E35">
        <f t="array" ref="E35">MEDIAN(IF($C$3:$C$29=$C35,E$3:E$29,""))</f>
        <v>0</v>
      </c>
      <c r="F35">
        <f t="array" ref="F35">MEDIAN(IF($C$3:$C$29=$C35,F$3:F$29,""))</f>
        <v>0</v>
      </c>
      <c r="G35">
        <v>26</v>
      </c>
      <c r="H35">
        <f t="array" ref="H35">MEDIAN(IF($C$3:$C$29=$C35,H$3:H$29,""))</f>
        <v>26.9</v>
      </c>
      <c r="I35">
        <f t="array" ref="I35">MEDIAN(IF($C$3:$C$29=$C35,I$3:I$29,""))</f>
        <v>18.850000000000001</v>
      </c>
      <c r="J35">
        <f t="array" ref="J35">MEDIAN(IF($C$3:$C$29=$C35,J$3:J$29,""))</f>
        <v>12.05</v>
      </c>
      <c r="K35">
        <f t="array" ref="K35">MEDIAN(IF($C$3:$C$29=$C35,K$3:K$29,""))</f>
        <v>5.5500000000000007</v>
      </c>
      <c r="L35">
        <f t="array" ref="L35">MEDIAN(IF($C$3:$C$29=$C35,L$3:L$29,""))</f>
        <v>6.5500000000000007</v>
      </c>
      <c r="M35">
        <f t="array" ref="M35">MEDIAN(IF($C$3:$C$29=$C35,M$3:M$29,""))</f>
        <v>7.8</v>
      </c>
      <c r="N35">
        <f t="array" ref="N35">MEDIAN(IF($C$3:$C$29=$C35,N$3:N$29,""))</f>
        <v>5.25</v>
      </c>
      <c r="O35">
        <f t="array" ref="O35">MEDIAN(IF($C$3:$C$29=$C35,O$3:O$29,""))</f>
        <v>8.6000000000000014</v>
      </c>
      <c r="P35">
        <f t="array" ref="P35">MEDIAN(IF($C$3:$C$29=$C35,P$3:P$29,""))</f>
        <v>9.0500000000000007</v>
      </c>
      <c r="Q35">
        <f t="array" ref="Q35">MEDIAN(IF($C$3:$C$29=$C35,Q$3:Q$29,""))</f>
        <v>8.75</v>
      </c>
      <c r="R35">
        <f t="array" ref="R35">MEDIAN(IF($C$3:$C$29=$C35,R$3:R$29,""))</f>
        <v>9.8000000000000007</v>
      </c>
      <c r="S35">
        <f t="array" ref="S35">MEDIAN(IF($C$3:$C$29=$C35,S$3:S$29,""))</f>
        <v>9.3999999999999986</v>
      </c>
      <c r="T35">
        <f t="array" ref="T35">MEDIAN(IF($C$3:$C$29=$C35,T$3:T$29,""))</f>
        <v>9</v>
      </c>
      <c r="U35">
        <f t="array" ref="U35">MEDIAN(IF($C$3:$C$29=$C35,U$3:U$29,""))</f>
        <v>8.8999999999999986</v>
      </c>
      <c r="V35">
        <f t="array" ref="V35">MEDIAN(IF($C$3:$C$29=$C35,V$3:V$29,""))</f>
        <v>10.75</v>
      </c>
      <c r="W35">
        <f t="array" ref="W35">MEDIAN(IF($C$3:$C$29=$C35,W$3:W$29,""))</f>
        <v>13.45</v>
      </c>
      <c r="X35">
        <f t="array" ref="X35">MEDIAN(IF($C$3:$C$29=$C35,X$3:X$29,""))</f>
        <v>13.9</v>
      </c>
      <c r="Y35">
        <f t="array" ref="Y35">MEDIAN(IF($C$3:$C$29=$C35,Y$3:Y$29,""))</f>
        <v>15.75</v>
      </c>
      <c r="Z35">
        <f t="array" ref="Z35">MEDIAN(IF($C$3:$C$29=$C35,Z$3:Z$29,""))</f>
        <v>17.899999999999999</v>
      </c>
      <c r="AA35">
        <f t="array" ref="AA35">MEDIAN(IF($C$3:$C$29=$C35,AA$3:AA$29,""))</f>
        <v>18.899999999999999</v>
      </c>
    </row>
    <row r="36" spans="3:27" x14ac:dyDescent="0.25">
      <c r="C36">
        <v>6</v>
      </c>
      <c r="D36">
        <f t="array" ref="D36">MEDIAN(IF($C$3:$C$29=$C36,D$3:D$29,""))</f>
        <v>19.600000000000001</v>
      </c>
      <c r="E36">
        <f t="array" ref="E36">MEDIAN(IF($C$3:$C$29=$C36,E$3:E$29,""))</f>
        <v>0</v>
      </c>
      <c r="F36">
        <f t="array" ref="F36">MEDIAN(IF($C$3:$C$29=$C36,F$3:F$29,""))</f>
        <v>0</v>
      </c>
      <c r="G36">
        <v>26</v>
      </c>
      <c r="H36">
        <f t="array" ref="H36">MEDIAN(IF($C$3:$C$29=$C36,H$3:H$29,""))</f>
        <v>21.3</v>
      </c>
      <c r="I36">
        <f t="array" ref="I36">MEDIAN(IF($C$3:$C$29=$C36,I$3:I$29,""))</f>
        <v>18.5</v>
      </c>
      <c r="J36">
        <f t="array" ref="J36">MEDIAN(IF($C$3:$C$29=$C36,J$3:J$29,""))</f>
        <v>8.6999999999999993</v>
      </c>
      <c r="K36">
        <f t="array" ref="K36">MEDIAN(IF($C$3:$C$29=$C36,K$3:K$29,""))</f>
        <v>5.4</v>
      </c>
      <c r="L36">
        <f t="array" ref="L36">MEDIAN(IF($C$3:$C$29=$C36,L$3:L$29,""))</f>
        <v>5.4</v>
      </c>
      <c r="M36">
        <f t="array" ref="M36">MEDIAN(IF($C$3:$C$29=$C36,M$3:M$29,""))</f>
        <v>6.7</v>
      </c>
      <c r="N36">
        <f t="array" ref="N36">MEDIAN(IF($C$3:$C$29=$C36,N$3:N$29,""))</f>
        <v>8.5</v>
      </c>
      <c r="O36">
        <f t="array" ref="O36">MEDIAN(IF($C$3:$C$29=$C36,O$3:O$29,""))</f>
        <v>10.9</v>
      </c>
      <c r="P36">
        <f t="array" ref="P36">MEDIAN(IF($C$3:$C$29=$C36,P$3:P$29,""))</f>
        <v>6.7</v>
      </c>
      <c r="Q36">
        <f t="array" ref="Q36">MEDIAN(IF($C$3:$C$29=$C36,Q$3:Q$29,""))</f>
        <v>10.3</v>
      </c>
      <c r="R36">
        <f t="array" ref="R36">MEDIAN(IF($C$3:$C$29=$C36,R$3:R$29,""))</f>
        <v>10.7</v>
      </c>
      <c r="S36">
        <f t="array" ref="S36">MEDIAN(IF($C$3:$C$29=$C36,S$3:S$29,""))</f>
        <v>11.2</v>
      </c>
      <c r="T36">
        <f t="array" ref="T36">MEDIAN(IF($C$3:$C$29=$C36,T$3:T$29,""))</f>
        <v>9.6999999999999993</v>
      </c>
      <c r="U36">
        <f t="array" ref="U36">MEDIAN(IF($C$3:$C$29=$C36,U$3:U$29,""))</f>
        <v>11</v>
      </c>
      <c r="V36">
        <f t="array" ref="V36">MEDIAN(IF($C$3:$C$29=$C36,V$3:V$29,""))</f>
        <v>9.8000000000000007</v>
      </c>
      <c r="W36">
        <f t="array" ref="W36">MEDIAN(IF($C$3:$C$29=$C36,W$3:W$29,""))</f>
        <v>14.7</v>
      </c>
      <c r="X36">
        <f t="array" ref="X36">MEDIAN(IF($C$3:$C$29=$C36,X$3:X$29,""))</f>
        <v>15.3</v>
      </c>
      <c r="Y36">
        <f t="array" ref="Y36">MEDIAN(IF($C$3:$C$29=$C36,Y$3:Y$29,""))</f>
        <v>17.100000000000001</v>
      </c>
      <c r="Z36">
        <f t="array" ref="Z36">MEDIAN(IF($C$3:$C$29=$C36,Z$3:Z$29,""))</f>
        <v>17</v>
      </c>
      <c r="AA36">
        <f t="array" ref="AA36">MEDIAN(IF($C$3:$C$29=$C36,AA$3:AA$29,""))</f>
        <v>18</v>
      </c>
    </row>
    <row r="37" spans="3:27" x14ac:dyDescent="0.25">
      <c r="C37">
        <v>7</v>
      </c>
      <c r="D37">
        <f t="array" ref="D37">MEDIAN(IF($C$3:$C$29=$C37,D$3:D$29,""))</f>
        <v>23.7</v>
      </c>
      <c r="E37">
        <f t="array" ref="E37">MEDIAN(IF($C$3:$C$29=$C37,E$3:E$29,""))</f>
        <v>0</v>
      </c>
      <c r="F37">
        <f t="array" ref="F37">MEDIAN(IF($C$3:$C$29=$C37,F$3:F$29,""))</f>
        <v>0</v>
      </c>
      <c r="G37">
        <v>26</v>
      </c>
      <c r="H37">
        <f t="array" ref="H37">MEDIAN(IF($C$3:$C$29=$C37,H$3:H$29,""))</f>
        <v>24.65</v>
      </c>
      <c r="I37">
        <f t="array" ref="I37">MEDIAN(IF($C$3:$C$29=$C37,I$3:I$29,""))</f>
        <v>18.05</v>
      </c>
      <c r="J37">
        <f t="array" ref="J37">MEDIAN(IF($C$3:$C$29=$C37,J$3:J$29,""))</f>
        <v>11.55</v>
      </c>
      <c r="K37">
        <f t="array" ref="K37">MEDIAN(IF($C$3:$C$29=$C37,K$3:K$29,""))</f>
        <v>7.9499999999999993</v>
      </c>
      <c r="L37">
        <f t="array" ref="L37">MEDIAN(IF($C$3:$C$29=$C37,L$3:L$29,""))</f>
        <v>6.55</v>
      </c>
      <c r="M37">
        <f t="array" ref="M37">MEDIAN(IF($C$3:$C$29=$C37,M$3:M$29,""))</f>
        <v>6.9499999999999993</v>
      </c>
      <c r="N37">
        <f t="array" ref="N37">MEDIAN(IF($C$3:$C$29=$C37,N$3:N$29,""))</f>
        <v>9.6499999999999986</v>
      </c>
      <c r="O37">
        <f t="array" ref="O37">MEDIAN(IF($C$3:$C$29=$C37,O$3:O$29,""))</f>
        <v>10.4</v>
      </c>
      <c r="P37">
        <f t="array" ref="P37">MEDIAN(IF($C$3:$C$29=$C37,P$3:P$29,""))</f>
        <v>10.1</v>
      </c>
      <c r="Q37">
        <f t="array" ref="Q37">MEDIAN(IF($C$3:$C$29=$C37,Q$3:Q$29,""))</f>
        <v>8.8000000000000007</v>
      </c>
      <c r="R37">
        <f t="array" ref="R37">MEDIAN(IF($C$3:$C$29=$C37,R$3:R$29,""))</f>
        <v>11.25</v>
      </c>
      <c r="S37">
        <f t="array" ref="S37">MEDIAN(IF($C$3:$C$29=$C37,S$3:S$29,""))</f>
        <v>9.75</v>
      </c>
      <c r="T37">
        <f t="array" ref="T37">MEDIAN(IF($C$3:$C$29=$C37,T$3:T$29,""))</f>
        <v>10.75</v>
      </c>
      <c r="U37">
        <f t="array" ref="U37">MEDIAN(IF($C$3:$C$29=$C37,U$3:U$29,""))</f>
        <v>11</v>
      </c>
      <c r="V37">
        <f t="array" ref="V37">MEDIAN(IF($C$3:$C$29=$C37,V$3:V$29,""))</f>
        <v>9.3000000000000007</v>
      </c>
      <c r="W37">
        <f t="array" ref="W37">MEDIAN(IF($C$3:$C$29=$C37,W$3:W$29,""))</f>
        <v>9.6999999999999993</v>
      </c>
      <c r="X37">
        <f t="array" ref="X37">MEDIAN(IF($C$3:$C$29=$C37,X$3:X$29,""))</f>
        <v>13.45</v>
      </c>
      <c r="Y37">
        <f t="array" ref="Y37">MEDIAN(IF($C$3:$C$29=$C37,Y$3:Y$29,""))</f>
        <v>16.8</v>
      </c>
      <c r="Z37">
        <f t="array" ref="Z37">MEDIAN(IF($C$3:$C$29=$C37,Z$3:Z$29,""))</f>
        <v>17.75</v>
      </c>
      <c r="AA37">
        <f t="array" ref="AA37">MEDIAN(IF($C$3:$C$29=$C37,AA$3:AA$29,""))</f>
        <v>17.149999999999999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2"/>
  <dimension ref="A1:AA37"/>
  <sheetViews>
    <sheetView workbookViewId="0">
      <selection activeCell="G31" sqref="G31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25.3</v>
      </c>
      <c r="E3">
        <v>29.1</v>
      </c>
      <c r="F3">
        <v>29.5</v>
      </c>
      <c r="G3">
        <v>25.3</v>
      </c>
      <c r="H3">
        <v>29.6</v>
      </c>
      <c r="I3">
        <v>21.1</v>
      </c>
      <c r="J3">
        <v>12.4</v>
      </c>
      <c r="K3">
        <v>6.2</v>
      </c>
      <c r="L3">
        <v>4.9000000000000004</v>
      </c>
      <c r="M3">
        <v>8.8000000000000007</v>
      </c>
      <c r="N3">
        <v>9.9</v>
      </c>
      <c r="O3">
        <v>12</v>
      </c>
      <c r="P3">
        <v>11.3</v>
      </c>
      <c r="Q3">
        <v>12</v>
      </c>
      <c r="R3">
        <v>11.4</v>
      </c>
      <c r="S3">
        <v>9</v>
      </c>
      <c r="T3">
        <v>11.9</v>
      </c>
      <c r="U3">
        <v>15</v>
      </c>
      <c r="V3">
        <v>10.8</v>
      </c>
      <c r="W3">
        <v>16.399999999999999</v>
      </c>
      <c r="X3">
        <v>16.3</v>
      </c>
      <c r="Y3">
        <v>18.8</v>
      </c>
      <c r="Z3">
        <v>16.2</v>
      </c>
      <c r="AA3">
        <v>21.2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27.7</v>
      </c>
      <c r="E4">
        <v>35.700000000000003</v>
      </c>
      <c r="F4">
        <v>31.7</v>
      </c>
      <c r="G4">
        <v>31.6</v>
      </c>
      <c r="H4">
        <v>37.1</v>
      </c>
      <c r="I4">
        <v>21.5</v>
      </c>
      <c r="J4">
        <v>23.8</v>
      </c>
      <c r="K4">
        <v>16.600000000000001</v>
      </c>
      <c r="L4">
        <v>12.8</v>
      </c>
      <c r="M4">
        <v>11</v>
      </c>
      <c r="N4">
        <v>10.199999999999999</v>
      </c>
      <c r="O4">
        <v>9.6</v>
      </c>
      <c r="P4">
        <v>12.2</v>
      </c>
      <c r="Q4">
        <v>11.4</v>
      </c>
      <c r="R4">
        <v>15.1</v>
      </c>
      <c r="S4">
        <v>14.6</v>
      </c>
      <c r="T4">
        <v>14.8</v>
      </c>
      <c r="U4">
        <v>13.4</v>
      </c>
      <c r="V4">
        <v>18</v>
      </c>
      <c r="W4">
        <v>15.6</v>
      </c>
      <c r="X4">
        <v>16.100000000000001</v>
      </c>
      <c r="Y4">
        <v>19.600000000000001</v>
      </c>
      <c r="Z4">
        <v>18.2</v>
      </c>
      <c r="AA4">
        <v>19.2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20.7</v>
      </c>
      <c r="E5">
        <v>31.6</v>
      </c>
      <c r="F5">
        <v>26.6</v>
      </c>
      <c r="G5">
        <v>26.5</v>
      </c>
      <c r="H5">
        <v>38.4</v>
      </c>
      <c r="I5">
        <v>22.5</v>
      </c>
      <c r="J5">
        <v>20.2</v>
      </c>
      <c r="K5">
        <v>18.600000000000001</v>
      </c>
      <c r="L5">
        <v>20.399999999999999</v>
      </c>
      <c r="M5">
        <v>20</v>
      </c>
      <c r="N5">
        <v>16.2</v>
      </c>
      <c r="O5">
        <v>18.3</v>
      </c>
      <c r="P5">
        <v>16</v>
      </c>
      <c r="Q5">
        <v>15.6</v>
      </c>
      <c r="R5">
        <v>15.6</v>
      </c>
      <c r="S5">
        <v>15.1</v>
      </c>
      <c r="T5">
        <v>15.8</v>
      </c>
      <c r="U5">
        <v>17.7</v>
      </c>
      <c r="V5">
        <v>15.1</v>
      </c>
      <c r="W5">
        <v>12</v>
      </c>
      <c r="X5">
        <v>16</v>
      </c>
      <c r="Y5">
        <v>14.8</v>
      </c>
      <c r="Z5">
        <v>19.7</v>
      </c>
      <c r="AA5">
        <v>19.399999999999999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21.1</v>
      </c>
      <c r="E6">
        <v>25.5</v>
      </c>
      <c r="F6">
        <v>30</v>
      </c>
      <c r="G6">
        <v>35.4</v>
      </c>
      <c r="H6">
        <v>26.4</v>
      </c>
      <c r="I6">
        <v>18.2</v>
      </c>
      <c r="J6">
        <v>12.6</v>
      </c>
      <c r="K6">
        <v>8.5</v>
      </c>
      <c r="L6">
        <v>13.3</v>
      </c>
      <c r="M6">
        <v>5.6</v>
      </c>
      <c r="N6">
        <v>8.6999999999999993</v>
      </c>
      <c r="O6">
        <v>13.2</v>
      </c>
      <c r="P6">
        <v>12.8</v>
      </c>
      <c r="Q6">
        <v>12.9</v>
      </c>
      <c r="R6">
        <v>14</v>
      </c>
      <c r="S6">
        <v>18.600000000000001</v>
      </c>
      <c r="T6">
        <v>10.6</v>
      </c>
      <c r="U6">
        <v>16</v>
      </c>
      <c r="V6">
        <v>12.7</v>
      </c>
      <c r="W6">
        <v>13.5</v>
      </c>
      <c r="X6">
        <v>16.8</v>
      </c>
      <c r="Y6">
        <v>19.600000000000001</v>
      </c>
      <c r="Z6">
        <v>24.9</v>
      </c>
      <c r="AA6">
        <v>23.8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28.3</v>
      </c>
      <c r="E7">
        <v>33.799999999999997</v>
      </c>
      <c r="F7">
        <v>30.9</v>
      </c>
      <c r="G7">
        <v>33.4</v>
      </c>
      <c r="H7">
        <v>31.4</v>
      </c>
      <c r="I7">
        <v>26.4</v>
      </c>
      <c r="J7">
        <v>12.3</v>
      </c>
      <c r="K7">
        <v>5.7</v>
      </c>
      <c r="L7">
        <v>6.5</v>
      </c>
      <c r="M7">
        <v>4.5</v>
      </c>
      <c r="N7">
        <v>8.6</v>
      </c>
      <c r="O7">
        <v>12.2</v>
      </c>
      <c r="P7">
        <v>11.7</v>
      </c>
      <c r="Q7">
        <v>15.2</v>
      </c>
      <c r="R7">
        <v>11.6</v>
      </c>
      <c r="S7">
        <v>12.6</v>
      </c>
      <c r="T7">
        <v>14.2</v>
      </c>
      <c r="U7">
        <v>14.7</v>
      </c>
      <c r="V7">
        <v>19.600000000000001</v>
      </c>
      <c r="W7">
        <v>11.9</v>
      </c>
      <c r="X7">
        <v>16.5</v>
      </c>
      <c r="Y7">
        <v>18.3</v>
      </c>
      <c r="Z7">
        <v>18.3</v>
      </c>
      <c r="AA7">
        <v>30.6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24.6</v>
      </c>
      <c r="E8">
        <v>32.799999999999997</v>
      </c>
      <c r="F8">
        <v>30.8</v>
      </c>
      <c r="G8">
        <v>34.9</v>
      </c>
      <c r="H8">
        <v>31</v>
      </c>
      <c r="I8">
        <v>20.100000000000001</v>
      </c>
      <c r="J8">
        <v>13.1</v>
      </c>
      <c r="K8">
        <v>7.2</v>
      </c>
      <c r="L8">
        <v>7.7</v>
      </c>
      <c r="M8">
        <v>9.4</v>
      </c>
      <c r="N8">
        <v>4.0999999999999996</v>
      </c>
      <c r="O8">
        <v>10.6</v>
      </c>
      <c r="P8">
        <v>11.7</v>
      </c>
      <c r="Q8">
        <v>11.8</v>
      </c>
      <c r="R8">
        <v>13.6</v>
      </c>
      <c r="S8">
        <v>15.9</v>
      </c>
      <c r="T8">
        <v>13.8</v>
      </c>
      <c r="U8">
        <v>8.6</v>
      </c>
      <c r="V8">
        <v>15</v>
      </c>
      <c r="W8">
        <v>13.3</v>
      </c>
      <c r="X8">
        <v>13.2</v>
      </c>
      <c r="Y8">
        <v>22.5</v>
      </c>
      <c r="Z8">
        <v>25.1</v>
      </c>
      <c r="AA8">
        <v>18.600000000000001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28.7</v>
      </c>
      <c r="E9">
        <v>33.5</v>
      </c>
      <c r="F9">
        <v>29.3</v>
      </c>
      <c r="G9">
        <v>34.799999999999997</v>
      </c>
      <c r="H9">
        <v>27.9</v>
      </c>
      <c r="I9">
        <v>21.1</v>
      </c>
      <c r="J9">
        <v>15.1</v>
      </c>
      <c r="K9">
        <v>5.5</v>
      </c>
      <c r="L9">
        <v>8.1</v>
      </c>
      <c r="M9">
        <v>10.5</v>
      </c>
      <c r="N9">
        <v>10.3</v>
      </c>
      <c r="O9">
        <v>9.9</v>
      </c>
      <c r="P9">
        <v>10.3</v>
      </c>
      <c r="Q9">
        <v>10.8</v>
      </c>
      <c r="R9">
        <v>13.3</v>
      </c>
      <c r="S9">
        <v>13.5</v>
      </c>
      <c r="T9">
        <v>12</v>
      </c>
      <c r="U9">
        <v>10.4</v>
      </c>
      <c r="V9">
        <v>13.5</v>
      </c>
      <c r="W9">
        <v>16.3</v>
      </c>
      <c r="X9">
        <v>16.399999999999999</v>
      </c>
      <c r="Y9">
        <v>22.8</v>
      </c>
      <c r="Z9">
        <v>18</v>
      </c>
      <c r="AA9">
        <v>26.1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22.9</v>
      </c>
      <c r="E10">
        <v>31.1</v>
      </c>
      <c r="F10">
        <v>33.700000000000003</v>
      </c>
      <c r="G10">
        <v>29.9</v>
      </c>
      <c r="H10">
        <v>32.9</v>
      </c>
      <c r="I10">
        <v>22.2</v>
      </c>
      <c r="J10">
        <v>10.5</v>
      </c>
      <c r="K10">
        <v>8.8000000000000007</v>
      </c>
      <c r="L10">
        <v>6.2</v>
      </c>
      <c r="M10">
        <v>7.6</v>
      </c>
      <c r="N10">
        <v>10.8</v>
      </c>
      <c r="O10">
        <v>10.7</v>
      </c>
      <c r="P10">
        <v>10.9</v>
      </c>
      <c r="Q10">
        <v>12</v>
      </c>
      <c r="R10">
        <v>13.2</v>
      </c>
      <c r="S10">
        <v>11.8</v>
      </c>
      <c r="T10">
        <v>15.2</v>
      </c>
      <c r="U10">
        <v>12.2</v>
      </c>
      <c r="V10">
        <v>14.5</v>
      </c>
      <c r="W10">
        <v>12.6</v>
      </c>
      <c r="X10">
        <v>14.1</v>
      </c>
      <c r="Y10">
        <v>19.399999999999999</v>
      </c>
      <c r="Z10">
        <v>17.100000000000001</v>
      </c>
      <c r="AA10">
        <v>25.1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23.7</v>
      </c>
      <c r="E11">
        <v>38.200000000000003</v>
      </c>
      <c r="F11">
        <v>25.4</v>
      </c>
      <c r="G11">
        <v>24</v>
      </c>
      <c r="H11">
        <v>22</v>
      </c>
      <c r="I11">
        <v>25.4</v>
      </c>
      <c r="J11">
        <v>19.399999999999999</v>
      </c>
      <c r="K11">
        <v>14.6</v>
      </c>
      <c r="L11">
        <v>15.2</v>
      </c>
      <c r="M11">
        <v>14.7</v>
      </c>
      <c r="N11">
        <v>14.7</v>
      </c>
      <c r="O11">
        <v>10.5</v>
      </c>
      <c r="P11">
        <v>7.4</v>
      </c>
      <c r="Q11">
        <v>8.9</v>
      </c>
      <c r="R11">
        <v>11.5</v>
      </c>
      <c r="S11">
        <v>19.2</v>
      </c>
      <c r="T11">
        <v>14.4</v>
      </c>
      <c r="U11">
        <v>14.8</v>
      </c>
      <c r="V11">
        <v>15.1</v>
      </c>
      <c r="W11">
        <v>20.6</v>
      </c>
      <c r="X11">
        <v>16.100000000000001</v>
      </c>
      <c r="Y11">
        <v>18.5</v>
      </c>
      <c r="Z11">
        <v>13.8</v>
      </c>
      <c r="AA11">
        <v>23.8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23</v>
      </c>
      <c r="E12">
        <v>23</v>
      </c>
      <c r="F12">
        <v>31</v>
      </c>
      <c r="G12">
        <v>28.7</v>
      </c>
      <c r="H12">
        <v>33.4</v>
      </c>
      <c r="I12">
        <v>22.4</v>
      </c>
      <c r="J12">
        <v>24.6</v>
      </c>
      <c r="K12">
        <v>22.6</v>
      </c>
      <c r="L12">
        <v>17.100000000000001</v>
      </c>
      <c r="M12">
        <v>14.5</v>
      </c>
      <c r="N12">
        <v>13.4</v>
      </c>
      <c r="O12">
        <v>14.2</v>
      </c>
      <c r="P12">
        <v>14.9</v>
      </c>
      <c r="Q12">
        <v>15.2</v>
      </c>
      <c r="R12">
        <v>19.8</v>
      </c>
      <c r="S12">
        <v>17.3</v>
      </c>
      <c r="T12">
        <v>16.2</v>
      </c>
      <c r="U12">
        <v>13.8</v>
      </c>
      <c r="V12">
        <v>18.3</v>
      </c>
      <c r="W12">
        <v>14.8</v>
      </c>
      <c r="X12">
        <v>18.899999999999999</v>
      </c>
      <c r="Y12">
        <v>17</v>
      </c>
      <c r="Z12">
        <v>21.4</v>
      </c>
      <c r="AA12">
        <v>27.1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27.2</v>
      </c>
      <c r="E13">
        <v>32.9</v>
      </c>
      <c r="F13">
        <v>34.1</v>
      </c>
      <c r="G13">
        <v>37</v>
      </c>
      <c r="H13">
        <v>29.6</v>
      </c>
      <c r="I13">
        <v>29.4</v>
      </c>
      <c r="J13">
        <v>9.6999999999999993</v>
      </c>
      <c r="K13">
        <v>7.4</v>
      </c>
      <c r="L13">
        <v>4.3</v>
      </c>
      <c r="M13">
        <v>8.4</v>
      </c>
      <c r="N13">
        <v>7.8</v>
      </c>
      <c r="O13">
        <v>14.8</v>
      </c>
      <c r="P13">
        <v>10.3</v>
      </c>
      <c r="Q13">
        <v>5.9</v>
      </c>
      <c r="R13">
        <v>11.3</v>
      </c>
      <c r="S13">
        <v>11.7</v>
      </c>
      <c r="T13">
        <v>15.9</v>
      </c>
      <c r="U13">
        <v>13.1</v>
      </c>
      <c r="V13">
        <v>10.199999999999999</v>
      </c>
      <c r="W13">
        <v>14.3</v>
      </c>
      <c r="X13">
        <v>15.8</v>
      </c>
      <c r="Y13">
        <v>15.3</v>
      </c>
      <c r="Z13">
        <v>17.899999999999999</v>
      </c>
      <c r="AA13">
        <v>17.899999999999999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28.3</v>
      </c>
      <c r="E14">
        <v>26</v>
      </c>
      <c r="F14">
        <v>24.1</v>
      </c>
      <c r="G14">
        <v>18.3</v>
      </c>
      <c r="H14">
        <v>29.8</v>
      </c>
      <c r="I14">
        <v>21.8</v>
      </c>
      <c r="J14">
        <v>12.3</v>
      </c>
      <c r="K14">
        <v>5.3</v>
      </c>
      <c r="L14">
        <v>7.3</v>
      </c>
      <c r="M14">
        <v>11.4</v>
      </c>
      <c r="N14">
        <v>9.9</v>
      </c>
      <c r="O14">
        <v>10.4</v>
      </c>
      <c r="P14">
        <v>10.1</v>
      </c>
      <c r="Q14">
        <v>17.399999999999999</v>
      </c>
      <c r="R14">
        <v>13</v>
      </c>
      <c r="S14">
        <v>10</v>
      </c>
      <c r="T14">
        <v>6.4</v>
      </c>
      <c r="U14">
        <v>6.1</v>
      </c>
      <c r="V14">
        <v>5.8</v>
      </c>
      <c r="W14">
        <v>8.1999999999999993</v>
      </c>
      <c r="X14">
        <v>14.8</v>
      </c>
      <c r="Y14">
        <v>15.1</v>
      </c>
      <c r="Z14">
        <v>17.899999999999999</v>
      </c>
      <c r="AA14">
        <v>23.5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23.7</v>
      </c>
      <c r="E15">
        <v>30.2</v>
      </c>
      <c r="F15">
        <v>36.9</v>
      </c>
      <c r="G15">
        <v>31</v>
      </c>
      <c r="H15">
        <v>29.7</v>
      </c>
      <c r="I15">
        <v>22</v>
      </c>
      <c r="J15">
        <v>17.600000000000001</v>
      </c>
      <c r="K15">
        <v>4.3</v>
      </c>
      <c r="L15">
        <v>7.8</v>
      </c>
      <c r="M15">
        <v>6.7</v>
      </c>
      <c r="N15">
        <v>11.2</v>
      </c>
      <c r="O15">
        <v>9.5</v>
      </c>
      <c r="P15">
        <v>7.4</v>
      </c>
      <c r="Q15">
        <v>11.1</v>
      </c>
      <c r="R15">
        <v>10.9</v>
      </c>
      <c r="S15">
        <v>8.4</v>
      </c>
      <c r="T15">
        <v>6.5</v>
      </c>
      <c r="U15">
        <v>6.5</v>
      </c>
      <c r="V15">
        <v>6.4</v>
      </c>
      <c r="W15">
        <v>13.9</v>
      </c>
      <c r="X15">
        <v>12.5</v>
      </c>
      <c r="Y15">
        <v>17.100000000000001</v>
      </c>
      <c r="Z15">
        <v>16.8</v>
      </c>
      <c r="AA15">
        <v>19.5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21.1</v>
      </c>
      <c r="E16">
        <v>33.9</v>
      </c>
      <c r="F16">
        <v>27.3</v>
      </c>
      <c r="G16">
        <v>39.1</v>
      </c>
      <c r="H16">
        <v>32.6</v>
      </c>
      <c r="I16">
        <v>20.7</v>
      </c>
      <c r="J16">
        <v>6.4</v>
      </c>
      <c r="K16">
        <v>6.1</v>
      </c>
      <c r="L16">
        <v>5.2</v>
      </c>
      <c r="M16">
        <v>9</v>
      </c>
      <c r="N16">
        <v>8.3000000000000007</v>
      </c>
      <c r="O16">
        <v>14.5</v>
      </c>
      <c r="P16">
        <v>6.9</v>
      </c>
      <c r="Q16">
        <v>11.2</v>
      </c>
      <c r="R16">
        <v>12.8</v>
      </c>
      <c r="S16">
        <v>10.6</v>
      </c>
      <c r="T16">
        <v>7.7</v>
      </c>
      <c r="U16">
        <v>15</v>
      </c>
      <c r="V16">
        <v>6.8</v>
      </c>
      <c r="W16">
        <v>16.7</v>
      </c>
      <c r="X16">
        <v>9.6999999999999993</v>
      </c>
      <c r="Y16">
        <v>15.1</v>
      </c>
      <c r="Z16">
        <v>16.5</v>
      </c>
      <c r="AA16">
        <v>22.2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25.1</v>
      </c>
      <c r="E17">
        <v>25.6</v>
      </c>
      <c r="F17">
        <v>27.2</v>
      </c>
      <c r="G17">
        <v>37</v>
      </c>
      <c r="H17">
        <v>34.5</v>
      </c>
      <c r="I17">
        <v>25.1</v>
      </c>
      <c r="J17">
        <v>12.3</v>
      </c>
      <c r="K17">
        <v>12.2</v>
      </c>
      <c r="L17">
        <v>5.5</v>
      </c>
      <c r="M17">
        <v>8.4</v>
      </c>
      <c r="N17">
        <v>6.2</v>
      </c>
      <c r="O17">
        <v>11</v>
      </c>
      <c r="P17">
        <v>9.4</v>
      </c>
      <c r="Q17">
        <v>11.1</v>
      </c>
      <c r="R17">
        <v>9.1999999999999993</v>
      </c>
      <c r="S17">
        <v>12.5</v>
      </c>
      <c r="T17">
        <v>9.5</v>
      </c>
      <c r="U17">
        <v>6.9</v>
      </c>
      <c r="V17">
        <v>7.3</v>
      </c>
      <c r="W17">
        <v>9.4</v>
      </c>
      <c r="X17">
        <v>6.8</v>
      </c>
      <c r="Y17">
        <v>17.7</v>
      </c>
      <c r="Z17">
        <v>17</v>
      </c>
      <c r="AA17">
        <v>16.7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22.7</v>
      </c>
      <c r="E18">
        <v>30</v>
      </c>
      <c r="F18">
        <v>27.3</v>
      </c>
      <c r="G18">
        <v>36.200000000000003</v>
      </c>
      <c r="H18">
        <v>33.9</v>
      </c>
      <c r="I18">
        <v>22.7</v>
      </c>
      <c r="J18">
        <v>17.7</v>
      </c>
      <c r="K18">
        <v>19.5</v>
      </c>
      <c r="L18">
        <v>13</v>
      </c>
      <c r="M18">
        <v>11.6</v>
      </c>
      <c r="N18">
        <v>11.3</v>
      </c>
      <c r="O18">
        <v>6.3</v>
      </c>
      <c r="P18">
        <v>7.7</v>
      </c>
      <c r="Q18">
        <v>8.6</v>
      </c>
      <c r="R18">
        <v>13.1</v>
      </c>
      <c r="S18">
        <v>11.4</v>
      </c>
      <c r="T18">
        <v>16.5</v>
      </c>
      <c r="U18">
        <v>10.199999999999999</v>
      </c>
      <c r="V18">
        <v>15</v>
      </c>
      <c r="W18">
        <v>15.4</v>
      </c>
      <c r="X18">
        <v>11.3</v>
      </c>
      <c r="Y18">
        <v>15.7</v>
      </c>
      <c r="Z18">
        <v>23.1</v>
      </c>
      <c r="AA18">
        <v>22.7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29</v>
      </c>
      <c r="E19">
        <v>26.4</v>
      </c>
      <c r="F19">
        <v>26.7</v>
      </c>
      <c r="G19">
        <v>26.7</v>
      </c>
      <c r="H19">
        <v>26.8</v>
      </c>
      <c r="I19">
        <v>28.2</v>
      </c>
      <c r="J19">
        <v>19.5</v>
      </c>
      <c r="K19">
        <v>19.3</v>
      </c>
      <c r="L19">
        <v>17.100000000000001</v>
      </c>
      <c r="M19">
        <v>18.5</v>
      </c>
      <c r="N19">
        <v>17.600000000000001</v>
      </c>
      <c r="O19">
        <v>15.2</v>
      </c>
      <c r="P19">
        <v>14.4</v>
      </c>
      <c r="Q19">
        <v>13.1</v>
      </c>
      <c r="R19">
        <v>24.6</v>
      </c>
      <c r="S19">
        <v>17.2</v>
      </c>
      <c r="T19">
        <v>18.399999999999999</v>
      </c>
      <c r="U19">
        <v>19.399999999999999</v>
      </c>
      <c r="V19">
        <v>22.8</v>
      </c>
      <c r="W19">
        <v>15.9</v>
      </c>
      <c r="X19">
        <v>19.600000000000001</v>
      </c>
      <c r="Y19">
        <v>19.7</v>
      </c>
      <c r="Z19">
        <v>16.3</v>
      </c>
      <c r="AA19">
        <v>26.6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25.6</v>
      </c>
      <c r="E20">
        <v>35.200000000000003</v>
      </c>
      <c r="F20">
        <v>25.2</v>
      </c>
      <c r="G20">
        <v>29.6</v>
      </c>
      <c r="H20">
        <v>31.4</v>
      </c>
      <c r="I20">
        <v>21.9</v>
      </c>
      <c r="J20">
        <v>8</v>
      </c>
      <c r="K20">
        <v>4.5999999999999996</v>
      </c>
      <c r="L20">
        <v>7.8</v>
      </c>
      <c r="M20">
        <v>6.2</v>
      </c>
      <c r="N20">
        <v>8.9</v>
      </c>
      <c r="O20">
        <v>12.4</v>
      </c>
      <c r="P20">
        <v>11.5</v>
      </c>
      <c r="Q20">
        <v>7.8</v>
      </c>
      <c r="R20">
        <v>9.3000000000000007</v>
      </c>
      <c r="S20">
        <v>9.8000000000000007</v>
      </c>
      <c r="T20">
        <v>8.8000000000000007</v>
      </c>
      <c r="U20">
        <v>9.6</v>
      </c>
      <c r="V20">
        <v>7.3</v>
      </c>
      <c r="W20">
        <v>12.5</v>
      </c>
      <c r="Y20">
        <v>16.5</v>
      </c>
      <c r="Z20">
        <v>15.6</v>
      </c>
      <c r="AA20">
        <v>18.7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26.8</v>
      </c>
      <c r="E21">
        <v>33.6</v>
      </c>
      <c r="F21">
        <v>37.200000000000003</v>
      </c>
      <c r="G21">
        <v>34.1</v>
      </c>
      <c r="H21">
        <v>36.299999999999997</v>
      </c>
      <c r="I21">
        <v>24</v>
      </c>
      <c r="J21">
        <v>6.9</v>
      </c>
      <c r="K21">
        <v>7.2</v>
      </c>
      <c r="L21">
        <v>7</v>
      </c>
      <c r="M21">
        <v>7.8</v>
      </c>
      <c r="N21">
        <v>9.6999999999999993</v>
      </c>
      <c r="O21">
        <v>9.5</v>
      </c>
      <c r="P21">
        <v>10.9</v>
      </c>
      <c r="Q21">
        <v>8.6</v>
      </c>
      <c r="R21">
        <v>8.1</v>
      </c>
      <c r="S21">
        <v>9.1</v>
      </c>
      <c r="T21">
        <v>8.1</v>
      </c>
      <c r="U21">
        <v>5.9</v>
      </c>
      <c r="V21">
        <v>11.9</v>
      </c>
      <c r="W21">
        <v>14.1</v>
      </c>
      <c r="X21">
        <v>18.600000000000001</v>
      </c>
      <c r="Y21">
        <v>18.3</v>
      </c>
      <c r="Z21">
        <v>15.2</v>
      </c>
      <c r="AA21">
        <v>29.5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23</v>
      </c>
      <c r="E22">
        <v>29</v>
      </c>
      <c r="F22">
        <v>35.9</v>
      </c>
      <c r="G22">
        <v>32.700000000000003</v>
      </c>
      <c r="H22">
        <v>27.9</v>
      </c>
      <c r="I22">
        <v>21.1</v>
      </c>
      <c r="J22">
        <v>8.8000000000000007</v>
      </c>
      <c r="K22">
        <v>5.7</v>
      </c>
      <c r="L22">
        <v>5</v>
      </c>
      <c r="M22">
        <v>6.2</v>
      </c>
      <c r="N22">
        <v>7.2</v>
      </c>
      <c r="O22">
        <v>9.6999999999999993</v>
      </c>
      <c r="P22">
        <v>11.3</v>
      </c>
      <c r="Q22">
        <v>10.199999999999999</v>
      </c>
      <c r="R22">
        <v>11.9</v>
      </c>
      <c r="S22">
        <v>7.6</v>
      </c>
      <c r="T22">
        <v>8.3000000000000007</v>
      </c>
      <c r="U22">
        <v>9.8000000000000007</v>
      </c>
      <c r="V22">
        <v>10.3</v>
      </c>
      <c r="W22">
        <v>14</v>
      </c>
      <c r="X22">
        <v>13</v>
      </c>
      <c r="Y22">
        <v>14.7</v>
      </c>
      <c r="Z22">
        <v>17.899999999999999</v>
      </c>
      <c r="AA22">
        <v>22.1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19.600000000000001</v>
      </c>
      <c r="E23">
        <v>24.5</v>
      </c>
      <c r="F23">
        <v>30</v>
      </c>
      <c r="G23">
        <v>36</v>
      </c>
      <c r="H23">
        <v>22</v>
      </c>
      <c r="I23">
        <v>25</v>
      </c>
      <c r="J23">
        <v>6.2</v>
      </c>
      <c r="K23">
        <v>5.6</v>
      </c>
      <c r="L23">
        <v>5.3</v>
      </c>
      <c r="M23">
        <v>7.2</v>
      </c>
      <c r="N23">
        <v>5.9</v>
      </c>
      <c r="O23">
        <v>11.9</v>
      </c>
      <c r="P23">
        <v>9</v>
      </c>
      <c r="Q23">
        <v>7.8</v>
      </c>
      <c r="R23">
        <v>12.6</v>
      </c>
      <c r="S23">
        <v>10.7</v>
      </c>
      <c r="T23">
        <v>8.6999999999999993</v>
      </c>
      <c r="U23">
        <v>9.9</v>
      </c>
      <c r="V23">
        <v>8</v>
      </c>
      <c r="W23">
        <v>9.5</v>
      </c>
      <c r="X23">
        <v>14.6</v>
      </c>
      <c r="Y23">
        <v>13.2</v>
      </c>
      <c r="Z23">
        <v>18.2</v>
      </c>
      <c r="AA23">
        <v>18.2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24.4</v>
      </c>
      <c r="E24">
        <v>29</v>
      </c>
      <c r="F24">
        <v>34.299999999999997</v>
      </c>
      <c r="G24">
        <v>35.799999999999997</v>
      </c>
      <c r="H24">
        <v>32.4</v>
      </c>
      <c r="I24">
        <v>24.6</v>
      </c>
      <c r="J24">
        <v>9.8000000000000007</v>
      </c>
      <c r="K24">
        <v>7.5</v>
      </c>
      <c r="L24">
        <v>6.7</v>
      </c>
      <c r="M24">
        <v>5.8</v>
      </c>
      <c r="N24">
        <v>8.6999999999999993</v>
      </c>
      <c r="O24">
        <v>10.5</v>
      </c>
      <c r="P24">
        <v>9.1999999999999993</v>
      </c>
      <c r="Q24">
        <v>8.9</v>
      </c>
      <c r="R24">
        <v>13.6</v>
      </c>
      <c r="S24">
        <v>12.1</v>
      </c>
      <c r="T24">
        <v>8.6999999999999993</v>
      </c>
      <c r="U24">
        <v>7.8</v>
      </c>
      <c r="W24">
        <v>6.6</v>
      </c>
      <c r="X24">
        <v>12.4</v>
      </c>
      <c r="Y24">
        <v>16.899999999999999</v>
      </c>
      <c r="Z24">
        <v>16</v>
      </c>
      <c r="AA24">
        <v>19.7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29.9</v>
      </c>
      <c r="E25">
        <v>21.9</v>
      </c>
      <c r="F25">
        <v>31.7</v>
      </c>
      <c r="G25">
        <v>37.6</v>
      </c>
      <c r="H25">
        <v>36.4</v>
      </c>
      <c r="I25">
        <v>25.1</v>
      </c>
      <c r="J25">
        <v>17.2</v>
      </c>
      <c r="K25">
        <v>7.7</v>
      </c>
      <c r="L25">
        <v>8.1999999999999993</v>
      </c>
      <c r="M25">
        <v>5.8</v>
      </c>
      <c r="N25">
        <v>7.6</v>
      </c>
      <c r="O25">
        <v>10</v>
      </c>
      <c r="P25">
        <v>6.5</v>
      </c>
      <c r="R25">
        <v>4.9000000000000004</v>
      </c>
      <c r="S25">
        <v>9.6999999999999993</v>
      </c>
      <c r="T25">
        <v>14.4</v>
      </c>
      <c r="V25">
        <v>11.1</v>
      </c>
      <c r="Z25">
        <v>13.4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25.8</v>
      </c>
      <c r="E26">
        <v>25.6</v>
      </c>
      <c r="F26">
        <v>28.1</v>
      </c>
      <c r="G26">
        <v>25.6</v>
      </c>
      <c r="H26">
        <v>37.299999999999997</v>
      </c>
      <c r="I26">
        <v>34.799999999999997</v>
      </c>
      <c r="J26">
        <v>23.7</v>
      </c>
      <c r="K26">
        <v>21</v>
      </c>
      <c r="L26">
        <v>15.5</v>
      </c>
      <c r="M26">
        <v>17.5</v>
      </c>
      <c r="N26">
        <v>15.7</v>
      </c>
      <c r="O26">
        <v>14.3</v>
      </c>
      <c r="P26">
        <v>13</v>
      </c>
      <c r="Q26">
        <v>16.3</v>
      </c>
      <c r="R26">
        <v>14</v>
      </c>
      <c r="S26">
        <v>15</v>
      </c>
      <c r="T26">
        <v>16.5</v>
      </c>
      <c r="U26">
        <v>14.6</v>
      </c>
      <c r="V26">
        <v>13.8</v>
      </c>
      <c r="W26">
        <v>19.399999999999999</v>
      </c>
      <c r="X26">
        <v>21.9</v>
      </c>
      <c r="Y26">
        <v>13.5</v>
      </c>
      <c r="Z26">
        <v>19.8</v>
      </c>
      <c r="AA26">
        <v>23.2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24.2</v>
      </c>
      <c r="E27">
        <v>23</v>
      </c>
      <c r="F27">
        <v>36.799999999999997</v>
      </c>
      <c r="G27">
        <v>29.4</v>
      </c>
      <c r="H27">
        <v>30.5</v>
      </c>
      <c r="I27">
        <v>27.1</v>
      </c>
      <c r="J27">
        <v>6.7</v>
      </c>
      <c r="K27">
        <v>5</v>
      </c>
      <c r="L27">
        <v>4.0999999999999996</v>
      </c>
      <c r="M27">
        <v>7.3</v>
      </c>
      <c r="N27">
        <v>9.6</v>
      </c>
      <c r="O27">
        <v>11.2</v>
      </c>
      <c r="P27">
        <v>7</v>
      </c>
      <c r="Q27">
        <v>14</v>
      </c>
      <c r="R27">
        <v>14.3</v>
      </c>
      <c r="S27">
        <v>9.1</v>
      </c>
      <c r="T27">
        <v>9.1</v>
      </c>
      <c r="U27">
        <v>8.3000000000000007</v>
      </c>
      <c r="V27">
        <v>7.1</v>
      </c>
      <c r="W27">
        <v>15.5</v>
      </c>
      <c r="X27">
        <v>16.399999999999999</v>
      </c>
      <c r="Y27">
        <v>17.100000000000001</v>
      </c>
      <c r="Z27">
        <v>19.2</v>
      </c>
      <c r="AA27">
        <v>22.2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28.1</v>
      </c>
      <c r="E28">
        <v>32.700000000000003</v>
      </c>
      <c r="F28">
        <v>27.5</v>
      </c>
      <c r="G28">
        <v>34.5</v>
      </c>
      <c r="H28">
        <v>29.7</v>
      </c>
      <c r="I28">
        <v>21.7</v>
      </c>
      <c r="J28">
        <v>7.8</v>
      </c>
      <c r="K28">
        <v>4.4000000000000004</v>
      </c>
      <c r="L28">
        <v>5.8</v>
      </c>
      <c r="M28">
        <v>7.5</v>
      </c>
      <c r="N28">
        <v>7.7</v>
      </c>
      <c r="O28">
        <v>11</v>
      </c>
      <c r="P28">
        <v>7.8</v>
      </c>
      <c r="Q28">
        <v>8.3000000000000007</v>
      </c>
      <c r="R28">
        <v>12.3</v>
      </c>
      <c r="S28">
        <v>15.3</v>
      </c>
      <c r="T28">
        <v>7.4</v>
      </c>
      <c r="U28">
        <v>7.4</v>
      </c>
      <c r="V28">
        <v>9.4</v>
      </c>
      <c r="W28">
        <v>10.1</v>
      </c>
      <c r="X28">
        <v>13.6</v>
      </c>
      <c r="Y28">
        <v>16</v>
      </c>
      <c r="Z28">
        <v>23.4</v>
      </c>
      <c r="AA28">
        <v>30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24.4</v>
      </c>
      <c r="E29">
        <v>32.700000000000003</v>
      </c>
      <c r="F29">
        <v>29.9</v>
      </c>
      <c r="G29">
        <v>30.2</v>
      </c>
      <c r="H29">
        <v>26.5</v>
      </c>
      <c r="I29">
        <v>21.5</v>
      </c>
      <c r="J29">
        <v>11.3</v>
      </c>
      <c r="K29">
        <v>4.9000000000000004</v>
      </c>
      <c r="L29">
        <v>6.1</v>
      </c>
      <c r="M29">
        <v>6.2</v>
      </c>
      <c r="N29">
        <v>6.8</v>
      </c>
      <c r="O29">
        <v>11.9</v>
      </c>
      <c r="P29">
        <v>6</v>
      </c>
      <c r="Q29">
        <v>8.6999999999999993</v>
      </c>
      <c r="R29">
        <v>9</v>
      </c>
      <c r="S29">
        <v>10</v>
      </c>
      <c r="T29">
        <v>9.8000000000000007</v>
      </c>
      <c r="U29">
        <v>9.1</v>
      </c>
      <c r="V29">
        <v>7.8</v>
      </c>
      <c r="W29">
        <v>11</v>
      </c>
      <c r="X29">
        <v>14.5</v>
      </c>
      <c r="Y29">
        <v>13</v>
      </c>
      <c r="Z29">
        <v>20.5</v>
      </c>
      <c r="AA29">
        <v>22.7</v>
      </c>
    </row>
    <row r="31" spans="1:27" x14ac:dyDescent="0.25">
      <c r="C31">
        <v>1</v>
      </c>
      <c r="D31">
        <f t="array" ref="D31">MEDIAN(IF($C$3:$C$29=$C31,D$3:D$29,""))</f>
        <v>24.4</v>
      </c>
      <c r="E31">
        <f t="array" ref="E31">MEDIAN(IF($C$3:$C$29=$C31,E$3:E$29,""))</f>
        <v>26</v>
      </c>
      <c r="F31">
        <f t="array" ref="F31">MEDIAN(IF($C$3:$C$29=$C31,F$3:F$29,""))</f>
        <v>27.4</v>
      </c>
      <c r="G31">
        <f t="array" ref="G31">MEDIAN(IF($C$3:$C$29=$C31,G$3:G$29,""))</f>
        <v>26.6</v>
      </c>
      <c r="H31">
        <f t="array" ref="H31">MEDIAN(IF($C$3:$C$29=$C31,H$3:H$29,""))</f>
        <v>35.349999999999994</v>
      </c>
      <c r="I31">
        <f t="array" ref="I31">MEDIAN(IF($C$3:$C$29=$C31,I$3:I$29,""))</f>
        <v>25.35</v>
      </c>
      <c r="J31">
        <f t="array" ref="J31">MEDIAN(IF($C$3:$C$29=$C31,J$3:J$29,""))</f>
        <v>21.95</v>
      </c>
      <c r="K31">
        <f t="array" ref="K31">MEDIAN(IF($C$3:$C$29=$C31,K$3:K$29,""))</f>
        <v>20.149999999999999</v>
      </c>
      <c r="L31">
        <f t="array" ref="L31">MEDIAN(IF($C$3:$C$29=$C31,L$3:L$29,""))</f>
        <v>17.100000000000001</v>
      </c>
      <c r="M31">
        <f t="array" ref="M31">MEDIAN(IF($C$3:$C$29=$C31,M$3:M$29,""))</f>
        <v>18</v>
      </c>
      <c r="N31">
        <f t="array" ref="N31">MEDIAN(IF($C$3:$C$29=$C31,N$3:N$29,""))</f>
        <v>15.95</v>
      </c>
      <c r="O31">
        <f t="array" ref="O31">MEDIAN(IF($C$3:$C$29=$C31,O$3:O$29,""))</f>
        <v>14.75</v>
      </c>
      <c r="P31">
        <f t="array" ref="P31">MEDIAN(IF($C$3:$C$29=$C31,P$3:P$29,""))</f>
        <v>14.65</v>
      </c>
      <c r="Q31">
        <f t="array" ref="Q31">MEDIAN(IF($C$3:$C$29=$C31,Q$3:Q$29,""))</f>
        <v>15.399999999999999</v>
      </c>
      <c r="R31">
        <f t="array" ref="R31">MEDIAN(IF($C$3:$C$29=$C31,R$3:R$29,""))</f>
        <v>17.7</v>
      </c>
      <c r="S31">
        <f t="array" ref="S31">MEDIAN(IF($C$3:$C$29=$C31,S$3:S$29,""))</f>
        <v>16.149999999999999</v>
      </c>
      <c r="T31">
        <f t="array" ref="T31">MEDIAN(IF($C$3:$C$29=$C31,T$3:T$29,""))</f>
        <v>16.350000000000001</v>
      </c>
      <c r="U31">
        <f t="array" ref="U31">MEDIAN(IF($C$3:$C$29=$C31,U$3:U$29,""))</f>
        <v>16.149999999999999</v>
      </c>
      <c r="V31">
        <f t="array" ref="V31">MEDIAN(IF($C$3:$C$29=$C31,V$3:V$29,""))</f>
        <v>16.7</v>
      </c>
      <c r="W31">
        <f t="array" ref="W31">MEDIAN(IF($C$3:$C$29=$C31,W$3:W$29,""))</f>
        <v>15.350000000000001</v>
      </c>
      <c r="X31">
        <f t="array" ref="X31">MEDIAN(IF($C$3:$C$29=$C31,X$3:X$29,""))</f>
        <v>19.25</v>
      </c>
      <c r="Y31">
        <f t="array" ref="Y31">MEDIAN(IF($C$3:$C$29=$C31,Y$3:Y$29,""))</f>
        <v>15.9</v>
      </c>
      <c r="Z31">
        <f t="array" ref="Z31">MEDIAN(IF($C$3:$C$29=$C31,Z$3:Z$29,""))</f>
        <v>19.75</v>
      </c>
      <c r="AA31">
        <f t="array" ref="AA31">MEDIAN(IF($C$3:$C$29=$C31,AA$3:AA$29,""))</f>
        <v>24.9</v>
      </c>
    </row>
    <row r="32" spans="1:27" x14ac:dyDescent="0.25">
      <c r="C32">
        <v>2</v>
      </c>
      <c r="D32">
        <f t="array" ref="D32">MEDIAN(IF($C$3:$C$29=$C32,D$3:D$29,""))</f>
        <v>25.7</v>
      </c>
      <c r="E32">
        <f t="array" ref="E32">MEDIAN(IF($C$3:$C$29=$C32,E$3:E$29,""))</f>
        <v>32.85</v>
      </c>
      <c r="F32">
        <f t="array" ref="F32">MEDIAN(IF($C$3:$C$29=$C32,F$3:F$29,""))</f>
        <v>29.5</v>
      </c>
      <c r="G32">
        <f t="array" ref="G32">MEDIAN(IF($C$3:$C$29=$C32,G$3:G$29,""))</f>
        <v>33.900000000000006</v>
      </c>
      <c r="H32">
        <f t="array" ref="H32">MEDIAN(IF($C$3:$C$29=$C32,H$3:H$29,""))</f>
        <v>35.15</v>
      </c>
      <c r="I32">
        <f t="array" ref="I32">MEDIAN(IF($C$3:$C$29=$C32,I$3:I$29,""))</f>
        <v>23.9</v>
      </c>
      <c r="J32">
        <f t="array" ref="J32">MEDIAN(IF($C$3:$C$29=$C32,J$3:J$29,""))</f>
        <v>18.549999999999997</v>
      </c>
      <c r="K32">
        <f t="array" ref="K32">MEDIAN(IF($C$3:$C$29=$C32,K$3:K$29,""))</f>
        <v>15.600000000000001</v>
      </c>
      <c r="L32">
        <f t="array" ref="L32">MEDIAN(IF($C$3:$C$29=$C32,L$3:L$29,""))</f>
        <v>12.9</v>
      </c>
      <c r="M32">
        <f t="array" ref="M32">MEDIAN(IF($C$3:$C$29=$C32,M$3:M$29,""))</f>
        <v>11.3</v>
      </c>
      <c r="N32">
        <f t="array" ref="N32">MEDIAN(IF($C$3:$C$29=$C32,N$3:N$29,""))</f>
        <v>10.75</v>
      </c>
      <c r="O32">
        <f t="array" ref="O32">MEDIAN(IF($C$3:$C$29=$C32,O$3:O$29,""))</f>
        <v>9.8000000000000007</v>
      </c>
      <c r="P32">
        <f t="array" ref="P32">MEDIAN(IF($C$3:$C$29=$C32,P$3:P$29,""))</f>
        <v>7.5500000000000007</v>
      </c>
      <c r="Q32">
        <f t="array" ref="Q32">MEDIAN(IF($C$3:$C$29=$C32,Q$3:Q$29,""))</f>
        <v>8.75</v>
      </c>
      <c r="R32">
        <f t="array" ref="R32">MEDIAN(IF($C$3:$C$29=$C32,R$3:R$29,""))</f>
        <v>12.3</v>
      </c>
      <c r="S32">
        <f t="array" ref="S32">MEDIAN(IF($C$3:$C$29=$C32,S$3:S$29,""))</f>
        <v>13</v>
      </c>
      <c r="T32">
        <f t="array" ref="T32">MEDIAN(IF($C$3:$C$29=$C32,T$3:T$29,""))</f>
        <v>14.600000000000001</v>
      </c>
      <c r="U32">
        <f t="array" ref="U32">MEDIAN(IF($C$3:$C$29=$C32,U$3:U$29,""))</f>
        <v>11.8</v>
      </c>
      <c r="V32">
        <f t="array" ref="V32">MEDIAN(IF($C$3:$C$29=$C32,V$3:V$29,""))</f>
        <v>15.05</v>
      </c>
      <c r="W32">
        <f t="array" ref="W32">MEDIAN(IF($C$3:$C$29=$C32,W$3:W$29,""))</f>
        <v>15.5</v>
      </c>
      <c r="X32">
        <f t="array" ref="X32">MEDIAN(IF($C$3:$C$29=$C32,X$3:X$29,""))</f>
        <v>13.700000000000001</v>
      </c>
      <c r="Y32">
        <f t="array" ref="Y32">MEDIAN(IF($C$3:$C$29=$C32,Y$3:Y$29,""))</f>
        <v>17.100000000000001</v>
      </c>
      <c r="Z32">
        <f t="array" ref="Z32">MEDIAN(IF($C$3:$C$29=$C32,Z$3:Z$29,""))</f>
        <v>16</v>
      </c>
      <c r="AA32">
        <f t="array" ref="AA32">MEDIAN(IF($C$3:$C$29=$C32,AA$3:AA$29,""))</f>
        <v>20.95</v>
      </c>
    </row>
    <row r="33" spans="3:27" x14ac:dyDescent="0.25">
      <c r="C33">
        <v>3</v>
      </c>
      <c r="D33">
        <f t="array" ref="D33">MEDIAN(IF($C$3:$C$29=$C33,D$3:D$29,""))</f>
        <v>24.9</v>
      </c>
      <c r="E33">
        <f t="array" ref="E33">MEDIAN(IF($C$3:$C$29=$C33,E$3:E$29,""))</f>
        <v>29.2</v>
      </c>
      <c r="F33">
        <f t="array" ref="F33">MEDIAN(IF($C$3:$C$29=$C33,F$3:F$29,""))</f>
        <v>32.049999999999997</v>
      </c>
      <c r="G33">
        <f t="array" ref="G33">MEDIAN(IF($C$3:$C$29=$C33,G$3:G$29,""))</f>
        <v>32.5</v>
      </c>
      <c r="H33">
        <f t="array" ref="H33">MEDIAN(IF($C$3:$C$29=$C33,H$3:H$29,""))</f>
        <v>30.05</v>
      </c>
      <c r="I33">
        <f t="array" ref="I33">MEDIAN(IF($C$3:$C$29=$C33,I$3:I$29,""))</f>
        <v>24.5</v>
      </c>
      <c r="J33">
        <f t="array" ref="J33">MEDIAN(IF($C$3:$C$29=$C33,J$3:J$29,""))</f>
        <v>8.85</v>
      </c>
      <c r="K33">
        <f t="array" ref="K33">MEDIAN(IF($C$3:$C$29=$C33,K$3:K$29,""))</f>
        <v>6.2</v>
      </c>
      <c r="L33">
        <f t="array" ref="L33">MEDIAN(IF($C$3:$C$29=$C33,L$3:L$29,""))</f>
        <v>6.05</v>
      </c>
      <c r="M33">
        <f t="array" ref="M33">MEDIAN(IF($C$3:$C$29=$C33,M$3:M$29,""))</f>
        <v>6.75</v>
      </c>
      <c r="N33">
        <f t="array" ref="N33">MEDIAN(IF($C$3:$C$29=$C33,N$3:N$29,""))</f>
        <v>8.8000000000000007</v>
      </c>
      <c r="O33">
        <f t="array" ref="O33">MEDIAN(IF($C$3:$C$29=$C33,O$3:O$29,""))</f>
        <v>12.8</v>
      </c>
      <c r="P33">
        <f t="array" ref="P33">MEDIAN(IF($C$3:$C$29=$C33,P$3:P$29,""))</f>
        <v>10.9</v>
      </c>
      <c r="Q33">
        <f t="array" ref="Q33">MEDIAN(IF($C$3:$C$29=$C33,Q$3:Q$29,""))</f>
        <v>10.35</v>
      </c>
      <c r="R33">
        <f t="array" ref="R33">MEDIAN(IF($C$3:$C$29=$C33,R$3:R$29,""))</f>
        <v>12.65</v>
      </c>
      <c r="S33">
        <f t="array" ref="S33">MEDIAN(IF($C$3:$C$29=$C33,S$3:S$29,""))</f>
        <v>10.75</v>
      </c>
      <c r="T33">
        <f t="array" ref="T33">MEDIAN(IF($C$3:$C$29=$C33,T$3:T$29,""))</f>
        <v>9.85</v>
      </c>
      <c r="U33">
        <f t="array" ref="U33">MEDIAN(IF($C$3:$C$29=$C33,U$3:U$29,""))</f>
        <v>11.35</v>
      </c>
      <c r="V33">
        <f t="array" ref="V33">MEDIAN(IF($C$3:$C$29=$C33,V$3:V$29,""))</f>
        <v>8.75</v>
      </c>
      <c r="W33">
        <f t="array" ref="W33">MEDIAN(IF($C$3:$C$29=$C33,W$3:W$29,""))</f>
        <v>13.9</v>
      </c>
      <c r="X33">
        <f t="array" ref="X33">MEDIAN(IF($C$3:$C$29=$C33,X$3:X$29,""))</f>
        <v>16.100000000000001</v>
      </c>
      <c r="Y33">
        <f t="array" ref="Y33">MEDIAN(IF($C$3:$C$29=$C33,Y$3:Y$29,""))</f>
        <v>16.8</v>
      </c>
      <c r="Z33">
        <f t="array" ref="Z33">MEDIAN(IF($C$3:$C$29=$C33,Z$3:Z$29,""))</f>
        <v>18.549999999999997</v>
      </c>
      <c r="AA33">
        <f t="array" ref="AA33">MEDIAN(IF($C$3:$C$29=$C33,AA$3:AA$29,""))</f>
        <v>20.45</v>
      </c>
    </row>
    <row r="34" spans="3:27" x14ac:dyDescent="0.25">
      <c r="C34">
        <v>4</v>
      </c>
      <c r="D34">
        <f t="array" ref="D34">MEDIAN(IF($C$3:$C$29=$C34,D$3:D$29,""))</f>
        <v>28.200000000000003</v>
      </c>
      <c r="E34">
        <f t="array" ref="E34">MEDIAN(IF($C$3:$C$29=$C34,E$3:E$29,""))</f>
        <v>33.150000000000006</v>
      </c>
      <c r="F34">
        <f t="array" ref="F34">MEDIAN(IF($C$3:$C$29=$C34,F$3:F$29,""))</f>
        <v>29.2</v>
      </c>
      <c r="G34">
        <f t="array" ref="G34">MEDIAN(IF($C$3:$C$29=$C34,G$3:G$29,""))</f>
        <v>33.75</v>
      </c>
      <c r="H34">
        <f t="array" ref="H34">MEDIAN(IF($C$3:$C$29=$C34,H$3:H$29,""))</f>
        <v>30.6</v>
      </c>
      <c r="I34">
        <f t="array" ref="I34">MEDIAN(IF($C$3:$C$29=$C34,I$3:I$29,""))</f>
        <v>22.9</v>
      </c>
      <c r="J34">
        <f t="array" ref="J34">MEDIAN(IF($C$3:$C$29=$C34,J$3:J$29,""))</f>
        <v>10.050000000000001</v>
      </c>
      <c r="K34">
        <f t="array" ref="K34">MEDIAN(IF($C$3:$C$29=$C34,K$3:K$29,""))</f>
        <v>5.5</v>
      </c>
      <c r="L34">
        <f t="array" ref="L34">MEDIAN(IF($C$3:$C$29=$C34,L$3:L$29,""))</f>
        <v>6.75</v>
      </c>
      <c r="M34">
        <f t="array" ref="M34">MEDIAN(IF($C$3:$C$29=$C34,M$3:M$29,""))</f>
        <v>7.65</v>
      </c>
      <c r="N34">
        <f t="array" ref="N34">MEDIAN(IF($C$3:$C$29=$C34,N$3:N$29,""))</f>
        <v>9.1499999999999986</v>
      </c>
      <c r="O34">
        <f t="array" ref="O34">MEDIAN(IF($C$3:$C$29=$C34,O$3:O$29,""))</f>
        <v>10.7</v>
      </c>
      <c r="P34">
        <f t="array" ref="P34">MEDIAN(IF($C$3:$C$29=$C34,P$3:P$29,""))</f>
        <v>10.5</v>
      </c>
      <c r="Q34">
        <f t="array" ref="Q34">MEDIAN(IF($C$3:$C$29=$C34,Q$3:Q$29,""))</f>
        <v>11.899999999999999</v>
      </c>
      <c r="R34">
        <f t="array" ref="R34">MEDIAN(IF($C$3:$C$29=$C34,R$3:R$29,""))</f>
        <v>11.95</v>
      </c>
      <c r="S34">
        <f t="array" ref="S34">MEDIAN(IF($C$3:$C$29=$C34,S$3:S$29,""))</f>
        <v>11.3</v>
      </c>
      <c r="T34">
        <f t="array" ref="T34">MEDIAN(IF($C$3:$C$29=$C34,T$3:T$29,""))</f>
        <v>7.75</v>
      </c>
      <c r="U34">
        <f t="array" ref="U34">MEDIAN(IF($C$3:$C$29=$C34,U$3:U$29,""))</f>
        <v>6.75</v>
      </c>
      <c r="V34">
        <f t="array" ref="V34">MEDIAN(IF($C$3:$C$29=$C34,V$3:V$29,""))</f>
        <v>10.65</v>
      </c>
      <c r="W34">
        <f t="array" ref="W34">MEDIAN(IF($C$3:$C$29=$C34,W$3:W$29,""))</f>
        <v>11</v>
      </c>
      <c r="X34">
        <f t="array" ref="X34">MEDIAN(IF($C$3:$C$29=$C34,X$3:X$29,""))</f>
        <v>15.65</v>
      </c>
      <c r="Y34">
        <f t="array" ref="Y34">MEDIAN(IF($C$3:$C$29=$C34,Y$3:Y$29,""))</f>
        <v>17.149999999999999</v>
      </c>
      <c r="Z34">
        <f t="array" ref="Z34">MEDIAN(IF($C$3:$C$29=$C34,Z$3:Z$29,""))</f>
        <v>18.100000000000001</v>
      </c>
      <c r="AA34">
        <f t="array" ref="AA34">MEDIAN(IF($C$3:$C$29=$C34,AA$3:AA$29,""))</f>
        <v>29.75</v>
      </c>
    </row>
    <row r="35" spans="3:27" x14ac:dyDescent="0.25">
      <c r="C35">
        <v>5</v>
      </c>
      <c r="D35">
        <f t="array" ref="D35">MEDIAN(IF($C$3:$C$29=$C35,D$3:D$29,""))</f>
        <v>24.049999999999997</v>
      </c>
      <c r="E35">
        <f t="array" ref="E35">MEDIAN(IF($C$3:$C$29=$C35,E$3:E$29,""))</f>
        <v>31.450000000000003</v>
      </c>
      <c r="F35">
        <f t="array" ref="F35">MEDIAN(IF($C$3:$C$29=$C35,F$3:F$29,""))</f>
        <v>33.35</v>
      </c>
      <c r="G35">
        <f t="array" ref="G35">MEDIAN(IF($C$3:$C$29=$C35,G$3:G$29,""))</f>
        <v>31.85</v>
      </c>
      <c r="H35">
        <f t="array" ref="H35">MEDIAN(IF($C$3:$C$29=$C35,H$3:H$29,""))</f>
        <v>28.799999999999997</v>
      </c>
      <c r="I35">
        <f t="array" ref="I35">MEDIAN(IF($C$3:$C$29=$C35,I$3:I$29,""))</f>
        <v>21.3</v>
      </c>
      <c r="J35">
        <f t="array" ref="J35">MEDIAN(IF($C$3:$C$29=$C35,J$3:J$29,""))</f>
        <v>12.2</v>
      </c>
      <c r="K35">
        <f t="array" ref="K35">MEDIAN(IF($C$3:$C$29=$C35,K$3:K$29,""))</f>
        <v>5.3000000000000007</v>
      </c>
      <c r="L35">
        <f t="array" ref="L35">MEDIAN(IF($C$3:$C$29=$C35,L$3:L$29,""))</f>
        <v>6.9</v>
      </c>
      <c r="M35">
        <f t="array" ref="M35">MEDIAN(IF($C$3:$C$29=$C35,M$3:M$29,""))</f>
        <v>6.45</v>
      </c>
      <c r="N35">
        <f t="array" ref="N35">MEDIAN(IF($C$3:$C$29=$C35,N$3:N$29,""))</f>
        <v>7</v>
      </c>
      <c r="O35">
        <f t="array" ref="O35">MEDIAN(IF($C$3:$C$29=$C35,O$3:O$29,""))</f>
        <v>10.149999999999999</v>
      </c>
      <c r="P35">
        <f t="array" ref="P35">MEDIAN(IF($C$3:$C$29=$C35,P$3:P$29,""))</f>
        <v>9.3500000000000014</v>
      </c>
      <c r="Q35">
        <f t="array" ref="Q35">MEDIAN(IF($C$3:$C$29=$C35,Q$3:Q$29,""))</f>
        <v>10.649999999999999</v>
      </c>
      <c r="R35">
        <f t="array" ref="R35">MEDIAN(IF($C$3:$C$29=$C35,R$3:R$29,""))</f>
        <v>11.4</v>
      </c>
      <c r="S35">
        <f t="array" ref="S35">MEDIAN(IF($C$3:$C$29=$C35,S$3:S$29,""))</f>
        <v>9.1999999999999993</v>
      </c>
      <c r="T35">
        <f t="array" ref="T35">MEDIAN(IF($C$3:$C$29=$C35,T$3:T$29,""))</f>
        <v>9.0500000000000007</v>
      </c>
      <c r="U35">
        <f t="array" ref="U35">MEDIAN(IF($C$3:$C$29=$C35,U$3:U$29,""))</f>
        <v>8.85</v>
      </c>
      <c r="V35">
        <f t="array" ref="V35">MEDIAN(IF($C$3:$C$29=$C35,V$3:V$29,""))</f>
        <v>9.0500000000000007</v>
      </c>
      <c r="W35">
        <f t="array" ref="W35">MEDIAN(IF($C$3:$C$29=$C35,W$3:W$29,""))</f>
        <v>13.600000000000001</v>
      </c>
      <c r="X35">
        <f t="array" ref="X35">MEDIAN(IF($C$3:$C$29=$C35,X$3:X$29,""))</f>
        <v>13.1</v>
      </c>
      <c r="Y35">
        <f t="array" ref="Y35">MEDIAN(IF($C$3:$C$29=$C35,Y$3:Y$29,""))</f>
        <v>15.9</v>
      </c>
      <c r="Z35">
        <f t="array" ref="Z35">MEDIAN(IF($C$3:$C$29=$C35,Z$3:Z$29,""))</f>
        <v>19.2</v>
      </c>
      <c r="AA35">
        <f t="array" ref="AA35">MEDIAN(IF($C$3:$C$29=$C35,AA$3:AA$29,""))</f>
        <v>20.8</v>
      </c>
    </row>
    <row r="36" spans="3:27" x14ac:dyDescent="0.25">
      <c r="C36">
        <v>6</v>
      </c>
      <c r="D36">
        <f t="array" ref="D36">MEDIAN(IF($C$3:$C$29=$C36,D$3:D$29,""))</f>
        <v>21.1</v>
      </c>
      <c r="E36">
        <f t="array" ref="E36">MEDIAN(IF($C$3:$C$29=$C36,E$3:E$29,""))</f>
        <v>33.5</v>
      </c>
      <c r="F36">
        <f t="array" ref="F36">MEDIAN(IF($C$3:$C$29=$C36,F$3:F$29,""))</f>
        <v>29.3</v>
      </c>
      <c r="G36">
        <f t="array" ref="G36">MEDIAN(IF($C$3:$C$29=$C36,G$3:G$29,""))</f>
        <v>36</v>
      </c>
      <c r="H36">
        <f t="array" ref="H36">MEDIAN(IF($C$3:$C$29=$C36,H$3:H$29,""))</f>
        <v>27.9</v>
      </c>
      <c r="I36">
        <f t="array" ref="I36">MEDIAN(IF($C$3:$C$29=$C36,I$3:I$29,""))</f>
        <v>21.1</v>
      </c>
      <c r="J36">
        <f t="array" ref="J36">MEDIAN(IF($C$3:$C$29=$C36,J$3:J$29,""))</f>
        <v>6.4</v>
      </c>
      <c r="K36">
        <f t="array" ref="K36">MEDIAN(IF($C$3:$C$29=$C36,K$3:K$29,""))</f>
        <v>5.6</v>
      </c>
      <c r="L36">
        <f t="array" ref="L36">MEDIAN(IF($C$3:$C$29=$C36,L$3:L$29,""))</f>
        <v>5.3</v>
      </c>
      <c r="M36">
        <f t="array" ref="M36">MEDIAN(IF($C$3:$C$29=$C36,M$3:M$29,""))</f>
        <v>9</v>
      </c>
      <c r="N36">
        <f t="array" ref="N36">MEDIAN(IF($C$3:$C$29=$C36,N$3:N$29,""))</f>
        <v>8.3000000000000007</v>
      </c>
      <c r="O36">
        <f t="array" ref="O36">MEDIAN(IF($C$3:$C$29=$C36,O$3:O$29,""))</f>
        <v>11.9</v>
      </c>
      <c r="P36">
        <f t="array" ref="P36">MEDIAN(IF($C$3:$C$29=$C36,P$3:P$29,""))</f>
        <v>9</v>
      </c>
      <c r="Q36">
        <f t="array" ref="Q36">MEDIAN(IF($C$3:$C$29=$C36,Q$3:Q$29,""))</f>
        <v>10.8</v>
      </c>
      <c r="R36">
        <f t="array" ref="R36">MEDIAN(IF($C$3:$C$29=$C36,R$3:R$29,""))</f>
        <v>12.8</v>
      </c>
      <c r="S36">
        <f t="array" ref="S36">MEDIAN(IF($C$3:$C$29=$C36,S$3:S$29,""))</f>
        <v>10.7</v>
      </c>
      <c r="T36">
        <f t="array" ref="T36">MEDIAN(IF($C$3:$C$29=$C36,T$3:T$29,""))</f>
        <v>8.6999999999999993</v>
      </c>
      <c r="U36">
        <f t="array" ref="U36">MEDIAN(IF($C$3:$C$29=$C36,U$3:U$29,""))</f>
        <v>10.4</v>
      </c>
      <c r="V36">
        <f t="array" ref="V36">MEDIAN(IF($C$3:$C$29=$C36,V$3:V$29,""))</f>
        <v>8</v>
      </c>
      <c r="W36">
        <f t="array" ref="W36">MEDIAN(IF($C$3:$C$29=$C36,W$3:W$29,""))</f>
        <v>16.3</v>
      </c>
      <c r="X36">
        <f t="array" ref="X36">MEDIAN(IF($C$3:$C$29=$C36,X$3:X$29,""))</f>
        <v>14.6</v>
      </c>
      <c r="Y36">
        <f t="array" ref="Y36">MEDIAN(IF($C$3:$C$29=$C36,Y$3:Y$29,""))</f>
        <v>15.1</v>
      </c>
      <c r="Z36">
        <f t="array" ref="Z36">MEDIAN(IF($C$3:$C$29=$C36,Z$3:Z$29,""))</f>
        <v>18</v>
      </c>
      <c r="AA36">
        <f t="array" ref="AA36">MEDIAN(IF($C$3:$C$29=$C36,AA$3:AA$29,""))</f>
        <v>22.2</v>
      </c>
    </row>
    <row r="37" spans="3:27" x14ac:dyDescent="0.25">
      <c r="C37">
        <v>7</v>
      </c>
      <c r="D37">
        <f t="array" ref="D37">MEDIAN(IF($C$3:$C$29=$C37,D$3:D$29,""))</f>
        <v>24.75</v>
      </c>
      <c r="E37">
        <f t="array" ref="E37">MEDIAN(IF($C$3:$C$29=$C37,E$3:E$29,""))</f>
        <v>29.05</v>
      </c>
      <c r="F37">
        <f t="array" ref="F37">MEDIAN(IF($C$3:$C$29=$C37,F$3:F$29,""))</f>
        <v>31.6</v>
      </c>
      <c r="G37">
        <f t="array" ref="G37">MEDIAN(IF($C$3:$C$29=$C37,G$3:G$29,""))</f>
        <v>32.849999999999994</v>
      </c>
      <c r="H37">
        <f t="array" ref="H37">MEDIAN(IF($C$3:$C$29=$C37,H$3:H$29,""))</f>
        <v>32.65</v>
      </c>
      <c r="I37">
        <f t="array" ref="I37">MEDIAN(IF($C$3:$C$29=$C37,I$3:I$29,""))</f>
        <v>23.4</v>
      </c>
      <c r="J37">
        <f t="array" ref="J37">MEDIAN(IF($C$3:$C$29=$C37,J$3:J$29,""))</f>
        <v>11.4</v>
      </c>
      <c r="K37">
        <f t="array" ref="K37">MEDIAN(IF($C$3:$C$29=$C37,K$3:K$29,""))</f>
        <v>8.15</v>
      </c>
      <c r="L37">
        <f t="array" ref="L37">MEDIAN(IF($C$3:$C$29=$C37,L$3:L$29,""))</f>
        <v>5.85</v>
      </c>
      <c r="M37">
        <f t="array" ref="M37">MEDIAN(IF($C$3:$C$29=$C37,M$3:M$29,""))</f>
        <v>8</v>
      </c>
      <c r="N37">
        <f t="array" ref="N37">MEDIAN(IF($C$3:$C$29=$C37,N$3:N$29,""))</f>
        <v>9.3000000000000007</v>
      </c>
      <c r="O37">
        <f t="array" ref="O37">MEDIAN(IF($C$3:$C$29=$C37,O$3:O$29,""))</f>
        <v>10.85</v>
      </c>
      <c r="P37">
        <f t="array" ref="P37">MEDIAN(IF($C$3:$C$29=$C37,P$3:P$29,""))</f>
        <v>10.15</v>
      </c>
      <c r="Q37">
        <f t="array" ref="Q37">MEDIAN(IF($C$3:$C$29=$C37,Q$3:Q$29,""))</f>
        <v>11.55</v>
      </c>
      <c r="R37">
        <f t="array" ref="R37">MEDIAN(IF($C$3:$C$29=$C37,R$3:R$29,""))</f>
        <v>12.3</v>
      </c>
      <c r="S37">
        <f t="array" ref="S37">MEDIAN(IF($C$3:$C$29=$C37,S$3:S$29,""))</f>
        <v>11.95</v>
      </c>
      <c r="T37">
        <f t="array" ref="T37">MEDIAN(IF($C$3:$C$29=$C37,T$3:T$29,""))</f>
        <v>10.7</v>
      </c>
      <c r="U37">
        <f t="array" ref="U37">MEDIAN(IF($C$3:$C$29=$C37,U$3:U$29,""))</f>
        <v>10</v>
      </c>
      <c r="V37">
        <f t="array" ref="V37">MEDIAN(IF($C$3:$C$29=$C37,V$3:V$29,""))</f>
        <v>9.0500000000000007</v>
      </c>
      <c r="W37">
        <f t="array" ref="W37">MEDIAN(IF($C$3:$C$29=$C37,W$3:W$29,""))</f>
        <v>11</v>
      </c>
      <c r="X37">
        <f t="array" ref="X37">MEDIAN(IF($C$3:$C$29=$C37,X$3:X$29,""))</f>
        <v>13.25</v>
      </c>
      <c r="Y37">
        <f t="array" ref="Y37">MEDIAN(IF($C$3:$C$29=$C37,Y$3:Y$29,""))</f>
        <v>18.25</v>
      </c>
      <c r="Z37">
        <f t="array" ref="Z37">MEDIAN(IF($C$3:$C$29=$C37,Z$3:Z$29,""))</f>
        <v>16.600000000000001</v>
      </c>
      <c r="AA37">
        <f t="array" ref="AA37">MEDIAN(IF($C$3:$C$29=$C37,AA$3:AA$29,""))</f>
        <v>20.45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3"/>
  <dimension ref="A1:AA37"/>
  <sheetViews>
    <sheetView workbookViewId="0">
      <selection activeCell="G31" sqref="G31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24.7</v>
      </c>
      <c r="E3">
        <v>35</v>
      </c>
      <c r="F3">
        <v>39.9</v>
      </c>
      <c r="G3">
        <v>29.5</v>
      </c>
      <c r="H3">
        <v>40.799999999999997</v>
      </c>
      <c r="I3">
        <v>24.4</v>
      </c>
      <c r="J3">
        <v>18.5</v>
      </c>
      <c r="K3">
        <v>14.1</v>
      </c>
      <c r="L3">
        <v>10.8</v>
      </c>
      <c r="M3">
        <v>16.8</v>
      </c>
      <c r="N3">
        <v>19.3</v>
      </c>
      <c r="O3">
        <v>15.9</v>
      </c>
      <c r="P3">
        <v>15</v>
      </c>
      <c r="Q3">
        <v>21.2</v>
      </c>
      <c r="R3">
        <v>17.5</v>
      </c>
      <c r="S3">
        <v>16.2</v>
      </c>
      <c r="T3">
        <v>15</v>
      </c>
      <c r="U3">
        <v>23</v>
      </c>
      <c r="V3">
        <v>13.8</v>
      </c>
      <c r="W3">
        <v>21</v>
      </c>
      <c r="X3">
        <v>22.4</v>
      </c>
      <c r="Y3">
        <v>21.5</v>
      </c>
      <c r="Z3">
        <v>19.899999999999999</v>
      </c>
      <c r="AA3">
        <v>26.8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29.9</v>
      </c>
      <c r="E4">
        <v>42.5</v>
      </c>
      <c r="F4">
        <v>26.1</v>
      </c>
      <c r="G4">
        <v>39</v>
      </c>
      <c r="H4">
        <v>39.700000000000003</v>
      </c>
      <c r="I4">
        <v>29.1</v>
      </c>
      <c r="J4">
        <v>39</v>
      </c>
      <c r="K4">
        <v>21.2</v>
      </c>
      <c r="L4">
        <v>20.5</v>
      </c>
      <c r="M4">
        <v>15</v>
      </c>
      <c r="N4">
        <v>24.6</v>
      </c>
      <c r="O4">
        <v>16.100000000000001</v>
      </c>
      <c r="P4">
        <v>18.399999999999999</v>
      </c>
      <c r="Q4">
        <v>14.3</v>
      </c>
      <c r="R4">
        <v>19.8</v>
      </c>
      <c r="S4">
        <v>17.8</v>
      </c>
      <c r="T4">
        <v>19.600000000000001</v>
      </c>
      <c r="U4">
        <v>18.5</v>
      </c>
      <c r="V4">
        <v>26.2</v>
      </c>
      <c r="W4">
        <v>17.899999999999999</v>
      </c>
      <c r="X4">
        <v>18.2</v>
      </c>
      <c r="Y4">
        <v>23.4</v>
      </c>
      <c r="Z4">
        <v>25.9</v>
      </c>
      <c r="AA4">
        <v>29.3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26.2</v>
      </c>
      <c r="E5">
        <v>36</v>
      </c>
      <c r="F5">
        <v>36.299999999999997</v>
      </c>
      <c r="G5">
        <v>36.200000000000003</v>
      </c>
      <c r="H5">
        <v>40.299999999999997</v>
      </c>
      <c r="I5">
        <v>27.4</v>
      </c>
      <c r="J5">
        <v>23.5</v>
      </c>
      <c r="K5">
        <v>23.1</v>
      </c>
      <c r="L5">
        <v>26.2</v>
      </c>
      <c r="M5">
        <v>22.3</v>
      </c>
      <c r="N5">
        <v>19.600000000000001</v>
      </c>
      <c r="O5">
        <v>24.2</v>
      </c>
      <c r="P5">
        <v>18.2</v>
      </c>
      <c r="Q5">
        <v>26.2</v>
      </c>
      <c r="R5">
        <v>20.100000000000001</v>
      </c>
      <c r="S5">
        <v>19.2</v>
      </c>
      <c r="T5">
        <v>21.4</v>
      </c>
      <c r="U5">
        <v>24.6</v>
      </c>
      <c r="V5">
        <v>18.899999999999999</v>
      </c>
      <c r="W5">
        <v>16.600000000000001</v>
      </c>
      <c r="X5">
        <v>25.3</v>
      </c>
      <c r="Y5">
        <v>19.600000000000001</v>
      </c>
      <c r="Z5">
        <v>24.8</v>
      </c>
      <c r="AA5">
        <v>26.1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28.7</v>
      </c>
      <c r="E6">
        <v>32.5</v>
      </c>
      <c r="F6">
        <v>34.5</v>
      </c>
      <c r="G6">
        <v>36.799999999999997</v>
      </c>
      <c r="H6">
        <v>27.8</v>
      </c>
      <c r="I6">
        <v>20.8</v>
      </c>
      <c r="J6">
        <v>17.100000000000001</v>
      </c>
      <c r="K6">
        <v>13.9</v>
      </c>
      <c r="L6">
        <v>17.5</v>
      </c>
      <c r="M6">
        <v>9.9</v>
      </c>
      <c r="N6">
        <v>18.7</v>
      </c>
      <c r="O6">
        <v>25.5</v>
      </c>
      <c r="P6">
        <v>16.3</v>
      </c>
      <c r="Q6">
        <v>15.7</v>
      </c>
      <c r="R6">
        <v>17.899999999999999</v>
      </c>
      <c r="S6">
        <v>21.9</v>
      </c>
      <c r="T6">
        <v>12.8</v>
      </c>
      <c r="U6">
        <v>23.2</v>
      </c>
      <c r="V6">
        <v>17.899999999999999</v>
      </c>
      <c r="W6">
        <v>19.100000000000001</v>
      </c>
      <c r="X6">
        <v>25.9</v>
      </c>
      <c r="Y6">
        <v>26</v>
      </c>
      <c r="Z6">
        <v>26.1</v>
      </c>
      <c r="AA6">
        <v>32.299999999999997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29.2</v>
      </c>
      <c r="E7">
        <v>38</v>
      </c>
      <c r="F7">
        <v>36.200000000000003</v>
      </c>
      <c r="G7">
        <v>43.1</v>
      </c>
      <c r="H7">
        <v>37.299999999999997</v>
      </c>
      <c r="I7">
        <v>29.2</v>
      </c>
      <c r="J7">
        <v>13.9</v>
      </c>
      <c r="K7">
        <v>10.3</v>
      </c>
      <c r="L7">
        <v>11.9</v>
      </c>
      <c r="M7">
        <v>14.5</v>
      </c>
      <c r="N7">
        <v>18.2</v>
      </c>
      <c r="O7">
        <v>17.399999999999999</v>
      </c>
      <c r="P7">
        <v>16.899999999999999</v>
      </c>
      <c r="Q7">
        <v>16.600000000000001</v>
      </c>
      <c r="R7">
        <v>14.1</v>
      </c>
      <c r="S7">
        <v>19.5</v>
      </c>
      <c r="T7">
        <v>21.5</v>
      </c>
      <c r="U7">
        <v>17</v>
      </c>
      <c r="V7">
        <v>21.4</v>
      </c>
      <c r="W7">
        <v>13.3</v>
      </c>
      <c r="X7">
        <v>18</v>
      </c>
      <c r="Y7">
        <v>22.6</v>
      </c>
      <c r="Z7">
        <v>21.3</v>
      </c>
      <c r="AA7">
        <v>34.4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34</v>
      </c>
      <c r="E8">
        <v>34.799999999999997</v>
      </c>
      <c r="F8">
        <v>35.700000000000003</v>
      </c>
      <c r="G8">
        <v>37.799999999999997</v>
      </c>
      <c r="H8">
        <v>39.200000000000003</v>
      </c>
      <c r="I8">
        <v>27.2</v>
      </c>
      <c r="J8">
        <v>16.2</v>
      </c>
      <c r="K8">
        <v>15</v>
      </c>
      <c r="L8">
        <v>10.6</v>
      </c>
      <c r="M8">
        <v>15.9</v>
      </c>
      <c r="N8">
        <v>5.6</v>
      </c>
      <c r="O8">
        <v>19.399999999999999</v>
      </c>
      <c r="P8">
        <v>14.4</v>
      </c>
      <c r="Q8">
        <v>12.6</v>
      </c>
      <c r="R8">
        <v>16.5</v>
      </c>
      <c r="S8">
        <v>22.1</v>
      </c>
      <c r="T8">
        <v>15.9</v>
      </c>
      <c r="U8">
        <v>12.9</v>
      </c>
      <c r="V8">
        <v>18.2</v>
      </c>
      <c r="W8">
        <v>22.7</v>
      </c>
      <c r="X8">
        <v>21.9</v>
      </c>
      <c r="Y8">
        <v>32.200000000000003</v>
      </c>
      <c r="Z8">
        <v>25.3</v>
      </c>
      <c r="AA8">
        <v>23.6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36.4</v>
      </c>
      <c r="E9">
        <v>37.799999999999997</v>
      </c>
      <c r="F9">
        <v>38.9</v>
      </c>
      <c r="G9">
        <v>41.2</v>
      </c>
      <c r="H9">
        <v>35.799999999999997</v>
      </c>
      <c r="I9">
        <v>23.1</v>
      </c>
      <c r="J9">
        <v>21.4</v>
      </c>
      <c r="K9">
        <v>13.9</v>
      </c>
      <c r="L9">
        <v>10.5</v>
      </c>
      <c r="M9">
        <v>19.100000000000001</v>
      </c>
      <c r="N9">
        <v>14.8</v>
      </c>
      <c r="O9">
        <v>18.7</v>
      </c>
      <c r="P9">
        <v>18.7</v>
      </c>
      <c r="Q9">
        <v>15.7</v>
      </c>
      <c r="R9">
        <v>22.5</v>
      </c>
      <c r="S9">
        <v>19.399999999999999</v>
      </c>
      <c r="T9">
        <v>15.7</v>
      </c>
      <c r="U9">
        <v>14.8</v>
      </c>
      <c r="V9">
        <v>19.100000000000001</v>
      </c>
      <c r="W9">
        <v>15.5</v>
      </c>
      <c r="X9">
        <v>20.9</v>
      </c>
      <c r="Y9">
        <v>29.5</v>
      </c>
      <c r="Z9">
        <v>24.3</v>
      </c>
      <c r="AA9">
        <v>30.3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32.1</v>
      </c>
      <c r="E10">
        <v>35.1</v>
      </c>
      <c r="F10">
        <v>33.9</v>
      </c>
      <c r="G10">
        <v>44</v>
      </c>
      <c r="H10">
        <v>35.799999999999997</v>
      </c>
      <c r="I10">
        <v>31.9</v>
      </c>
      <c r="J10">
        <v>15.5</v>
      </c>
      <c r="K10">
        <v>12.8</v>
      </c>
      <c r="L10">
        <v>10.9</v>
      </c>
      <c r="M10">
        <v>14.1</v>
      </c>
      <c r="N10">
        <v>15.4</v>
      </c>
      <c r="O10">
        <v>19.5</v>
      </c>
      <c r="P10">
        <v>14.5</v>
      </c>
      <c r="Q10">
        <v>15.8</v>
      </c>
      <c r="R10">
        <v>17.3</v>
      </c>
      <c r="S10">
        <v>19.600000000000001</v>
      </c>
      <c r="T10">
        <v>20.5</v>
      </c>
      <c r="U10">
        <v>18.399999999999999</v>
      </c>
      <c r="V10">
        <v>20.3</v>
      </c>
      <c r="W10">
        <v>29.3</v>
      </c>
      <c r="X10">
        <v>16.399999999999999</v>
      </c>
      <c r="Y10">
        <v>23.9</v>
      </c>
      <c r="Z10">
        <v>20.100000000000001</v>
      </c>
      <c r="AA10">
        <v>26.6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29.3</v>
      </c>
      <c r="E11">
        <v>39.299999999999997</v>
      </c>
      <c r="F11">
        <v>37.4</v>
      </c>
      <c r="G11">
        <v>26.7</v>
      </c>
      <c r="H11">
        <v>41.6</v>
      </c>
      <c r="I11">
        <v>30.8</v>
      </c>
      <c r="J11">
        <v>24.2</v>
      </c>
      <c r="K11">
        <v>21.2</v>
      </c>
      <c r="L11">
        <v>22.9</v>
      </c>
      <c r="M11">
        <v>15.7</v>
      </c>
      <c r="N11">
        <v>22</v>
      </c>
      <c r="O11">
        <v>19.600000000000001</v>
      </c>
      <c r="P11">
        <v>11.4</v>
      </c>
      <c r="Q11">
        <v>15.7</v>
      </c>
      <c r="R11">
        <v>17.7</v>
      </c>
      <c r="S11">
        <v>24.9</v>
      </c>
      <c r="T11">
        <v>17.899999999999999</v>
      </c>
      <c r="U11">
        <v>19.8</v>
      </c>
      <c r="V11">
        <v>19.3</v>
      </c>
      <c r="W11">
        <v>23.5</v>
      </c>
      <c r="X11">
        <v>23.4</v>
      </c>
      <c r="Y11">
        <v>20</v>
      </c>
      <c r="Z11">
        <v>15</v>
      </c>
      <c r="AA11">
        <v>35.9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35.5</v>
      </c>
      <c r="E12">
        <v>31.7</v>
      </c>
      <c r="F12">
        <v>35</v>
      </c>
      <c r="G12">
        <v>31.2</v>
      </c>
      <c r="H12">
        <v>39.6</v>
      </c>
      <c r="I12">
        <v>28.5</v>
      </c>
      <c r="J12">
        <v>37.5</v>
      </c>
      <c r="K12">
        <v>26.6</v>
      </c>
      <c r="L12">
        <v>19.3</v>
      </c>
      <c r="M12">
        <v>17.7</v>
      </c>
      <c r="N12">
        <v>20.399999999999999</v>
      </c>
      <c r="O12">
        <v>17.600000000000001</v>
      </c>
      <c r="P12">
        <v>19.8</v>
      </c>
      <c r="Q12">
        <v>18</v>
      </c>
      <c r="R12">
        <v>22.9</v>
      </c>
      <c r="S12">
        <v>21.8</v>
      </c>
      <c r="T12">
        <v>14.5</v>
      </c>
      <c r="U12">
        <v>19</v>
      </c>
      <c r="V12">
        <v>20</v>
      </c>
      <c r="W12">
        <v>18.399999999999999</v>
      </c>
      <c r="X12">
        <v>12.4</v>
      </c>
      <c r="Y12">
        <v>20.9</v>
      </c>
      <c r="Z12">
        <v>26.6</v>
      </c>
      <c r="AA12">
        <v>29.9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29.5</v>
      </c>
      <c r="E13">
        <v>37.700000000000003</v>
      </c>
      <c r="F13">
        <v>35.5</v>
      </c>
      <c r="G13">
        <v>39.4</v>
      </c>
      <c r="H13">
        <v>33.799999999999997</v>
      </c>
      <c r="I13">
        <v>36.200000000000003</v>
      </c>
      <c r="J13">
        <v>16.600000000000001</v>
      </c>
      <c r="K13">
        <v>15.5</v>
      </c>
      <c r="L13">
        <v>8.6999999999999993</v>
      </c>
      <c r="M13">
        <v>19</v>
      </c>
      <c r="N13">
        <v>15.5</v>
      </c>
      <c r="O13">
        <v>18.899999999999999</v>
      </c>
      <c r="P13">
        <v>18</v>
      </c>
      <c r="Q13">
        <v>17.5</v>
      </c>
      <c r="R13">
        <v>18.100000000000001</v>
      </c>
      <c r="S13">
        <v>14</v>
      </c>
      <c r="T13">
        <v>22.8</v>
      </c>
      <c r="U13">
        <v>17.8</v>
      </c>
      <c r="V13">
        <v>17</v>
      </c>
      <c r="W13">
        <v>14.3</v>
      </c>
      <c r="X13">
        <v>19.2</v>
      </c>
      <c r="Y13">
        <v>23.4</v>
      </c>
      <c r="Z13">
        <v>24</v>
      </c>
      <c r="AA13">
        <v>20.7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33.4</v>
      </c>
      <c r="E14">
        <v>27.9</v>
      </c>
      <c r="F14">
        <v>36.700000000000003</v>
      </c>
      <c r="G14">
        <v>22.6</v>
      </c>
      <c r="H14">
        <v>33.200000000000003</v>
      </c>
      <c r="I14">
        <v>28.2</v>
      </c>
      <c r="J14">
        <v>17</v>
      </c>
      <c r="K14">
        <v>11.1</v>
      </c>
      <c r="L14">
        <v>10.1</v>
      </c>
      <c r="M14">
        <v>17.3</v>
      </c>
      <c r="N14">
        <v>20.6</v>
      </c>
      <c r="O14">
        <v>19</v>
      </c>
      <c r="P14">
        <v>20.5</v>
      </c>
      <c r="Q14">
        <v>17.899999999999999</v>
      </c>
      <c r="R14">
        <v>18.7</v>
      </c>
      <c r="S14">
        <v>16.600000000000001</v>
      </c>
      <c r="T14">
        <v>13.1</v>
      </c>
      <c r="U14">
        <v>15.3</v>
      </c>
      <c r="V14">
        <v>26.5</v>
      </c>
      <c r="W14">
        <v>16.2</v>
      </c>
      <c r="X14">
        <v>15.9</v>
      </c>
      <c r="Y14">
        <v>17.100000000000001</v>
      </c>
      <c r="Z14">
        <v>19.100000000000001</v>
      </c>
      <c r="AA14">
        <v>27.1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28.9</v>
      </c>
      <c r="E15">
        <v>31.4</v>
      </c>
      <c r="F15">
        <v>42.4</v>
      </c>
      <c r="G15">
        <v>36.299999999999997</v>
      </c>
      <c r="H15">
        <v>33.799999999999997</v>
      </c>
      <c r="I15">
        <v>25.7</v>
      </c>
      <c r="J15">
        <v>20.7</v>
      </c>
      <c r="K15">
        <v>10.6</v>
      </c>
      <c r="L15">
        <v>11.8</v>
      </c>
      <c r="M15">
        <v>12.3</v>
      </c>
      <c r="N15">
        <v>14.7</v>
      </c>
      <c r="O15">
        <v>15.9</v>
      </c>
      <c r="P15">
        <v>15.7</v>
      </c>
      <c r="Q15">
        <v>14.5</v>
      </c>
      <c r="R15">
        <v>18.7</v>
      </c>
      <c r="S15">
        <v>16.399999999999999</v>
      </c>
      <c r="T15">
        <v>17.899999999999999</v>
      </c>
      <c r="U15">
        <v>16.7</v>
      </c>
      <c r="V15">
        <v>10.4</v>
      </c>
      <c r="W15">
        <v>19.600000000000001</v>
      </c>
      <c r="X15">
        <v>20.7</v>
      </c>
      <c r="Y15">
        <v>20.100000000000001</v>
      </c>
      <c r="Z15">
        <v>16.399999999999999</v>
      </c>
      <c r="AA15">
        <v>22.7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29.2</v>
      </c>
      <c r="E16">
        <v>33.200000000000003</v>
      </c>
      <c r="F16">
        <v>36</v>
      </c>
      <c r="G16">
        <v>41.7</v>
      </c>
      <c r="H16">
        <v>39.9</v>
      </c>
      <c r="I16">
        <v>25.2</v>
      </c>
      <c r="J16">
        <v>9.5</v>
      </c>
      <c r="K16">
        <v>11.3</v>
      </c>
      <c r="L16">
        <v>9.6</v>
      </c>
      <c r="M16">
        <v>14.3</v>
      </c>
      <c r="N16">
        <v>13.1</v>
      </c>
      <c r="O16">
        <v>19.8</v>
      </c>
      <c r="P16">
        <v>15.8</v>
      </c>
      <c r="Q16">
        <v>19.399999999999999</v>
      </c>
      <c r="R16">
        <v>26.4</v>
      </c>
      <c r="S16">
        <v>17.3</v>
      </c>
      <c r="T16">
        <v>16.5</v>
      </c>
      <c r="U16">
        <v>28.7</v>
      </c>
      <c r="V16">
        <v>16.3</v>
      </c>
      <c r="W16">
        <v>21.8</v>
      </c>
      <c r="X16">
        <v>12.8</v>
      </c>
      <c r="Y16">
        <v>15.4</v>
      </c>
      <c r="Z16">
        <v>19.899999999999999</v>
      </c>
      <c r="AA16">
        <v>25.3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29.9</v>
      </c>
      <c r="E17">
        <v>29.3</v>
      </c>
      <c r="F17">
        <v>35.299999999999997</v>
      </c>
      <c r="G17">
        <v>36.299999999999997</v>
      </c>
      <c r="H17">
        <v>41.3</v>
      </c>
      <c r="I17">
        <v>27.7</v>
      </c>
      <c r="J17">
        <v>16.600000000000001</v>
      </c>
      <c r="K17">
        <v>22.3</v>
      </c>
      <c r="L17">
        <v>10.5</v>
      </c>
      <c r="M17">
        <v>17.100000000000001</v>
      </c>
      <c r="N17">
        <v>12.7</v>
      </c>
      <c r="O17">
        <v>16.5</v>
      </c>
      <c r="P17">
        <v>15.3</v>
      </c>
      <c r="Q17">
        <v>15.7</v>
      </c>
      <c r="R17">
        <v>12.9</v>
      </c>
      <c r="S17">
        <v>16.8</v>
      </c>
      <c r="T17">
        <v>12.3</v>
      </c>
      <c r="U17">
        <v>9.1999999999999993</v>
      </c>
      <c r="V17">
        <v>11.3</v>
      </c>
      <c r="W17">
        <v>11.9</v>
      </c>
      <c r="X17">
        <v>17.2</v>
      </c>
      <c r="Y17">
        <v>19.100000000000001</v>
      </c>
      <c r="Z17">
        <v>17.899999999999999</v>
      </c>
      <c r="AA17">
        <v>20.3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30.3</v>
      </c>
      <c r="E18">
        <v>31.3</v>
      </c>
      <c r="F18">
        <v>29</v>
      </c>
      <c r="G18">
        <v>40.5</v>
      </c>
      <c r="H18">
        <v>39.799999999999997</v>
      </c>
      <c r="I18">
        <v>24.5</v>
      </c>
      <c r="J18">
        <v>22.2</v>
      </c>
      <c r="K18">
        <v>22.5</v>
      </c>
      <c r="L18">
        <v>19.399999999999999</v>
      </c>
      <c r="M18">
        <v>13.9</v>
      </c>
      <c r="N18">
        <v>16.600000000000001</v>
      </c>
      <c r="O18">
        <v>15.7</v>
      </c>
      <c r="P18">
        <v>15.6</v>
      </c>
      <c r="Q18">
        <v>12.7</v>
      </c>
      <c r="R18">
        <v>17</v>
      </c>
      <c r="S18">
        <v>16.5</v>
      </c>
      <c r="T18">
        <v>20.8</v>
      </c>
      <c r="U18">
        <v>14.8</v>
      </c>
      <c r="V18">
        <v>15.7</v>
      </c>
      <c r="W18">
        <v>18.399999999999999</v>
      </c>
      <c r="X18">
        <v>15.4</v>
      </c>
      <c r="Y18">
        <v>16.399999999999999</v>
      </c>
      <c r="Z18">
        <v>24.2</v>
      </c>
      <c r="AA18">
        <v>27.7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36.1</v>
      </c>
      <c r="E19">
        <v>35.9</v>
      </c>
      <c r="F19">
        <v>35.299999999999997</v>
      </c>
      <c r="G19">
        <v>29.8</v>
      </c>
      <c r="H19">
        <v>34.6</v>
      </c>
      <c r="I19">
        <v>31.9</v>
      </c>
      <c r="J19">
        <v>24.2</v>
      </c>
      <c r="K19">
        <v>21.8</v>
      </c>
      <c r="L19">
        <v>23.2</v>
      </c>
      <c r="M19">
        <v>20.5</v>
      </c>
      <c r="N19">
        <v>22.1</v>
      </c>
      <c r="O19">
        <v>25.8</v>
      </c>
      <c r="P19">
        <v>19</v>
      </c>
      <c r="Q19">
        <v>26.2</v>
      </c>
      <c r="R19">
        <v>25.7</v>
      </c>
      <c r="S19">
        <v>20.2</v>
      </c>
      <c r="T19">
        <v>23.6</v>
      </c>
      <c r="U19">
        <v>24.2</v>
      </c>
      <c r="V19">
        <v>25.5</v>
      </c>
      <c r="W19">
        <v>20.8</v>
      </c>
      <c r="X19">
        <v>17.8</v>
      </c>
      <c r="Y19">
        <v>22.7</v>
      </c>
      <c r="Z19">
        <v>27.2</v>
      </c>
      <c r="AA19">
        <v>32.200000000000003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29.1</v>
      </c>
      <c r="E20">
        <v>45.1</v>
      </c>
      <c r="F20">
        <v>29.7</v>
      </c>
      <c r="G20">
        <v>32.299999999999997</v>
      </c>
      <c r="H20">
        <v>37.700000000000003</v>
      </c>
      <c r="I20">
        <v>28.2</v>
      </c>
      <c r="J20">
        <v>11.3</v>
      </c>
      <c r="K20">
        <v>11.6</v>
      </c>
      <c r="L20">
        <v>12</v>
      </c>
      <c r="M20">
        <v>13.6</v>
      </c>
      <c r="N20">
        <v>15.3</v>
      </c>
      <c r="O20">
        <v>24.5</v>
      </c>
      <c r="P20">
        <v>18.7</v>
      </c>
      <c r="Q20">
        <v>15.6</v>
      </c>
      <c r="R20">
        <v>15.6</v>
      </c>
      <c r="S20">
        <v>16.8</v>
      </c>
      <c r="T20">
        <v>12.8</v>
      </c>
      <c r="U20">
        <v>16.899999999999999</v>
      </c>
      <c r="V20">
        <v>9.6999999999999993</v>
      </c>
      <c r="W20">
        <v>17.399999999999999</v>
      </c>
      <c r="Y20">
        <v>20.8</v>
      </c>
      <c r="Z20">
        <v>20.5</v>
      </c>
      <c r="AA20">
        <v>23.4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32.5</v>
      </c>
      <c r="E21">
        <v>34.799999999999997</v>
      </c>
      <c r="F21">
        <v>37.5</v>
      </c>
      <c r="G21">
        <v>43.6</v>
      </c>
      <c r="H21">
        <v>38.700000000000003</v>
      </c>
      <c r="I21">
        <v>26.6</v>
      </c>
      <c r="J21">
        <v>14.8</v>
      </c>
      <c r="K21">
        <v>15.5</v>
      </c>
      <c r="L21">
        <v>13.9</v>
      </c>
      <c r="M21">
        <v>18.100000000000001</v>
      </c>
      <c r="N21">
        <v>11.3</v>
      </c>
      <c r="O21">
        <v>15</v>
      </c>
      <c r="P21">
        <v>16.600000000000001</v>
      </c>
      <c r="Q21">
        <v>14.7</v>
      </c>
      <c r="R21">
        <v>13.5</v>
      </c>
      <c r="S21">
        <v>10.8</v>
      </c>
      <c r="T21">
        <v>13.9</v>
      </c>
      <c r="U21">
        <v>10.3</v>
      </c>
      <c r="V21">
        <v>11.9</v>
      </c>
      <c r="W21">
        <v>15.8</v>
      </c>
      <c r="X21">
        <v>18.600000000000001</v>
      </c>
      <c r="Y21">
        <v>20.7</v>
      </c>
      <c r="Z21">
        <v>19.399999999999999</v>
      </c>
      <c r="AA21">
        <v>33.4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26.2</v>
      </c>
      <c r="E22">
        <v>39.5</v>
      </c>
      <c r="F22">
        <v>42.2</v>
      </c>
      <c r="G22">
        <v>37</v>
      </c>
      <c r="H22">
        <v>28.4</v>
      </c>
      <c r="I22">
        <v>31</v>
      </c>
      <c r="J22">
        <v>15.9</v>
      </c>
      <c r="K22">
        <v>10.3</v>
      </c>
      <c r="L22">
        <v>12</v>
      </c>
      <c r="M22">
        <v>11.5</v>
      </c>
      <c r="N22">
        <v>16.100000000000001</v>
      </c>
      <c r="O22">
        <v>20.100000000000001</v>
      </c>
      <c r="P22">
        <v>30.2</v>
      </c>
      <c r="Q22">
        <v>16.2</v>
      </c>
      <c r="R22">
        <v>15.9</v>
      </c>
      <c r="S22">
        <v>13.4</v>
      </c>
      <c r="T22">
        <v>18</v>
      </c>
      <c r="U22">
        <v>18.100000000000001</v>
      </c>
      <c r="V22">
        <v>15.1</v>
      </c>
      <c r="W22">
        <v>17.100000000000001</v>
      </c>
      <c r="X22">
        <v>15</v>
      </c>
      <c r="Y22">
        <v>17.8</v>
      </c>
      <c r="Z22">
        <v>20.8</v>
      </c>
      <c r="AA22">
        <v>27.3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24.4</v>
      </c>
      <c r="E23">
        <v>30.7</v>
      </c>
      <c r="F23">
        <v>32</v>
      </c>
      <c r="G23">
        <v>37.299999999999997</v>
      </c>
      <c r="H23">
        <v>31</v>
      </c>
      <c r="I23">
        <v>33.4</v>
      </c>
      <c r="J23">
        <v>15.3</v>
      </c>
      <c r="K23">
        <v>11.6</v>
      </c>
      <c r="L23">
        <v>15</v>
      </c>
      <c r="M23">
        <v>13.9</v>
      </c>
      <c r="N23">
        <v>20.3</v>
      </c>
      <c r="O23">
        <v>22.7</v>
      </c>
      <c r="P23">
        <v>24.7</v>
      </c>
      <c r="Q23">
        <v>16.600000000000001</v>
      </c>
      <c r="R23">
        <v>18</v>
      </c>
      <c r="S23">
        <v>16.7</v>
      </c>
      <c r="T23">
        <v>15.2</v>
      </c>
      <c r="U23">
        <v>11.7</v>
      </c>
      <c r="V23">
        <v>14.5</v>
      </c>
      <c r="W23">
        <v>12.5</v>
      </c>
      <c r="X23">
        <v>17.399999999999999</v>
      </c>
      <c r="Y23">
        <v>15.5</v>
      </c>
      <c r="Z23">
        <v>26.5</v>
      </c>
      <c r="AA23">
        <v>22.8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33.1</v>
      </c>
      <c r="E24">
        <v>35.4</v>
      </c>
      <c r="F24">
        <v>38.799999999999997</v>
      </c>
      <c r="G24">
        <v>39.9</v>
      </c>
      <c r="H24">
        <v>32.6</v>
      </c>
      <c r="I24">
        <v>26.6</v>
      </c>
      <c r="J24">
        <v>14.4</v>
      </c>
      <c r="K24">
        <v>12.1</v>
      </c>
      <c r="L24">
        <v>8.1999999999999993</v>
      </c>
      <c r="M24">
        <v>10.4</v>
      </c>
      <c r="N24">
        <v>13.6</v>
      </c>
      <c r="O24">
        <v>19.2</v>
      </c>
      <c r="P24">
        <v>22.3</v>
      </c>
      <c r="Q24">
        <v>17.600000000000001</v>
      </c>
      <c r="R24">
        <v>19.5</v>
      </c>
      <c r="S24">
        <v>17.2</v>
      </c>
      <c r="T24">
        <v>17</v>
      </c>
      <c r="U24">
        <v>12</v>
      </c>
      <c r="W24">
        <v>9.8000000000000007</v>
      </c>
      <c r="X24">
        <v>15.1</v>
      </c>
      <c r="Y24">
        <v>27.5</v>
      </c>
      <c r="Z24">
        <v>16.7</v>
      </c>
      <c r="AA24">
        <v>26.3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34.6</v>
      </c>
      <c r="E25">
        <v>36.700000000000003</v>
      </c>
      <c r="F25">
        <v>42</v>
      </c>
      <c r="G25">
        <v>44.6</v>
      </c>
      <c r="H25">
        <v>43.8</v>
      </c>
      <c r="I25">
        <v>28.7</v>
      </c>
      <c r="J25">
        <v>23.9</v>
      </c>
      <c r="K25">
        <v>11.3</v>
      </c>
      <c r="L25">
        <v>13.3</v>
      </c>
      <c r="M25">
        <v>10.7</v>
      </c>
      <c r="N25">
        <v>13.2</v>
      </c>
      <c r="O25">
        <v>12.7</v>
      </c>
      <c r="P25">
        <v>16.100000000000001</v>
      </c>
      <c r="S25">
        <v>13.9</v>
      </c>
      <c r="T25">
        <v>13.2</v>
      </c>
      <c r="V25">
        <v>17.8</v>
      </c>
      <c r="Z25">
        <v>17.8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29.1</v>
      </c>
      <c r="E26">
        <v>28.1</v>
      </c>
      <c r="F26">
        <v>33.9</v>
      </c>
      <c r="G26">
        <v>37.1</v>
      </c>
      <c r="H26">
        <v>39.9</v>
      </c>
      <c r="I26">
        <v>34.9</v>
      </c>
      <c r="J26">
        <v>30.2</v>
      </c>
      <c r="K26">
        <v>24</v>
      </c>
      <c r="L26">
        <v>22.2</v>
      </c>
      <c r="M26">
        <v>23.1</v>
      </c>
      <c r="N26">
        <v>18.5</v>
      </c>
      <c r="O26">
        <v>20.100000000000001</v>
      </c>
      <c r="P26">
        <v>22</v>
      </c>
      <c r="Q26">
        <v>20.8</v>
      </c>
      <c r="R26">
        <v>20.6</v>
      </c>
      <c r="S26">
        <v>22.8</v>
      </c>
      <c r="T26">
        <v>17.5</v>
      </c>
      <c r="U26">
        <v>23</v>
      </c>
      <c r="V26">
        <v>23.9</v>
      </c>
      <c r="W26">
        <v>25.2</v>
      </c>
      <c r="X26">
        <v>32.4</v>
      </c>
      <c r="Y26">
        <v>15.9</v>
      </c>
      <c r="Z26">
        <v>22.5</v>
      </c>
      <c r="AA26">
        <v>26.5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33.799999999999997</v>
      </c>
      <c r="E27">
        <v>27.7</v>
      </c>
      <c r="F27">
        <v>39.700000000000003</v>
      </c>
      <c r="G27">
        <v>33.9</v>
      </c>
      <c r="H27">
        <v>33.4</v>
      </c>
      <c r="I27">
        <v>32.1</v>
      </c>
      <c r="J27">
        <v>13.6</v>
      </c>
      <c r="K27">
        <v>9.8000000000000007</v>
      </c>
      <c r="L27">
        <v>9.9</v>
      </c>
      <c r="M27">
        <v>15.7</v>
      </c>
      <c r="N27">
        <v>18.399999999999999</v>
      </c>
      <c r="O27">
        <v>17.3</v>
      </c>
      <c r="P27">
        <v>10.9</v>
      </c>
      <c r="Q27">
        <v>17.399999999999999</v>
      </c>
      <c r="R27">
        <v>17.7</v>
      </c>
      <c r="S27">
        <v>15.9</v>
      </c>
      <c r="T27">
        <v>14.8</v>
      </c>
      <c r="U27">
        <v>14.7</v>
      </c>
      <c r="V27">
        <v>14.9</v>
      </c>
      <c r="W27">
        <v>16.600000000000001</v>
      </c>
      <c r="X27">
        <v>29.9</v>
      </c>
      <c r="Y27">
        <v>21.2</v>
      </c>
      <c r="Z27">
        <v>23</v>
      </c>
      <c r="AA27">
        <v>21.7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34.200000000000003</v>
      </c>
      <c r="E28">
        <v>37</v>
      </c>
      <c r="F28">
        <v>30.1</v>
      </c>
      <c r="G28">
        <v>35.4</v>
      </c>
      <c r="H28">
        <v>34.9</v>
      </c>
      <c r="I28">
        <v>27.2</v>
      </c>
      <c r="J28">
        <v>10.3</v>
      </c>
      <c r="K28">
        <v>9.3000000000000007</v>
      </c>
      <c r="L28">
        <v>11.1</v>
      </c>
      <c r="M28">
        <v>18.3</v>
      </c>
      <c r="N28">
        <v>12.9</v>
      </c>
      <c r="O28">
        <v>20</v>
      </c>
      <c r="P28">
        <v>11.1</v>
      </c>
      <c r="Q28">
        <v>15.5</v>
      </c>
      <c r="R28">
        <v>17.899999999999999</v>
      </c>
      <c r="S28">
        <v>21.2</v>
      </c>
      <c r="T28">
        <v>17.3</v>
      </c>
      <c r="U28">
        <v>15</v>
      </c>
      <c r="V28">
        <v>17.3</v>
      </c>
      <c r="W28">
        <v>17.600000000000001</v>
      </c>
      <c r="X28">
        <v>23.6</v>
      </c>
      <c r="Y28">
        <v>19.5</v>
      </c>
      <c r="Z28">
        <v>23</v>
      </c>
      <c r="AA28">
        <v>27.2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32.299999999999997</v>
      </c>
      <c r="E29">
        <v>34.6</v>
      </c>
      <c r="F29">
        <v>32.299999999999997</v>
      </c>
      <c r="G29">
        <v>32.299999999999997</v>
      </c>
      <c r="H29">
        <v>40.9</v>
      </c>
      <c r="I29">
        <v>30.1</v>
      </c>
      <c r="J29">
        <v>18.100000000000001</v>
      </c>
      <c r="K29">
        <v>11.1</v>
      </c>
      <c r="L29">
        <v>11.7</v>
      </c>
      <c r="M29">
        <v>13.3</v>
      </c>
      <c r="N29">
        <v>15.2</v>
      </c>
      <c r="O29">
        <v>19.3</v>
      </c>
      <c r="P29">
        <v>11.6</v>
      </c>
      <c r="Q29">
        <v>15.7</v>
      </c>
      <c r="R29">
        <v>14.9</v>
      </c>
      <c r="S29">
        <v>17.3</v>
      </c>
      <c r="T29">
        <v>20</v>
      </c>
      <c r="U29">
        <v>14.9</v>
      </c>
      <c r="V29">
        <v>22.2</v>
      </c>
      <c r="W29">
        <v>14.4</v>
      </c>
      <c r="X29">
        <v>16.600000000000001</v>
      </c>
      <c r="Z29">
        <v>22.7</v>
      </c>
      <c r="AA29">
        <v>26.1</v>
      </c>
    </row>
    <row r="31" spans="1:27" x14ac:dyDescent="0.25">
      <c r="C31">
        <v>1</v>
      </c>
      <c r="D31">
        <f t="array" ref="D31">MEDIAN(IF($C$3:$C$29=$C31,D$3:D$29,""))</f>
        <v>32.299999999999997</v>
      </c>
      <c r="E31">
        <f t="array" ref="E31">MEDIAN(IF($C$3:$C$29=$C31,E$3:E$29,""))</f>
        <v>33.799999999999997</v>
      </c>
      <c r="F31">
        <f t="array" ref="F31">MEDIAN(IF($C$3:$C$29=$C31,F$3:F$29,""))</f>
        <v>35.15</v>
      </c>
      <c r="G31">
        <f t="array" ref="G31">MEDIAN(IF($C$3:$C$29=$C31,G$3:G$29,""))</f>
        <v>33.700000000000003</v>
      </c>
      <c r="H31">
        <f t="array" ref="H31">MEDIAN(IF($C$3:$C$29=$C31,H$3:H$29,""))</f>
        <v>39.75</v>
      </c>
      <c r="I31">
        <f t="array" ref="I31">MEDIAN(IF($C$3:$C$29=$C31,I$3:I$29,""))</f>
        <v>30.2</v>
      </c>
      <c r="J31">
        <f t="array" ref="J31">MEDIAN(IF($C$3:$C$29=$C31,J$3:J$29,""))</f>
        <v>27.2</v>
      </c>
      <c r="K31">
        <f t="array" ref="K31">MEDIAN(IF($C$3:$C$29=$C31,K$3:K$29,""))</f>
        <v>23.55</v>
      </c>
      <c r="L31">
        <f t="array" ref="L31">MEDIAN(IF($C$3:$C$29=$C31,L$3:L$29,""))</f>
        <v>22.7</v>
      </c>
      <c r="M31">
        <f t="array" ref="M31">MEDIAN(IF($C$3:$C$29=$C31,M$3:M$29,""))</f>
        <v>21.4</v>
      </c>
      <c r="N31">
        <f t="array" ref="N31">MEDIAN(IF($C$3:$C$29=$C31,N$3:N$29,""))</f>
        <v>20</v>
      </c>
      <c r="O31">
        <f t="array" ref="O31">MEDIAN(IF($C$3:$C$29=$C31,O$3:O$29,""))</f>
        <v>22.15</v>
      </c>
      <c r="P31">
        <f t="array" ref="P31">MEDIAN(IF($C$3:$C$29=$C31,P$3:P$29,""))</f>
        <v>19.399999999999999</v>
      </c>
      <c r="Q31">
        <f t="array" ref="Q31">MEDIAN(IF($C$3:$C$29=$C31,Q$3:Q$29,""))</f>
        <v>23.5</v>
      </c>
      <c r="R31">
        <f t="array" ref="R31">MEDIAN(IF($C$3:$C$29=$C31,R$3:R$29,""))</f>
        <v>21.75</v>
      </c>
      <c r="S31">
        <f t="array" ref="S31">MEDIAN(IF($C$3:$C$29=$C31,S$3:S$29,""))</f>
        <v>21</v>
      </c>
      <c r="T31">
        <f t="array" ref="T31">MEDIAN(IF($C$3:$C$29=$C31,T$3:T$29,""))</f>
        <v>19.45</v>
      </c>
      <c r="U31">
        <f t="array" ref="U31">MEDIAN(IF($C$3:$C$29=$C31,U$3:U$29,""))</f>
        <v>23.6</v>
      </c>
      <c r="V31">
        <f t="array" ref="V31">MEDIAN(IF($C$3:$C$29=$C31,V$3:V$29,""))</f>
        <v>21.95</v>
      </c>
      <c r="W31">
        <f t="array" ref="W31">MEDIAN(IF($C$3:$C$29=$C31,W$3:W$29,""))</f>
        <v>19.600000000000001</v>
      </c>
      <c r="X31">
        <f t="array" ref="X31">MEDIAN(IF($C$3:$C$29=$C31,X$3:X$29,""))</f>
        <v>21.55</v>
      </c>
      <c r="Y31">
        <f t="array" ref="Y31">MEDIAN(IF($C$3:$C$29=$C31,Y$3:Y$29,""))</f>
        <v>20.25</v>
      </c>
      <c r="Z31">
        <f t="array" ref="Z31">MEDIAN(IF($C$3:$C$29=$C31,Z$3:Z$29,""))</f>
        <v>25.700000000000003</v>
      </c>
      <c r="AA31">
        <f t="array" ref="AA31">MEDIAN(IF($C$3:$C$29=$C31,AA$3:AA$29,""))</f>
        <v>28.2</v>
      </c>
    </row>
    <row r="32" spans="1:27" x14ac:dyDescent="0.25">
      <c r="C32">
        <v>2</v>
      </c>
      <c r="D32">
        <f t="array" ref="D32">MEDIAN(IF($C$3:$C$29=$C32,D$3:D$29,""))</f>
        <v>30.1</v>
      </c>
      <c r="E32">
        <f t="array" ref="E32">MEDIAN(IF($C$3:$C$29=$C32,E$3:E$29,""))</f>
        <v>38</v>
      </c>
      <c r="F32">
        <f t="array" ref="F32">MEDIAN(IF($C$3:$C$29=$C32,F$3:F$29,""))</f>
        <v>33.200000000000003</v>
      </c>
      <c r="G32">
        <f t="array" ref="G32">MEDIAN(IF($C$3:$C$29=$C32,G$3:G$29,""))</f>
        <v>39.75</v>
      </c>
      <c r="H32">
        <f t="array" ref="H32">MEDIAN(IF($C$3:$C$29=$C32,H$3:H$29,""))</f>
        <v>40.700000000000003</v>
      </c>
      <c r="I32">
        <f t="array" ref="I32">MEDIAN(IF($C$3:$C$29=$C32,I$3:I$29,""))</f>
        <v>28.9</v>
      </c>
      <c r="J32">
        <f t="array" ref="J32">MEDIAN(IF($C$3:$C$29=$C32,J$3:J$29,""))</f>
        <v>24.049999999999997</v>
      </c>
      <c r="K32">
        <f t="array" ref="K32">MEDIAN(IF($C$3:$C$29=$C32,K$3:K$29,""))</f>
        <v>21.2</v>
      </c>
      <c r="L32">
        <f t="array" ref="L32">MEDIAN(IF($C$3:$C$29=$C32,L$3:L$29,""))</f>
        <v>19.95</v>
      </c>
      <c r="M32">
        <f t="array" ref="M32">MEDIAN(IF($C$3:$C$29=$C32,M$3:M$29,""))</f>
        <v>14.45</v>
      </c>
      <c r="N32">
        <f t="array" ref="N32">MEDIAN(IF($C$3:$C$29=$C32,N$3:N$29,""))</f>
        <v>19.3</v>
      </c>
      <c r="O32">
        <f t="array" ref="O32">MEDIAN(IF($C$3:$C$29=$C32,O$3:O$29,""))</f>
        <v>15.9</v>
      </c>
      <c r="P32">
        <f t="array" ref="P32">MEDIAN(IF($C$3:$C$29=$C32,P$3:P$29,""))</f>
        <v>15.850000000000001</v>
      </c>
      <c r="Q32">
        <f t="array" ref="Q32">MEDIAN(IF($C$3:$C$29=$C32,Q$3:Q$29,""))</f>
        <v>13.5</v>
      </c>
      <c r="R32">
        <f t="array" ref="R32">MEDIAN(IF($C$3:$C$29=$C32,R$3:R$29,""))</f>
        <v>17.350000000000001</v>
      </c>
      <c r="S32">
        <f t="array" ref="S32">MEDIAN(IF($C$3:$C$29=$C32,S$3:S$29,""))</f>
        <v>17.149999999999999</v>
      </c>
      <c r="T32">
        <f t="array" ref="T32">MEDIAN(IF($C$3:$C$29=$C32,T$3:T$29,""))</f>
        <v>18.75</v>
      </c>
      <c r="U32">
        <f t="array" ref="U32">MEDIAN(IF($C$3:$C$29=$C32,U$3:U$29,""))</f>
        <v>16.649999999999999</v>
      </c>
      <c r="V32">
        <f t="array" ref="V32">MEDIAN(IF($C$3:$C$29=$C32,V$3:V$29,""))</f>
        <v>18.55</v>
      </c>
      <c r="W32">
        <f t="array" ref="W32">MEDIAN(IF($C$3:$C$29=$C32,W$3:W$29,""))</f>
        <v>18.149999999999999</v>
      </c>
      <c r="X32">
        <f t="array" ref="X32">MEDIAN(IF($C$3:$C$29=$C32,X$3:X$29,""))</f>
        <v>16.8</v>
      </c>
      <c r="Y32">
        <f t="array" ref="Y32">MEDIAN(IF($C$3:$C$29=$C32,Y$3:Y$29,""))</f>
        <v>18.2</v>
      </c>
      <c r="Z32">
        <f t="array" ref="Z32">MEDIAN(IF($C$3:$C$29=$C32,Z$3:Z$29,""))</f>
        <v>21</v>
      </c>
      <c r="AA32">
        <f t="array" ref="AA32">MEDIAN(IF($C$3:$C$29=$C32,AA$3:AA$29,""))</f>
        <v>28.5</v>
      </c>
    </row>
    <row r="33" spans="3:27" x14ac:dyDescent="0.25">
      <c r="C33">
        <v>3</v>
      </c>
      <c r="D33">
        <f t="array" ref="D33">MEDIAN(IF($C$3:$C$29=$C33,D$3:D$29,""))</f>
        <v>29.3</v>
      </c>
      <c r="E33">
        <f t="array" ref="E33">MEDIAN(IF($C$3:$C$29=$C33,E$3:E$29,""))</f>
        <v>35.1</v>
      </c>
      <c r="F33">
        <f t="array" ref="F33">MEDIAN(IF($C$3:$C$29=$C33,F$3:F$29,""))</f>
        <v>35</v>
      </c>
      <c r="G33">
        <f t="array" ref="G33">MEDIAN(IF($C$3:$C$29=$C33,G$3:G$29,""))</f>
        <v>35.349999999999994</v>
      </c>
      <c r="H33">
        <f t="array" ref="H33">MEDIAN(IF($C$3:$C$29=$C33,H$3:H$29,""))</f>
        <v>33.599999999999994</v>
      </c>
      <c r="I33">
        <f t="array" ref="I33">MEDIAN(IF($C$3:$C$29=$C33,I$3:I$29,""))</f>
        <v>30.15</v>
      </c>
      <c r="J33">
        <f t="array" ref="J33">MEDIAN(IF($C$3:$C$29=$C33,J$3:J$29,""))</f>
        <v>15.100000000000001</v>
      </c>
      <c r="K33">
        <f t="array" ref="K33">MEDIAN(IF($C$3:$C$29=$C33,K$3:K$29,""))</f>
        <v>12.75</v>
      </c>
      <c r="L33">
        <f t="array" ref="L33">MEDIAN(IF($C$3:$C$29=$C33,L$3:L$29,""))</f>
        <v>10.95</v>
      </c>
      <c r="M33">
        <f t="array" ref="M33">MEDIAN(IF($C$3:$C$29=$C33,M$3:M$29,""))</f>
        <v>14.649999999999999</v>
      </c>
      <c r="N33">
        <f t="array" ref="N33">MEDIAN(IF($C$3:$C$29=$C33,N$3:N$29,""))</f>
        <v>16.95</v>
      </c>
      <c r="O33">
        <f t="array" ref="O33">MEDIAN(IF($C$3:$C$29=$C33,O$3:O$29,""))</f>
        <v>21.7</v>
      </c>
      <c r="P33">
        <f t="array" ref="P33">MEDIAN(IF($C$3:$C$29=$C33,P$3:P$29,""))</f>
        <v>17.149999999999999</v>
      </c>
      <c r="Q33">
        <f t="array" ref="Q33">MEDIAN(IF($C$3:$C$29=$C33,Q$3:Q$29,""))</f>
        <v>16.549999999999997</v>
      </c>
      <c r="R33">
        <f t="array" ref="R33">MEDIAN(IF($C$3:$C$29=$C33,R$3:R$29,""))</f>
        <v>17.799999999999997</v>
      </c>
      <c r="S33">
        <f t="array" ref="S33">MEDIAN(IF($C$3:$C$29=$C33,S$3:S$29,""))</f>
        <v>16.350000000000001</v>
      </c>
      <c r="T33">
        <f t="array" ref="T33">MEDIAN(IF($C$3:$C$29=$C33,T$3:T$29,""))</f>
        <v>13.8</v>
      </c>
      <c r="U33">
        <f t="array" ref="U33">MEDIAN(IF($C$3:$C$29=$C33,U$3:U$29,""))</f>
        <v>17.350000000000001</v>
      </c>
      <c r="V33">
        <f t="array" ref="V33">MEDIAN(IF($C$3:$C$29=$C33,V$3:V$29,""))</f>
        <v>15.95</v>
      </c>
      <c r="W33">
        <f t="array" ref="W33">MEDIAN(IF($C$3:$C$29=$C33,W$3:W$29,""))</f>
        <v>17</v>
      </c>
      <c r="X33">
        <f t="array" ref="X33">MEDIAN(IF($C$3:$C$29=$C33,X$3:X$29,""))</f>
        <v>22.549999999999997</v>
      </c>
      <c r="Y33">
        <f t="array" ref="Y33">MEDIAN(IF($C$3:$C$29=$C33,Y$3:Y$29,""))</f>
        <v>22.299999999999997</v>
      </c>
      <c r="Z33">
        <f t="array" ref="Z33">MEDIAN(IF($C$3:$C$29=$C33,Z$3:Z$29,""))</f>
        <v>23.5</v>
      </c>
      <c r="AA33">
        <f t="array" ref="AA33">MEDIAN(IF($C$3:$C$29=$C33,AA$3:AA$29,""))</f>
        <v>22.549999999999997</v>
      </c>
    </row>
    <row r="34" spans="3:27" x14ac:dyDescent="0.25">
      <c r="C34">
        <v>4</v>
      </c>
      <c r="D34">
        <f t="array" ref="D34">MEDIAN(IF($C$3:$C$29=$C34,D$3:D$29,""))</f>
        <v>32.950000000000003</v>
      </c>
      <c r="E34">
        <f t="array" ref="E34">MEDIAN(IF($C$3:$C$29=$C34,E$3:E$29,""))</f>
        <v>35.9</v>
      </c>
      <c r="F34">
        <f t="array" ref="F34">MEDIAN(IF($C$3:$C$29=$C34,F$3:F$29,""))</f>
        <v>36.450000000000003</v>
      </c>
      <c r="G34">
        <f t="array" ref="G34">MEDIAN(IF($C$3:$C$29=$C34,G$3:G$29,""))</f>
        <v>39.25</v>
      </c>
      <c r="H34">
        <f t="array" ref="H34">MEDIAN(IF($C$3:$C$29=$C34,H$3:H$29,""))</f>
        <v>36.099999999999994</v>
      </c>
      <c r="I34">
        <f t="array" ref="I34">MEDIAN(IF($C$3:$C$29=$C34,I$3:I$29,""))</f>
        <v>27.7</v>
      </c>
      <c r="J34">
        <f t="array" ref="J34">MEDIAN(IF($C$3:$C$29=$C34,J$3:J$29,""))</f>
        <v>14.350000000000001</v>
      </c>
      <c r="K34">
        <f t="array" ref="K34">MEDIAN(IF($C$3:$C$29=$C34,K$3:K$29,""))</f>
        <v>10.7</v>
      </c>
      <c r="L34">
        <f t="array" ref="L34">MEDIAN(IF($C$3:$C$29=$C34,L$3:L$29,""))</f>
        <v>11.5</v>
      </c>
      <c r="M34">
        <f t="array" ref="M34">MEDIAN(IF($C$3:$C$29=$C34,M$3:M$29,""))</f>
        <v>17.700000000000003</v>
      </c>
      <c r="N34">
        <f t="array" ref="N34">MEDIAN(IF($C$3:$C$29=$C34,N$3:N$29,""))</f>
        <v>15.55</v>
      </c>
      <c r="O34">
        <f t="array" ref="O34">MEDIAN(IF($C$3:$C$29=$C34,O$3:O$29,""))</f>
        <v>18.2</v>
      </c>
      <c r="P34">
        <f t="array" ref="P34">MEDIAN(IF($C$3:$C$29=$C34,P$3:P$29,""))</f>
        <v>16.75</v>
      </c>
      <c r="Q34">
        <f t="array" ref="Q34">MEDIAN(IF($C$3:$C$29=$C34,Q$3:Q$29,""))</f>
        <v>16.05</v>
      </c>
      <c r="R34">
        <f t="array" ref="R34">MEDIAN(IF($C$3:$C$29=$C34,R$3:R$29,""))</f>
        <v>16</v>
      </c>
      <c r="S34">
        <f t="array" ref="S34">MEDIAN(IF($C$3:$C$29=$C34,S$3:S$29,""))</f>
        <v>18.05</v>
      </c>
      <c r="T34">
        <f t="array" ref="T34">MEDIAN(IF($C$3:$C$29=$C34,T$3:T$29,""))</f>
        <v>15.600000000000001</v>
      </c>
      <c r="U34">
        <f t="array" ref="U34">MEDIAN(IF($C$3:$C$29=$C34,U$3:U$29,""))</f>
        <v>15.15</v>
      </c>
      <c r="V34">
        <f t="array" ref="V34">MEDIAN(IF($C$3:$C$29=$C34,V$3:V$29,""))</f>
        <v>19.350000000000001</v>
      </c>
      <c r="W34">
        <f t="array" ref="W34">MEDIAN(IF($C$3:$C$29=$C34,W$3:W$29,""))</f>
        <v>16</v>
      </c>
      <c r="X34">
        <f t="array" ref="X34">MEDIAN(IF($C$3:$C$29=$C34,X$3:X$29,""))</f>
        <v>18.3</v>
      </c>
      <c r="Y34">
        <f t="array" ref="Y34">MEDIAN(IF($C$3:$C$29=$C34,Y$3:Y$29,""))</f>
        <v>20.100000000000001</v>
      </c>
      <c r="Z34">
        <f t="array" ref="Z34">MEDIAN(IF($C$3:$C$29=$C34,Z$3:Z$29,""))</f>
        <v>20.350000000000001</v>
      </c>
      <c r="AA34">
        <f t="array" ref="AA34">MEDIAN(IF($C$3:$C$29=$C34,AA$3:AA$29,""))</f>
        <v>30.299999999999997</v>
      </c>
    </row>
    <row r="35" spans="3:27" x14ac:dyDescent="0.25">
      <c r="C35">
        <v>5</v>
      </c>
      <c r="D35">
        <f t="array" ref="D35">MEDIAN(IF($C$3:$C$29=$C35,D$3:D$29,""))</f>
        <v>30.599999999999998</v>
      </c>
      <c r="E35">
        <f t="array" ref="E35">MEDIAN(IF($C$3:$C$29=$C35,E$3:E$29,""))</f>
        <v>34.700000000000003</v>
      </c>
      <c r="F35">
        <f t="array" ref="F35">MEDIAN(IF($C$3:$C$29=$C35,F$3:F$29,""))</f>
        <v>38.950000000000003</v>
      </c>
      <c r="G35">
        <f t="array" ref="G35">MEDIAN(IF($C$3:$C$29=$C35,G$3:G$29,""))</f>
        <v>36.65</v>
      </c>
      <c r="H35">
        <f t="array" ref="H35">MEDIAN(IF($C$3:$C$29=$C35,H$3:H$29,""))</f>
        <v>36.5</v>
      </c>
      <c r="I35">
        <f t="array" ref="I35">MEDIAN(IF($C$3:$C$29=$C35,I$3:I$29,""))</f>
        <v>28.65</v>
      </c>
      <c r="J35">
        <f t="array" ref="J35">MEDIAN(IF($C$3:$C$29=$C35,J$3:J$29,""))</f>
        <v>17.149999999999999</v>
      </c>
      <c r="K35">
        <f t="array" ref="K35">MEDIAN(IF($C$3:$C$29=$C35,K$3:K$29,""))</f>
        <v>10.85</v>
      </c>
      <c r="L35">
        <f t="array" ref="L35">MEDIAN(IF($C$3:$C$29=$C35,L$3:L$29,""))</f>
        <v>11.75</v>
      </c>
      <c r="M35">
        <f t="array" ref="M35">MEDIAN(IF($C$3:$C$29=$C35,M$3:M$29,""))</f>
        <v>12.8</v>
      </c>
      <c r="N35">
        <f t="array" ref="N35">MEDIAN(IF($C$3:$C$29=$C35,N$3:N$29,""))</f>
        <v>14.95</v>
      </c>
      <c r="O35">
        <f t="array" ref="O35">MEDIAN(IF($C$3:$C$29=$C35,O$3:O$29,""))</f>
        <v>19.350000000000001</v>
      </c>
      <c r="P35">
        <f t="array" ref="P35">MEDIAN(IF($C$3:$C$29=$C35,P$3:P$29,""))</f>
        <v>15.05</v>
      </c>
      <c r="Q35">
        <f t="array" ref="Q35">MEDIAN(IF($C$3:$C$29=$C35,Q$3:Q$29,""))</f>
        <v>15.1</v>
      </c>
      <c r="R35">
        <f t="array" ref="R35">MEDIAN(IF($C$3:$C$29=$C35,R$3:R$29,""))</f>
        <v>16.2</v>
      </c>
      <c r="S35">
        <f t="array" ref="S35">MEDIAN(IF($C$3:$C$29=$C35,S$3:S$29,""))</f>
        <v>16.850000000000001</v>
      </c>
      <c r="T35">
        <f t="array" ref="T35">MEDIAN(IF($C$3:$C$29=$C35,T$3:T$29,""))</f>
        <v>17.95</v>
      </c>
      <c r="U35">
        <f t="array" ref="U35">MEDIAN(IF($C$3:$C$29=$C35,U$3:U$29,""))</f>
        <v>15.8</v>
      </c>
      <c r="V35">
        <f t="array" ref="V35">MEDIAN(IF($C$3:$C$29=$C35,V$3:V$29,""))</f>
        <v>16.649999999999999</v>
      </c>
      <c r="W35">
        <f t="array" ref="W35">MEDIAN(IF($C$3:$C$29=$C35,W$3:W$29,""))</f>
        <v>18.350000000000001</v>
      </c>
      <c r="X35">
        <f t="array" ref="X35">MEDIAN(IF($C$3:$C$29=$C35,X$3:X$29,""))</f>
        <v>18.649999999999999</v>
      </c>
      <c r="Y35">
        <f t="array" ref="Y35">MEDIAN(IF($C$3:$C$29=$C35,Y$3:Y$29,""))</f>
        <v>18.950000000000003</v>
      </c>
      <c r="Z35">
        <f t="array" ref="Z35">MEDIAN(IF($C$3:$C$29=$C35,Z$3:Z$29,""))</f>
        <v>21.75</v>
      </c>
      <c r="AA35">
        <f t="array" ref="AA35">MEDIAN(IF($C$3:$C$29=$C35,AA$3:AA$29,""))</f>
        <v>24.85</v>
      </c>
    </row>
    <row r="36" spans="3:27" x14ac:dyDescent="0.25">
      <c r="C36">
        <v>6</v>
      </c>
      <c r="D36">
        <f t="array" ref="D36">MEDIAN(IF($C$3:$C$29=$C36,D$3:D$29,""))</f>
        <v>29.2</v>
      </c>
      <c r="E36">
        <f t="array" ref="E36">MEDIAN(IF($C$3:$C$29=$C36,E$3:E$29,""))</f>
        <v>33.200000000000003</v>
      </c>
      <c r="F36">
        <f t="array" ref="F36">MEDIAN(IF($C$3:$C$29=$C36,F$3:F$29,""))</f>
        <v>36</v>
      </c>
      <c r="G36">
        <f t="array" ref="G36">MEDIAN(IF($C$3:$C$29=$C36,G$3:G$29,""))</f>
        <v>41.2</v>
      </c>
      <c r="H36">
        <f t="array" ref="H36">MEDIAN(IF($C$3:$C$29=$C36,H$3:H$29,""))</f>
        <v>35.799999999999997</v>
      </c>
      <c r="I36">
        <f t="array" ref="I36">MEDIAN(IF($C$3:$C$29=$C36,I$3:I$29,""))</f>
        <v>25.2</v>
      </c>
      <c r="J36">
        <f t="array" ref="J36">MEDIAN(IF($C$3:$C$29=$C36,J$3:J$29,""))</f>
        <v>15.3</v>
      </c>
      <c r="K36">
        <f t="array" ref="K36">MEDIAN(IF($C$3:$C$29=$C36,K$3:K$29,""))</f>
        <v>11.6</v>
      </c>
      <c r="L36">
        <f t="array" ref="L36">MEDIAN(IF($C$3:$C$29=$C36,L$3:L$29,""))</f>
        <v>10.5</v>
      </c>
      <c r="M36">
        <f t="array" ref="M36">MEDIAN(IF($C$3:$C$29=$C36,M$3:M$29,""))</f>
        <v>14.3</v>
      </c>
      <c r="N36">
        <f t="array" ref="N36">MEDIAN(IF($C$3:$C$29=$C36,N$3:N$29,""))</f>
        <v>14.8</v>
      </c>
      <c r="O36">
        <f t="array" ref="O36">MEDIAN(IF($C$3:$C$29=$C36,O$3:O$29,""))</f>
        <v>19.8</v>
      </c>
      <c r="P36">
        <f t="array" ref="P36">MEDIAN(IF($C$3:$C$29=$C36,P$3:P$29,""))</f>
        <v>18.7</v>
      </c>
      <c r="Q36">
        <f t="array" ref="Q36">MEDIAN(IF($C$3:$C$29=$C36,Q$3:Q$29,""))</f>
        <v>16.600000000000001</v>
      </c>
      <c r="R36">
        <f t="array" ref="R36">MEDIAN(IF($C$3:$C$29=$C36,R$3:R$29,""))</f>
        <v>22.5</v>
      </c>
      <c r="S36">
        <f t="array" ref="S36">MEDIAN(IF($C$3:$C$29=$C36,S$3:S$29,""))</f>
        <v>17.3</v>
      </c>
      <c r="T36">
        <f t="array" ref="T36">MEDIAN(IF($C$3:$C$29=$C36,T$3:T$29,""))</f>
        <v>15.7</v>
      </c>
      <c r="U36">
        <f t="array" ref="U36">MEDIAN(IF($C$3:$C$29=$C36,U$3:U$29,""))</f>
        <v>14.8</v>
      </c>
      <c r="V36">
        <f t="array" ref="V36">MEDIAN(IF($C$3:$C$29=$C36,V$3:V$29,""))</f>
        <v>16.3</v>
      </c>
      <c r="W36">
        <f t="array" ref="W36">MEDIAN(IF($C$3:$C$29=$C36,W$3:W$29,""))</f>
        <v>15.5</v>
      </c>
      <c r="X36">
        <f t="array" ref="X36">MEDIAN(IF($C$3:$C$29=$C36,X$3:X$29,""))</f>
        <v>17.399999999999999</v>
      </c>
      <c r="Y36">
        <f t="array" ref="Y36">MEDIAN(IF($C$3:$C$29=$C36,Y$3:Y$29,""))</f>
        <v>15.5</v>
      </c>
      <c r="Z36">
        <f t="array" ref="Z36">MEDIAN(IF($C$3:$C$29=$C36,Z$3:Z$29,""))</f>
        <v>24.3</v>
      </c>
      <c r="AA36">
        <f t="array" ref="AA36">MEDIAN(IF($C$3:$C$29=$C36,AA$3:AA$29,""))</f>
        <v>25.3</v>
      </c>
    </row>
    <row r="37" spans="3:27" x14ac:dyDescent="0.25">
      <c r="C37">
        <v>7</v>
      </c>
      <c r="D37">
        <f t="array" ref="D37">MEDIAN(IF($C$3:$C$29=$C37,D$3:D$29,""))</f>
        <v>31</v>
      </c>
      <c r="E37">
        <f t="array" ref="E37">MEDIAN(IF($C$3:$C$29=$C37,E$3:E$29,""))</f>
        <v>35.049999999999997</v>
      </c>
      <c r="F37">
        <f t="array" ref="F37">MEDIAN(IF($C$3:$C$29=$C37,F$3:F$29,""))</f>
        <v>37.049999999999997</v>
      </c>
      <c r="G37">
        <f t="array" ref="G37">MEDIAN(IF($C$3:$C$29=$C37,G$3:G$29,""))</f>
        <v>38.099999999999994</v>
      </c>
      <c r="H37">
        <f t="array" ref="H37">MEDIAN(IF($C$3:$C$29=$C37,H$3:H$29,""))</f>
        <v>38.299999999999997</v>
      </c>
      <c r="I37">
        <f t="array" ref="I37">MEDIAN(IF($C$3:$C$29=$C37,I$3:I$29,""))</f>
        <v>27.15</v>
      </c>
      <c r="J37">
        <f t="array" ref="J37">MEDIAN(IF($C$3:$C$29=$C37,J$3:J$29,""))</f>
        <v>16.05</v>
      </c>
      <c r="K37">
        <f t="array" ref="K37">MEDIAN(IF($C$3:$C$29=$C37,K$3:K$29,""))</f>
        <v>13.45</v>
      </c>
      <c r="L37">
        <f t="array" ref="L37">MEDIAN(IF($C$3:$C$29=$C37,L$3:L$29,""))</f>
        <v>10.65</v>
      </c>
      <c r="M37">
        <f t="array" ref="M37">MEDIAN(IF($C$3:$C$29=$C37,M$3:M$29,""))</f>
        <v>15.45</v>
      </c>
      <c r="N37">
        <f t="array" ref="N37">MEDIAN(IF($C$3:$C$29=$C37,N$3:N$29,""))</f>
        <v>14.5</v>
      </c>
      <c r="O37">
        <f t="array" ref="O37">MEDIAN(IF($C$3:$C$29=$C37,O$3:O$29,""))</f>
        <v>17.850000000000001</v>
      </c>
      <c r="P37">
        <f t="array" ref="P37">MEDIAN(IF($C$3:$C$29=$C37,P$3:P$29,""))</f>
        <v>15.15</v>
      </c>
      <c r="Q37">
        <f t="array" ref="Q37">MEDIAN(IF($C$3:$C$29=$C37,Q$3:Q$29,""))</f>
        <v>16.700000000000003</v>
      </c>
      <c r="R37">
        <f t="array" ref="R37">MEDIAN(IF($C$3:$C$29=$C37,R$3:R$29,""))</f>
        <v>17.399999999999999</v>
      </c>
      <c r="S37">
        <f t="array" ref="S37">MEDIAN(IF($C$3:$C$29=$C37,S$3:S$29,""))</f>
        <v>17</v>
      </c>
      <c r="T37">
        <f t="array" ref="T37">MEDIAN(IF($C$3:$C$29=$C37,T$3:T$29,""))</f>
        <v>16</v>
      </c>
      <c r="U37">
        <f t="array" ref="U37">MEDIAN(IF($C$3:$C$29=$C37,U$3:U$29,""))</f>
        <v>15.2</v>
      </c>
      <c r="V37">
        <f t="array" ref="V37">MEDIAN(IF($C$3:$C$29=$C37,V$3:V$29,""))</f>
        <v>12.55</v>
      </c>
      <c r="W37">
        <f t="array" ref="W37">MEDIAN(IF($C$3:$C$29=$C37,W$3:W$29,""))</f>
        <v>16.45</v>
      </c>
      <c r="X37">
        <f t="array" ref="X37">MEDIAN(IF($C$3:$C$29=$C37,X$3:X$29,""))</f>
        <v>16.799999999999997</v>
      </c>
      <c r="Y37">
        <f t="array" ref="Y37">MEDIAN(IF($C$3:$C$29=$C37,Y$3:Y$29,""))</f>
        <v>22.7</v>
      </c>
      <c r="Z37">
        <f t="array" ref="Z37">MEDIAN(IF($C$3:$C$29=$C37,Z$3:Z$29,""))</f>
        <v>18.899999999999999</v>
      </c>
      <c r="AA37">
        <f t="array" ref="AA37">MEDIAN(IF($C$3:$C$29=$C37,AA$3:AA$29,""))</f>
        <v>26.450000000000003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4"/>
  <dimension ref="A1:AA37"/>
  <sheetViews>
    <sheetView workbookViewId="0">
      <selection activeCell="G31" sqref="G31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25.8</v>
      </c>
      <c r="E3">
        <v>35.799999999999997</v>
      </c>
      <c r="F3">
        <v>39</v>
      </c>
      <c r="G3">
        <v>38.5</v>
      </c>
      <c r="H3">
        <v>40.9</v>
      </c>
      <c r="I3">
        <v>34.299999999999997</v>
      </c>
      <c r="J3">
        <v>25.9</v>
      </c>
      <c r="K3">
        <v>21.8</v>
      </c>
      <c r="L3">
        <v>20.2</v>
      </c>
      <c r="M3">
        <v>23.9</v>
      </c>
      <c r="N3">
        <v>27.1</v>
      </c>
      <c r="O3">
        <v>23.4</v>
      </c>
      <c r="P3">
        <v>21.7</v>
      </c>
      <c r="Q3">
        <v>21.8</v>
      </c>
      <c r="R3">
        <v>28.6</v>
      </c>
      <c r="S3">
        <v>33.299999999999997</v>
      </c>
      <c r="T3">
        <v>18.5</v>
      </c>
      <c r="U3">
        <v>22.6</v>
      </c>
      <c r="V3">
        <v>20.5</v>
      </c>
      <c r="W3">
        <v>20.8</v>
      </c>
      <c r="X3">
        <v>26</v>
      </c>
      <c r="Y3">
        <v>24.8</v>
      </c>
      <c r="Z3">
        <v>21.3</v>
      </c>
      <c r="AA3">
        <v>33.9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30.5</v>
      </c>
      <c r="E4">
        <v>41.4</v>
      </c>
      <c r="F4">
        <v>29.6</v>
      </c>
      <c r="G4">
        <v>39.799999999999997</v>
      </c>
      <c r="H4">
        <v>39.4</v>
      </c>
      <c r="I4">
        <v>34.299999999999997</v>
      </c>
      <c r="J4">
        <v>36.5</v>
      </c>
      <c r="K4">
        <v>29.7</v>
      </c>
      <c r="L4">
        <v>28.7</v>
      </c>
      <c r="M4">
        <v>24.1</v>
      </c>
      <c r="N4">
        <v>20.100000000000001</v>
      </c>
      <c r="O4">
        <v>21.3</v>
      </c>
      <c r="P4">
        <v>21.5</v>
      </c>
      <c r="Q4">
        <v>18.7</v>
      </c>
      <c r="R4">
        <v>19</v>
      </c>
      <c r="S4">
        <v>23.4</v>
      </c>
      <c r="T4">
        <v>22.5</v>
      </c>
      <c r="U4">
        <v>22.2</v>
      </c>
      <c r="V4">
        <v>26.6</v>
      </c>
      <c r="W4">
        <v>24.8</v>
      </c>
      <c r="X4">
        <v>24.1</v>
      </c>
      <c r="Y4">
        <v>26.2</v>
      </c>
      <c r="Z4">
        <v>23.7</v>
      </c>
      <c r="AA4">
        <v>39.4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35.1</v>
      </c>
      <c r="E5">
        <v>36.799999999999997</v>
      </c>
      <c r="F5">
        <v>37.6</v>
      </c>
      <c r="G5">
        <v>35.9</v>
      </c>
      <c r="H5">
        <v>37.200000000000003</v>
      </c>
      <c r="I5">
        <v>29.4</v>
      </c>
      <c r="J5">
        <v>31.1</v>
      </c>
      <c r="K5">
        <v>33.4</v>
      </c>
      <c r="L5">
        <v>33.200000000000003</v>
      </c>
      <c r="M5">
        <v>24.6</v>
      </c>
      <c r="N5">
        <v>23.5</v>
      </c>
      <c r="O5">
        <v>26.7</v>
      </c>
      <c r="P5">
        <v>24.2</v>
      </c>
      <c r="Q5">
        <v>31.1</v>
      </c>
      <c r="R5">
        <v>36.700000000000003</v>
      </c>
      <c r="S5">
        <v>21.5</v>
      </c>
      <c r="T5">
        <v>27.6</v>
      </c>
      <c r="U5">
        <v>26.8</v>
      </c>
      <c r="V5">
        <v>32.1</v>
      </c>
      <c r="W5">
        <v>23</v>
      </c>
      <c r="X5">
        <v>33.700000000000003</v>
      </c>
      <c r="Y5">
        <v>31.1</v>
      </c>
      <c r="Z5">
        <v>25.7</v>
      </c>
      <c r="AA5">
        <v>29.2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31.1</v>
      </c>
      <c r="E6">
        <v>39.299999999999997</v>
      </c>
      <c r="F6">
        <v>33.1</v>
      </c>
      <c r="G6">
        <v>36.1</v>
      </c>
      <c r="H6">
        <v>33.4</v>
      </c>
      <c r="I6">
        <v>26.9</v>
      </c>
      <c r="J6">
        <v>25.4</v>
      </c>
      <c r="K6">
        <v>25</v>
      </c>
      <c r="L6">
        <v>23.8</v>
      </c>
      <c r="M6">
        <v>20.8</v>
      </c>
      <c r="N6">
        <v>22.2</v>
      </c>
      <c r="O6">
        <v>23.6</v>
      </c>
      <c r="P6">
        <v>21.3</v>
      </c>
      <c r="Q6">
        <v>23.8</v>
      </c>
      <c r="R6">
        <v>28.9</v>
      </c>
      <c r="S6">
        <v>23.8</v>
      </c>
      <c r="T6">
        <v>23.1</v>
      </c>
      <c r="U6">
        <v>25.7</v>
      </c>
      <c r="V6">
        <v>27.9</v>
      </c>
      <c r="W6">
        <v>22.7</v>
      </c>
      <c r="X6">
        <v>28.3</v>
      </c>
      <c r="Y6">
        <v>30</v>
      </c>
      <c r="Z6">
        <v>23</v>
      </c>
      <c r="AA6">
        <v>33.5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31.8</v>
      </c>
      <c r="E7">
        <v>40.1</v>
      </c>
      <c r="F7">
        <v>42.5</v>
      </c>
      <c r="G7">
        <v>41.1</v>
      </c>
      <c r="H7">
        <v>36.6</v>
      </c>
      <c r="I7">
        <v>28.6</v>
      </c>
      <c r="J7">
        <v>20.9</v>
      </c>
      <c r="K7">
        <v>18.8</v>
      </c>
      <c r="L7">
        <v>18.100000000000001</v>
      </c>
      <c r="M7">
        <v>29.6</v>
      </c>
      <c r="N7">
        <v>17</v>
      </c>
      <c r="O7">
        <v>24.9</v>
      </c>
      <c r="P7">
        <v>23.7</v>
      </c>
      <c r="Q7">
        <v>16.600000000000001</v>
      </c>
      <c r="R7">
        <v>27.4</v>
      </c>
      <c r="S7">
        <v>22.8</v>
      </c>
      <c r="T7">
        <v>23.8</v>
      </c>
      <c r="U7">
        <v>21.3</v>
      </c>
      <c r="V7">
        <v>22.9</v>
      </c>
      <c r="W7">
        <v>20.5</v>
      </c>
      <c r="X7">
        <v>22.8</v>
      </c>
      <c r="Y7">
        <v>27.2</v>
      </c>
      <c r="Z7">
        <v>29.2</v>
      </c>
      <c r="AA7">
        <v>39.9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36.299999999999997</v>
      </c>
      <c r="E8">
        <v>38.799999999999997</v>
      </c>
      <c r="F8">
        <v>36.200000000000003</v>
      </c>
      <c r="G8">
        <v>41.9</v>
      </c>
      <c r="H8">
        <v>37</v>
      </c>
      <c r="I8">
        <v>33.700000000000003</v>
      </c>
      <c r="J8">
        <v>22.2</v>
      </c>
      <c r="K8">
        <v>21.3</v>
      </c>
      <c r="L8">
        <v>18.100000000000001</v>
      </c>
      <c r="M8">
        <v>24.6</v>
      </c>
      <c r="N8">
        <v>21.6</v>
      </c>
      <c r="O8">
        <v>25.4</v>
      </c>
      <c r="P8">
        <v>14.4</v>
      </c>
      <c r="Q8">
        <v>17.5</v>
      </c>
      <c r="R8">
        <v>21.8</v>
      </c>
      <c r="S8">
        <v>24.2</v>
      </c>
      <c r="T8">
        <v>25.7</v>
      </c>
      <c r="U8">
        <v>20.399999999999999</v>
      </c>
      <c r="V8">
        <v>21.8</v>
      </c>
      <c r="W8">
        <v>32.1</v>
      </c>
      <c r="X8">
        <v>21.3</v>
      </c>
      <c r="Y8">
        <v>38.4</v>
      </c>
      <c r="Z8">
        <v>29.5</v>
      </c>
      <c r="AA8">
        <v>24.1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36.9</v>
      </c>
      <c r="E9">
        <v>47.4</v>
      </c>
      <c r="F9">
        <v>41</v>
      </c>
      <c r="G9">
        <v>42.5</v>
      </c>
      <c r="H9">
        <v>38</v>
      </c>
      <c r="I9">
        <v>26.7</v>
      </c>
      <c r="J9">
        <v>27.6</v>
      </c>
      <c r="K9">
        <v>22.5</v>
      </c>
      <c r="L9">
        <v>28.3</v>
      </c>
      <c r="M9">
        <v>23.6</v>
      </c>
      <c r="N9">
        <v>27.3</v>
      </c>
      <c r="O9">
        <v>18.899999999999999</v>
      </c>
      <c r="P9">
        <v>25.9</v>
      </c>
      <c r="Q9">
        <v>19.8</v>
      </c>
      <c r="R9">
        <v>23.3</v>
      </c>
      <c r="S9">
        <v>23.9</v>
      </c>
      <c r="T9">
        <v>17.5</v>
      </c>
      <c r="U9">
        <v>16.100000000000001</v>
      </c>
      <c r="V9">
        <v>19.600000000000001</v>
      </c>
      <c r="W9">
        <v>17.100000000000001</v>
      </c>
      <c r="X9">
        <v>38.6</v>
      </c>
      <c r="Y9">
        <v>24</v>
      </c>
      <c r="Z9">
        <v>30.8</v>
      </c>
      <c r="AA9">
        <v>29.5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35.5</v>
      </c>
      <c r="E10">
        <v>40.299999999999997</v>
      </c>
      <c r="F10">
        <v>33.700000000000003</v>
      </c>
      <c r="G10">
        <v>40.6</v>
      </c>
      <c r="H10">
        <v>34.5</v>
      </c>
      <c r="I10">
        <v>32.5</v>
      </c>
      <c r="J10">
        <v>26.4</v>
      </c>
      <c r="K10">
        <v>22.7</v>
      </c>
      <c r="L10">
        <v>20.9</v>
      </c>
      <c r="M10">
        <v>24.2</v>
      </c>
      <c r="N10">
        <v>26.2</v>
      </c>
      <c r="O10">
        <v>26.1</v>
      </c>
      <c r="P10">
        <v>27.5</v>
      </c>
      <c r="Q10">
        <v>21.4</v>
      </c>
      <c r="R10">
        <v>20.9</v>
      </c>
      <c r="S10">
        <v>34.5</v>
      </c>
      <c r="T10">
        <v>23.4</v>
      </c>
      <c r="U10">
        <v>26.2</v>
      </c>
      <c r="V10">
        <v>21.9</v>
      </c>
      <c r="W10">
        <v>28.3</v>
      </c>
      <c r="X10">
        <v>25.8</v>
      </c>
      <c r="Y10">
        <v>27.8</v>
      </c>
      <c r="Z10">
        <v>21.4</v>
      </c>
      <c r="AA10">
        <v>28.9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34.4</v>
      </c>
      <c r="E11">
        <v>41.7</v>
      </c>
      <c r="F11">
        <v>40.1</v>
      </c>
      <c r="G11">
        <v>33.5</v>
      </c>
      <c r="H11">
        <v>38.700000000000003</v>
      </c>
      <c r="I11">
        <v>30.9</v>
      </c>
      <c r="J11">
        <v>37.299999999999997</v>
      </c>
      <c r="K11">
        <v>29</v>
      </c>
      <c r="L11">
        <v>26.8</v>
      </c>
      <c r="M11">
        <v>22</v>
      </c>
      <c r="N11">
        <v>23.1</v>
      </c>
      <c r="O11">
        <v>28.7</v>
      </c>
      <c r="P11">
        <v>17.2</v>
      </c>
      <c r="Q11">
        <v>29.7</v>
      </c>
      <c r="R11">
        <v>26.3</v>
      </c>
      <c r="S11">
        <v>27.1</v>
      </c>
      <c r="T11">
        <v>23.1</v>
      </c>
      <c r="U11">
        <v>27.7</v>
      </c>
      <c r="V11">
        <v>25.3</v>
      </c>
      <c r="W11">
        <v>25.2</v>
      </c>
      <c r="X11">
        <v>25.9</v>
      </c>
      <c r="Y11">
        <v>27.2</v>
      </c>
      <c r="Z11">
        <v>21.5</v>
      </c>
      <c r="AA11">
        <v>35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35.799999999999997</v>
      </c>
      <c r="E12">
        <v>42.2</v>
      </c>
      <c r="F12">
        <v>35.799999999999997</v>
      </c>
      <c r="G12">
        <v>34.4</v>
      </c>
      <c r="H12">
        <v>35.6</v>
      </c>
      <c r="I12">
        <v>33.6</v>
      </c>
      <c r="J12">
        <v>33.200000000000003</v>
      </c>
      <c r="K12">
        <v>32</v>
      </c>
      <c r="L12">
        <v>28.8</v>
      </c>
      <c r="M12">
        <v>27.1</v>
      </c>
      <c r="N12">
        <v>25</v>
      </c>
      <c r="O12">
        <v>29.3</v>
      </c>
      <c r="P12">
        <v>25.5</v>
      </c>
      <c r="Q12">
        <v>29.3</v>
      </c>
      <c r="R12">
        <v>28.1</v>
      </c>
      <c r="S12">
        <v>28.3</v>
      </c>
      <c r="T12">
        <v>22.7</v>
      </c>
      <c r="U12">
        <v>23.1</v>
      </c>
      <c r="V12">
        <v>24.5</v>
      </c>
      <c r="W12">
        <v>32.1</v>
      </c>
      <c r="X12">
        <v>18.8</v>
      </c>
      <c r="Y12">
        <v>24.3</v>
      </c>
      <c r="Z12">
        <v>22.7</v>
      </c>
      <c r="AA12">
        <v>31.1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37.799999999999997</v>
      </c>
      <c r="E13">
        <v>37.6</v>
      </c>
      <c r="F13">
        <v>39.5</v>
      </c>
      <c r="G13">
        <v>41.3</v>
      </c>
      <c r="H13">
        <v>38</v>
      </c>
      <c r="I13">
        <v>38.1</v>
      </c>
      <c r="J13">
        <v>23.8</v>
      </c>
      <c r="K13">
        <v>21.6</v>
      </c>
      <c r="L13">
        <v>18.899999999999999</v>
      </c>
      <c r="M13">
        <v>24.1</v>
      </c>
      <c r="N13">
        <v>23.1</v>
      </c>
      <c r="O13">
        <v>26.9</v>
      </c>
      <c r="P13">
        <v>19.8</v>
      </c>
      <c r="Q13">
        <v>23.1</v>
      </c>
      <c r="R13">
        <v>23.8</v>
      </c>
      <c r="S13">
        <v>17.600000000000001</v>
      </c>
      <c r="T13">
        <v>22.8</v>
      </c>
      <c r="U13">
        <v>27.5</v>
      </c>
      <c r="V13">
        <v>16.5</v>
      </c>
      <c r="W13">
        <v>14.3</v>
      </c>
      <c r="X13">
        <v>31</v>
      </c>
      <c r="Y13">
        <v>30.5</v>
      </c>
      <c r="Z13">
        <v>30.2</v>
      </c>
      <c r="AA13">
        <v>35.799999999999997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35.9</v>
      </c>
      <c r="E14">
        <v>35</v>
      </c>
      <c r="F14">
        <v>45.3</v>
      </c>
      <c r="G14">
        <v>25.2</v>
      </c>
      <c r="H14">
        <v>41.3</v>
      </c>
      <c r="I14">
        <v>35</v>
      </c>
      <c r="J14">
        <v>26.5</v>
      </c>
      <c r="K14">
        <v>21.3</v>
      </c>
      <c r="L14">
        <v>23.4</v>
      </c>
      <c r="M14">
        <v>22.5</v>
      </c>
      <c r="N14">
        <v>22.8</v>
      </c>
      <c r="O14">
        <v>29.5</v>
      </c>
      <c r="P14">
        <v>22.3</v>
      </c>
      <c r="Q14">
        <v>19.7</v>
      </c>
      <c r="R14">
        <v>23.5</v>
      </c>
      <c r="S14">
        <v>18</v>
      </c>
      <c r="T14">
        <v>21.3</v>
      </c>
      <c r="U14">
        <v>27.9</v>
      </c>
      <c r="V14">
        <v>31.2</v>
      </c>
      <c r="W14">
        <v>19.100000000000001</v>
      </c>
      <c r="X14">
        <v>23.1</v>
      </c>
      <c r="Y14">
        <v>22.5</v>
      </c>
      <c r="Z14">
        <v>18.899999999999999</v>
      </c>
      <c r="AA14">
        <v>29.2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32.5</v>
      </c>
      <c r="E15">
        <v>34.299999999999997</v>
      </c>
      <c r="F15">
        <v>40</v>
      </c>
      <c r="G15">
        <v>43.2</v>
      </c>
      <c r="H15">
        <v>34.700000000000003</v>
      </c>
      <c r="I15">
        <v>28.1</v>
      </c>
      <c r="J15">
        <v>22.5</v>
      </c>
      <c r="K15">
        <v>25.4</v>
      </c>
      <c r="L15">
        <v>17.5</v>
      </c>
      <c r="M15">
        <v>22.5</v>
      </c>
      <c r="N15">
        <v>20.3</v>
      </c>
      <c r="O15">
        <v>27.2</v>
      </c>
      <c r="P15">
        <v>27.9</v>
      </c>
      <c r="Q15">
        <v>21.2</v>
      </c>
      <c r="R15">
        <v>27</v>
      </c>
      <c r="S15">
        <v>24.6</v>
      </c>
      <c r="T15">
        <v>21.4</v>
      </c>
      <c r="U15">
        <v>28.1</v>
      </c>
      <c r="V15">
        <v>18.399999999999999</v>
      </c>
      <c r="W15">
        <v>24.3</v>
      </c>
      <c r="X15">
        <v>20.7</v>
      </c>
      <c r="Y15">
        <v>28.8</v>
      </c>
      <c r="Z15">
        <v>19.600000000000001</v>
      </c>
      <c r="AA15">
        <v>31.9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35</v>
      </c>
      <c r="E16">
        <v>32.6</v>
      </c>
      <c r="F16">
        <v>37.9</v>
      </c>
      <c r="G16">
        <v>44.5</v>
      </c>
      <c r="H16">
        <v>36.5</v>
      </c>
      <c r="I16">
        <v>32.4</v>
      </c>
      <c r="J16">
        <v>20.9</v>
      </c>
      <c r="K16">
        <v>22.7</v>
      </c>
      <c r="L16">
        <v>19.8</v>
      </c>
      <c r="M16">
        <v>20.2</v>
      </c>
      <c r="N16">
        <v>22.8</v>
      </c>
      <c r="O16">
        <v>20.6</v>
      </c>
      <c r="P16">
        <v>27.5</v>
      </c>
      <c r="Q16">
        <v>22.4</v>
      </c>
      <c r="R16">
        <v>21.2</v>
      </c>
      <c r="S16">
        <v>24</v>
      </c>
      <c r="T16">
        <v>24.8</v>
      </c>
      <c r="U16">
        <v>21.7</v>
      </c>
      <c r="V16">
        <v>18</v>
      </c>
      <c r="W16">
        <v>24.7</v>
      </c>
      <c r="X16">
        <v>41.8</v>
      </c>
      <c r="Y16">
        <v>20.6</v>
      </c>
      <c r="Z16">
        <v>30.6</v>
      </c>
      <c r="AA16">
        <v>30.2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34.6</v>
      </c>
      <c r="E17">
        <v>32.299999999999997</v>
      </c>
      <c r="F17">
        <v>38.700000000000003</v>
      </c>
      <c r="G17">
        <v>39.700000000000003</v>
      </c>
      <c r="H17">
        <v>41.5</v>
      </c>
      <c r="I17">
        <v>30.3</v>
      </c>
      <c r="J17">
        <v>23</v>
      </c>
      <c r="K17">
        <v>21.6</v>
      </c>
      <c r="L17">
        <v>22.1</v>
      </c>
      <c r="M17">
        <v>23.2</v>
      </c>
      <c r="N17">
        <v>19.8</v>
      </c>
      <c r="O17">
        <v>26.7</v>
      </c>
      <c r="P17">
        <v>15.8</v>
      </c>
      <c r="Q17">
        <v>19.2</v>
      </c>
      <c r="R17">
        <v>21.2</v>
      </c>
      <c r="S17">
        <v>16.3</v>
      </c>
      <c r="T17">
        <v>18.5</v>
      </c>
      <c r="U17">
        <v>27.2</v>
      </c>
      <c r="V17">
        <v>15.5</v>
      </c>
      <c r="W17">
        <v>18.899999999999999</v>
      </c>
      <c r="X17">
        <v>24.1</v>
      </c>
      <c r="Y17">
        <v>15.6</v>
      </c>
      <c r="Z17">
        <v>19.7</v>
      </c>
      <c r="AA17">
        <v>23.6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29.4</v>
      </c>
      <c r="E18">
        <v>35.9</v>
      </c>
      <c r="F18">
        <v>29</v>
      </c>
      <c r="G18">
        <v>40</v>
      </c>
      <c r="H18">
        <v>39.1</v>
      </c>
      <c r="I18">
        <v>34</v>
      </c>
      <c r="J18">
        <v>27.3</v>
      </c>
      <c r="K18">
        <v>22.6</v>
      </c>
      <c r="L18">
        <v>24.5</v>
      </c>
      <c r="M18">
        <v>21.8</v>
      </c>
      <c r="N18">
        <v>24.1</v>
      </c>
      <c r="O18">
        <v>27.4</v>
      </c>
      <c r="P18">
        <v>26.9</v>
      </c>
      <c r="Q18">
        <v>15.5</v>
      </c>
      <c r="R18">
        <v>26.4</v>
      </c>
      <c r="S18">
        <v>20.8</v>
      </c>
      <c r="T18">
        <v>28.3</v>
      </c>
      <c r="U18">
        <v>14.8</v>
      </c>
      <c r="V18">
        <v>25</v>
      </c>
      <c r="W18">
        <v>11.3</v>
      </c>
      <c r="X18">
        <v>19.7</v>
      </c>
      <c r="Y18">
        <v>22</v>
      </c>
      <c r="Z18">
        <v>24.4</v>
      </c>
      <c r="AA18">
        <v>28.5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34.5</v>
      </c>
      <c r="E19">
        <v>36.9</v>
      </c>
      <c r="F19">
        <v>37.700000000000003</v>
      </c>
      <c r="G19">
        <v>39.4</v>
      </c>
      <c r="H19">
        <v>35.799999999999997</v>
      </c>
      <c r="I19">
        <v>35.9</v>
      </c>
      <c r="J19">
        <v>28.2</v>
      </c>
      <c r="K19">
        <v>28.7</v>
      </c>
      <c r="L19">
        <v>36.1</v>
      </c>
      <c r="M19">
        <v>26.3</v>
      </c>
      <c r="N19">
        <v>33</v>
      </c>
      <c r="O19">
        <v>27.6</v>
      </c>
      <c r="P19">
        <v>28</v>
      </c>
      <c r="Q19">
        <v>29.3</v>
      </c>
      <c r="R19">
        <v>25.7</v>
      </c>
      <c r="S19">
        <v>25</v>
      </c>
      <c r="T19">
        <v>27.2</v>
      </c>
      <c r="U19">
        <v>25.4</v>
      </c>
      <c r="V19">
        <v>26.1</v>
      </c>
      <c r="W19">
        <v>23.9</v>
      </c>
      <c r="X19">
        <v>20.7</v>
      </c>
      <c r="Y19">
        <v>19.7</v>
      </c>
      <c r="Z19">
        <v>28</v>
      </c>
      <c r="AA19">
        <v>32.299999999999997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30.2</v>
      </c>
      <c r="E20">
        <v>44.7</v>
      </c>
      <c r="F20">
        <v>40.5</v>
      </c>
      <c r="G20">
        <v>38.200000000000003</v>
      </c>
      <c r="H20">
        <v>39.9</v>
      </c>
      <c r="I20">
        <v>31.1</v>
      </c>
      <c r="J20">
        <v>21.6</v>
      </c>
      <c r="K20">
        <v>18.5</v>
      </c>
      <c r="L20">
        <v>16.3</v>
      </c>
      <c r="M20">
        <v>16.5</v>
      </c>
      <c r="N20">
        <v>19.600000000000001</v>
      </c>
      <c r="O20">
        <v>26.2</v>
      </c>
      <c r="P20">
        <v>21.1</v>
      </c>
      <c r="Q20">
        <v>24</v>
      </c>
      <c r="R20">
        <v>19.100000000000001</v>
      </c>
      <c r="S20">
        <v>26.3</v>
      </c>
      <c r="T20">
        <v>26.2</v>
      </c>
      <c r="U20">
        <v>20.9</v>
      </c>
      <c r="V20">
        <v>11.3</v>
      </c>
      <c r="W20">
        <v>26.2</v>
      </c>
      <c r="Y20">
        <v>34.9</v>
      </c>
      <c r="Z20">
        <v>34.200000000000003</v>
      </c>
      <c r="AA20">
        <v>31.2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36.1</v>
      </c>
      <c r="E21">
        <v>36.6</v>
      </c>
      <c r="F21">
        <v>36.9</v>
      </c>
      <c r="G21">
        <v>41.3</v>
      </c>
      <c r="H21">
        <v>41.5</v>
      </c>
      <c r="I21">
        <v>28.9</v>
      </c>
      <c r="J21">
        <v>21.5</v>
      </c>
      <c r="K21">
        <v>21.9</v>
      </c>
      <c r="L21">
        <v>17.899999999999999</v>
      </c>
      <c r="M21">
        <v>21.5</v>
      </c>
      <c r="N21">
        <v>17.7</v>
      </c>
      <c r="O21">
        <v>35.799999999999997</v>
      </c>
      <c r="P21">
        <v>17.600000000000001</v>
      </c>
      <c r="Q21">
        <v>18.2</v>
      </c>
      <c r="R21">
        <v>20.5</v>
      </c>
      <c r="S21">
        <v>18.600000000000001</v>
      </c>
      <c r="T21">
        <v>17.5</v>
      </c>
      <c r="U21">
        <v>18.899999999999999</v>
      </c>
      <c r="V21">
        <v>13.9</v>
      </c>
      <c r="W21">
        <v>15.8</v>
      </c>
      <c r="X21">
        <v>18.600000000000001</v>
      </c>
      <c r="Y21">
        <v>32.6</v>
      </c>
      <c r="Z21">
        <v>18.899999999999999</v>
      </c>
      <c r="AA21">
        <v>34.9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35.700000000000003</v>
      </c>
      <c r="E22">
        <v>33.6</v>
      </c>
      <c r="F22">
        <v>41.6</v>
      </c>
      <c r="G22">
        <v>38</v>
      </c>
      <c r="H22">
        <v>32.9</v>
      </c>
      <c r="I22">
        <v>31.9</v>
      </c>
      <c r="J22">
        <v>21.1</v>
      </c>
      <c r="K22">
        <v>16</v>
      </c>
      <c r="L22">
        <v>25.2</v>
      </c>
      <c r="M22">
        <v>23.5</v>
      </c>
      <c r="N22">
        <v>18.600000000000001</v>
      </c>
      <c r="O22">
        <v>23.2</v>
      </c>
      <c r="P22">
        <v>26.4</v>
      </c>
      <c r="Q22">
        <v>29.2</v>
      </c>
      <c r="R22">
        <v>19</v>
      </c>
      <c r="S22">
        <v>26.9</v>
      </c>
      <c r="T22">
        <v>22</v>
      </c>
      <c r="U22">
        <v>19.899999999999999</v>
      </c>
      <c r="V22">
        <v>22.8</v>
      </c>
      <c r="W22">
        <v>19.399999999999999</v>
      </c>
      <c r="X22">
        <v>19.3</v>
      </c>
      <c r="Y22">
        <v>17.7</v>
      </c>
      <c r="Z22">
        <v>24.9</v>
      </c>
      <c r="AA22">
        <v>25.2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29</v>
      </c>
      <c r="E23">
        <v>32.6</v>
      </c>
      <c r="F23">
        <v>37.799999999999997</v>
      </c>
      <c r="G23">
        <v>41.4</v>
      </c>
      <c r="H23">
        <v>27.5</v>
      </c>
      <c r="I23">
        <v>35.6</v>
      </c>
      <c r="J23">
        <v>19.399999999999999</v>
      </c>
      <c r="K23">
        <v>24.5</v>
      </c>
      <c r="L23">
        <v>25.1</v>
      </c>
      <c r="M23">
        <v>26.9</v>
      </c>
      <c r="N23">
        <v>27.6</v>
      </c>
      <c r="O23">
        <v>29.8</v>
      </c>
      <c r="P23">
        <v>31.6</v>
      </c>
      <c r="Q23">
        <v>24.6</v>
      </c>
      <c r="R23">
        <v>18.8</v>
      </c>
      <c r="S23">
        <v>18.899999999999999</v>
      </c>
      <c r="T23">
        <v>21</v>
      </c>
      <c r="U23">
        <v>12.9</v>
      </c>
      <c r="V23">
        <v>18.2</v>
      </c>
      <c r="W23">
        <v>16.100000000000001</v>
      </c>
      <c r="X23">
        <v>32</v>
      </c>
      <c r="Y23">
        <v>27.8</v>
      </c>
      <c r="Z23">
        <v>32.4</v>
      </c>
      <c r="AA23">
        <v>32.5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37.6</v>
      </c>
      <c r="E24">
        <v>41</v>
      </c>
      <c r="F24">
        <v>42.5</v>
      </c>
      <c r="G24">
        <v>43.1</v>
      </c>
      <c r="H24">
        <v>39.700000000000003</v>
      </c>
      <c r="I24">
        <v>29.7</v>
      </c>
      <c r="J24">
        <v>26.2</v>
      </c>
      <c r="K24">
        <v>17.600000000000001</v>
      </c>
      <c r="L24">
        <v>14.1</v>
      </c>
      <c r="M24">
        <v>20.6</v>
      </c>
      <c r="N24">
        <v>23.6</v>
      </c>
      <c r="O24">
        <v>21.3</v>
      </c>
      <c r="P24">
        <v>25.5</v>
      </c>
      <c r="Q24">
        <v>23.8</v>
      </c>
      <c r="R24">
        <v>22.2</v>
      </c>
      <c r="S24">
        <v>27.2</v>
      </c>
      <c r="T24">
        <v>21.5</v>
      </c>
      <c r="U24">
        <v>17.3</v>
      </c>
      <c r="W24">
        <v>11.5</v>
      </c>
      <c r="X24">
        <v>23</v>
      </c>
      <c r="Y24">
        <v>27.5</v>
      </c>
      <c r="Z24">
        <v>23</v>
      </c>
      <c r="AA24">
        <v>31.6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35.299999999999997</v>
      </c>
      <c r="E25">
        <v>41.4</v>
      </c>
      <c r="F25">
        <v>41.1</v>
      </c>
      <c r="G25">
        <v>43.6</v>
      </c>
      <c r="H25">
        <v>44.3</v>
      </c>
      <c r="I25">
        <v>30.4</v>
      </c>
      <c r="J25">
        <v>33.700000000000003</v>
      </c>
      <c r="K25">
        <v>26.7</v>
      </c>
      <c r="L25">
        <v>24.3</v>
      </c>
      <c r="M25">
        <v>17.600000000000001</v>
      </c>
      <c r="N25">
        <v>17.399999999999999</v>
      </c>
      <c r="O25">
        <v>12.7</v>
      </c>
      <c r="P25">
        <v>18.7</v>
      </c>
      <c r="S25">
        <v>23.9</v>
      </c>
      <c r="T25">
        <v>13.2</v>
      </c>
      <c r="V25">
        <v>17.5</v>
      </c>
      <c r="Z25">
        <v>33.4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31.6</v>
      </c>
      <c r="E26">
        <v>32.9</v>
      </c>
      <c r="F26">
        <v>37.5</v>
      </c>
      <c r="G26">
        <v>35.9</v>
      </c>
      <c r="H26">
        <v>42.8</v>
      </c>
      <c r="I26">
        <v>33.9</v>
      </c>
      <c r="J26">
        <v>29.4</v>
      </c>
      <c r="K26">
        <v>34</v>
      </c>
      <c r="L26">
        <v>38.1</v>
      </c>
      <c r="M26">
        <v>26.6</v>
      </c>
      <c r="N26">
        <v>16.600000000000001</v>
      </c>
      <c r="O26">
        <v>23.7</v>
      </c>
      <c r="P26">
        <v>35</v>
      </c>
      <c r="Q26">
        <v>23.9</v>
      </c>
      <c r="R26">
        <v>31.6</v>
      </c>
      <c r="S26">
        <v>26.2</v>
      </c>
      <c r="T26">
        <v>26.6</v>
      </c>
      <c r="U26">
        <v>37.299999999999997</v>
      </c>
      <c r="V26">
        <v>34.299999999999997</v>
      </c>
      <c r="W26">
        <v>25.6</v>
      </c>
      <c r="X26">
        <v>23.6</v>
      </c>
      <c r="Y26">
        <v>23.5</v>
      </c>
      <c r="Z26">
        <v>25.4</v>
      </c>
      <c r="AA26">
        <v>23.9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38.299999999999997</v>
      </c>
      <c r="E27">
        <v>29.2</v>
      </c>
      <c r="F27">
        <v>40.9</v>
      </c>
      <c r="G27">
        <v>37</v>
      </c>
      <c r="H27">
        <v>36.799999999999997</v>
      </c>
      <c r="I27">
        <v>31.6</v>
      </c>
      <c r="J27">
        <v>20.2</v>
      </c>
      <c r="K27">
        <v>27</v>
      </c>
      <c r="L27">
        <v>12.6</v>
      </c>
      <c r="M27">
        <v>23.4</v>
      </c>
      <c r="N27">
        <v>29.1</v>
      </c>
      <c r="O27">
        <v>21.2</v>
      </c>
      <c r="P27">
        <v>14.5</v>
      </c>
      <c r="Q27">
        <v>22.5</v>
      </c>
      <c r="R27">
        <v>19.7</v>
      </c>
      <c r="S27">
        <v>22.8</v>
      </c>
      <c r="T27">
        <v>27.3</v>
      </c>
      <c r="U27">
        <v>23.6</v>
      </c>
      <c r="V27">
        <v>20.399999999999999</v>
      </c>
      <c r="W27">
        <v>19.399999999999999</v>
      </c>
      <c r="X27">
        <v>28.4</v>
      </c>
      <c r="Y27">
        <v>27</v>
      </c>
      <c r="Z27">
        <v>23.4</v>
      </c>
      <c r="AA27">
        <v>23.5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31.9</v>
      </c>
      <c r="E28">
        <v>37.6</v>
      </c>
      <c r="F28">
        <v>31.2</v>
      </c>
      <c r="G28">
        <v>37.299999999999997</v>
      </c>
      <c r="H28">
        <v>35.700000000000003</v>
      </c>
      <c r="I28">
        <v>32.9</v>
      </c>
      <c r="J28">
        <v>15.4</v>
      </c>
      <c r="K28">
        <v>15.3</v>
      </c>
      <c r="L28">
        <v>16.8</v>
      </c>
      <c r="M28">
        <v>28.3</v>
      </c>
      <c r="N28">
        <v>15.8</v>
      </c>
      <c r="O28">
        <v>20.100000000000001</v>
      </c>
      <c r="P28">
        <v>34.5</v>
      </c>
      <c r="Q28">
        <v>23.3</v>
      </c>
      <c r="R28">
        <v>20.3</v>
      </c>
      <c r="S28">
        <v>24</v>
      </c>
      <c r="T28">
        <v>20.9</v>
      </c>
      <c r="U28">
        <v>10.8</v>
      </c>
      <c r="V28">
        <v>19.7</v>
      </c>
      <c r="W28">
        <v>20.5</v>
      </c>
      <c r="X28">
        <v>32.9</v>
      </c>
      <c r="Y28">
        <v>28.7</v>
      </c>
      <c r="Z28">
        <v>26.7</v>
      </c>
      <c r="AA28">
        <v>27.4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35.9</v>
      </c>
      <c r="E29">
        <v>35.5</v>
      </c>
      <c r="F29">
        <v>38.200000000000003</v>
      </c>
      <c r="G29">
        <v>34.700000000000003</v>
      </c>
      <c r="H29">
        <v>33.700000000000003</v>
      </c>
      <c r="I29">
        <v>32.799999999999997</v>
      </c>
      <c r="J29">
        <v>25.6</v>
      </c>
      <c r="K29">
        <v>12.4</v>
      </c>
      <c r="L29">
        <v>20.399999999999999</v>
      </c>
      <c r="M29">
        <v>21.6</v>
      </c>
      <c r="N29">
        <v>23.2</v>
      </c>
      <c r="O29">
        <v>22.5</v>
      </c>
      <c r="P29">
        <v>24.2</v>
      </c>
      <c r="Q29">
        <v>21.9</v>
      </c>
      <c r="R29">
        <v>18.899999999999999</v>
      </c>
      <c r="S29">
        <v>23.5</v>
      </c>
      <c r="T29">
        <v>28.6</v>
      </c>
      <c r="U29">
        <v>19.3</v>
      </c>
      <c r="V29">
        <v>31.6</v>
      </c>
      <c r="W29">
        <v>17</v>
      </c>
      <c r="X29">
        <v>22.1</v>
      </c>
      <c r="Z29">
        <v>25.5</v>
      </c>
      <c r="AA29">
        <v>34</v>
      </c>
    </row>
    <row r="31" spans="1:27" x14ac:dyDescent="0.25">
      <c r="C31">
        <v>1</v>
      </c>
      <c r="D31">
        <f t="array" ref="D31">MEDIAN(IF($C$3:$C$29=$C31,D$3:D$29,""))</f>
        <v>34.799999999999997</v>
      </c>
      <c r="E31">
        <f t="array" ref="E31">MEDIAN(IF($C$3:$C$29=$C31,E$3:E$29,""))</f>
        <v>36.849999999999994</v>
      </c>
      <c r="F31">
        <f t="array" ref="F31">MEDIAN(IF($C$3:$C$29=$C31,F$3:F$29,""))</f>
        <v>37.549999999999997</v>
      </c>
      <c r="G31">
        <f t="array" ref="G31">MEDIAN(IF($C$3:$C$29=$C31,G$3:G$29,""))</f>
        <v>35.9</v>
      </c>
      <c r="H31">
        <f t="array" ref="H31">MEDIAN(IF($C$3:$C$29=$C31,H$3:H$29,""))</f>
        <v>36.5</v>
      </c>
      <c r="I31">
        <f t="array" ref="I31">MEDIAN(IF($C$3:$C$29=$C31,I$3:I$29,""))</f>
        <v>33.75</v>
      </c>
      <c r="J31">
        <f t="array" ref="J31">MEDIAN(IF($C$3:$C$29=$C31,J$3:J$29,""))</f>
        <v>30.25</v>
      </c>
      <c r="K31">
        <f t="array" ref="K31">MEDIAN(IF($C$3:$C$29=$C31,K$3:K$29,""))</f>
        <v>32.700000000000003</v>
      </c>
      <c r="L31">
        <f t="array" ref="L31">MEDIAN(IF($C$3:$C$29=$C31,L$3:L$29,""))</f>
        <v>34.650000000000006</v>
      </c>
      <c r="M31">
        <f t="array" ref="M31">MEDIAN(IF($C$3:$C$29=$C31,M$3:M$29,""))</f>
        <v>26.450000000000003</v>
      </c>
      <c r="N31">
        <f t="array" ref="N31">MEDIAN(IF($C$3:$C$29=$C31,N$3:N$29,""))</f>
        <v>24.25</v>
      </c>
      <c r="O31">
        <f t="array" ref="O31">MEDIAN(IF($C$3:$C$29=$C31,O$3:O$29,""))</f>
        <v>27.15</v>
      </c>
      <c r="P31">
        <f t="array" ref="P31">MEDIAN(IF($C$3:$C$29=$C31,P$3:P$29,""))</f>
        <v>26.75</v>
      </c>
      <c r="Q31">
        <f t="array" ref="Q31">MEDIAN(IF($C$3:$C$29=$C31,Q$3:Q$29,""))</f>
        <v>29.3</v>
      </c>
      <c r="R31">
        <f t="array" ref="R31">MEDIAN(IF($C$3:$C$29=$C31,R$3:R$29,""))</f>
        <v>29.85</v>
      </c>
      <c r="S31">
        <f t="array" ref="S31">MEDIAN(IF($C$3:$C$29=$C31,S$3:S$29,""))</f>
        <v>25.6</v>
      </c>
      <c r="T31">
        <f t="array" ref="T31">MEDIAN(IF($C$3:$C$29=$C31,T$3:T$29,""))</f>
        <v>26.9</v>
      </c>
      <c r="U31">
        <f t="array" ref="U31">MEDIAN(IF($C$3:$C$29=$C31,U$3:U$29,""))</f>
        <v>26.1</v>
      </c>
      <c r="V31">
        <f t="array" ref="V31">MEDIAN(IF($C$3:$C$29=$C31,V$3:V$29,""))</f>
        <v>29.1</v>
      </c>
      <c r="W31">
        <f t="array" ref="W31">MEDIAN(IF($C$3:$C$29=$C31,W$3:W$29,""))</f>
        <v>24.75</v>
      </c>
      <c r="X31">
        <f t="array" ref="X31">MEDIAN(IF($C$3:$C$29=$C31,X$3:X$29,""))</f>
        <v>22.15</v>
      </c>
      <c r="Y31">
        <f t="array" ref="Y31">MEDIAN(IF($C$3:$C$29=$C31,Y$3:Y$29,""))</f>
        <v>23.9</v>
      </c>
      <c r="Z31">
        <f t="array" ref="Z31">MEDIAN(IF($C$3:$C$29=$C31,Z$3:Z$29,""))</f>
        <v>25.549999999999997</v>
      </c>
      <c r="AA31">
        <f t="array" ref="AA31">MEDIAN(IF($C$3:$C$29=$C31,AA$3:AA$29,""))</f>
        <v>30.15</v>
      </c>
    </row>
    <row r="32" spans="1:27" x14ac:dyDescent="0.25">
      <c r="C32">
        <v>2</v>
      </c>
      <c r="D32">
        <f t="array" ref="D32">MEDIAN(IF($C$3:$C$29=$C32,D$3:D$29,""))</f>
        <v>32.450000000000003</v>
      </c>
      <c r="E32">
        <f t="array" ref="E32">MEDIAN(IF($C$3:$C$29=$C32,E$3:E$29,""))</f>
        <v>41.4</v>
      </c>
      <c r="F32">
        <f t="array" ref="F32">MEDIAN(IF($C$3:$C$29=$C32,F$3:F$29,""))</f>
        <v>34.85</v>
      </c>
      <c r="G32">
        <f t="array" ref="G32">MEDIAN(IF($C$3:$C$29=$C32,G$3:G$29,""))</f>
        <v>39.9</v>
      </c>
      <c r="H32">
        <f t="array" ref="H32">MEDIAN(IF($C$3:$C$29=$C32,H$3:H$29,""))</f>
        <v>39.25</v>
      </c>
      <c r="I32">
        <f t="array" ref="I32">MEDIAN(IF($C$3:$C$29=$C32,I$3:I$29,""))</f>
        <v>32.450000000000003</v>
      </c>
      <c r="J32">
        <f t="array" ref="J32">MEDIAN(IF($C$3:$C$29=$C32,J$3:J$29,""))</f>
        <v>35.1</v>
      </c>
      <c r="K32">
        <f t="array" ref="K32">MEDIAN(IF($C$3:$C$29=$C32,K$3:K$29,""))</f>
        <v>27.85</v>
      </c>
      <c r="L32">
        <f t="array" ref="L32">MEDIAN(IF($C$3:$C$29=$C32,L$3:L$29,""))</f>
        <v>25.65</v>
      </c>
      <c r="M32">
        <f t="array" ref="M32">MEDIAN(IF($C$3:$C$29=$C32,M$3:M$29,""))</f>
        <v>21.9</v>
      </c>
      <c r="N32">
        <f t="array" ref="N32">MEDIAN(IF($C$3:$C$29=$C32,N$3:N$29,""))</f>
        <v>21.6</v>
      </c>
      <c r="O32">
        <f t="array" ref="O32">MEDIAN(IF($C$3:$C$29=$C32,O$3:O$29,""))</f>
        <v>24.35</v>
      </c>
      <c r="P32">
        <f t="array" ref="P32">MEDIAN(IF($C$3:$C$29=$C32,P$3:P$29,""))</f>
        <v>20.100000000000001</v>
      </c>
      <c r="Q32">
        <f t="array" ref="Q32">MEDIAN(IF($C$3:$C$29=$C32,Q$3:Q$29,""))</f>
        <v>17.100000000000001</v>
      </c>
      <c r="R32">
        <f t="array" ref="R32">MEDIAN(IF($C$3:$C$29=$C32,R$3:R$29,""))</f>
        <v>22.65</v>
      </c>
      <c r="S32">
        <f t="array" ref="S32">MEDIAN(IF($C$3:$C$29=$C32,S$3:S$29,""))</f>
        <v>23.65</v>
      </c>
      <c r="T32">
        <f t="array" ref="T32">MEDIAN(IF($C$3:$C$29=$C32,T$3:T$29,""))</f>
        <v>22.8</v>
      </c>
      <c r="U32">
        <f t="array" ref="U32">MEDIAN(IF($C$3:$C$29=$C32,U$3:U$29,""))</f>
        <v>18.5</v>
      </c>
      <c r="V32">
        <f t="array" ref="V32">MEDIAN(IF($C$3:$C$29=$C32,V$3:V$29,""))</f>
        <v>25.15</v>
      </c>
      <c r="W32">
        <f t="array" ref="W32">MEDIAN(IF($C$3:$C$29=$C32,W$3:W$29,""))</f>
        <v>18.05</v>
      </c>
      <c r="X32">
        <f t="array" ref="X32">MEDIAN(IF($C$3:$C$29=$C32,X$3:X$29,""))</f>
        <v>21.9</v>
      </c>
      <c r="Y32">
        <f t="array" ref="Y32">MEDIAN(IF($C$3:$C$29=$C32,Y$3:Y$29,""))</f>
        <v>24.1</v>
      </c>
      <c r="Z32">
        <f t="array" ref="Z32">MEDIAN(IF($C$3:$C$29=$C32,Z$3:Z$29,""))</f>
        <v>24.049999999999997</v>
      </c>
      <c r="AA32">
        <f t="array" ref="AA32">MEDIAN(IF($C$3:$C$29=$C32,AA$3:AA$29,""))</f>
        <v>31.75</v>
      </c>
    </row>
    <row r="33" spans="3:27" x14ac:dyDescent="0.25">
      <c r="C33">
        <v>3</v>
      </c>
      <c r="D33">
        <f t="array" ref="D33">MEDIAN(IF($C$3:$C$29=$C33,D$3:D$29,""))</f>
        <v>34.450000000000003</v>
      </c>
      <c r="E33">
        <f t="array" ref="E33">MEDIAN(IF($C$3:$C$29=$C33,E$3:E$29,""))</f>
        <v>38.450000000000003</v>
      </c>
      <c r="F33">
        <f t="array" ref="F33">MEDIAN(IF($C$3:$C$29=$C33,F$3:F$29,""))</f>
        <v>40</v>
      </c>
      <c r="G33">
        <f t="array" ref="G33">MEDIAN(IF($C$3:$C$29=$C33,G$3:G$29,""))</f>
        <v>37.6</v>
      </c>
      <c r="H33">
        <f t="array" ref="H33">MEDIAN(IF($C$3:$C$29=$C33,H$3:H$29,""))</f>
        <v>37.4</v>
      </c>
      <c r="I33">
        <f t="array" ref="I33">MEDIAN(IF($C$3:$C$29=$C33,I$3:I$29,""))</f>
        <v>31.35</v>
      </c>
      <c r="J33">
        <f t="array" ref="J33">MEDIAN(IF($C$3:$C$29=$C33,J$3:J$29,""))</f>
        <v>22.700000000000003</v>
      </c>
      <c r="K33">
        <f t="array" ref="K33">MEDIAN(IF($C$3:$C$29=$C33,K$3:K$29,""))</f>
        <v>23.3</v>
      </c>
      <c r="L33">
        <f t="array" ref="L33">MEDIAN(IF($C$3:$C$29=$C33,L$3:L$29,""))</f>
        <v>17.600000000000001</v>
      </c>
      <c r="M33">
        <f t="array" ref="M33">MEDIAN(IF($C$3:$C$29=$C33,M$3:M$29,""))</f>
        <v>22.1</v>
      </c>
      <c r="N33">
        <f t="array" ref="N33">MEDIAN(IF($C$3:$C$29=$C33,N$3:N$29,""))</f>
        <v>22.65</v>
      </c>
      <c r="O33">
        <f t="array" ref="O33">MEDIAN(IF($C$3:$C$29=$C33,O$3:O$29,""))</f>
        <v>24.9</v>
      </c>
      <c r="P33">
        <f t="array" ref="P33">MEDIAN(IF($C$3:$C$29=$C33,P$3:P$29,""))</f>
        <v>20.450000000000003</v>
      </c>
      <c r="Q33">
        <f t="array" ref="Q33">MEDIAN(IF($C$3:$C$29=$C33,Q$3:Q$29,""))</f>
        <v>23.450000000000003</v>
      </c>
      <c r="R33">
        <f t="array" ref="R33">MEDIAN(IF($C$3:$C$29=$C33,R$3:R$29,""))</f>
        <v>21.75</v>
      </c>
      <c r="S33">
        <f t="array" ref="S33">MEDIAN(IF($C$3:$C$29=$C33,S$3:S$29,""))</f>
        <v>23.3</v>
      </c>
      <c r="T33">
        <f t="array" ref="T33">MEDIAN(IF($C$3:$C$29=$C33,T$3:T$29,""))</f>
        <v>24.65</v>
      </c>
      <c r="U33">
        <f t="array" ref="U33">MEDIAN(IF($C$3:$C$29=$C33,U$3:U$29,""))</f>
        <v>24.65</v>
      </c>
      <c r="V33">
        <f t="array" ref="V33">MEDIAN(IF($C$3:$C$29=$C33,V$3:V$29,""))</f>
        <v>18.45</v>
      </c>
      <c r="W33">
        <f t="array" ref="W33">MEDIAN(IF($C$3:$C$29=$C33,W$3:W$29,""))</f>
        <v>21.049999999999997</v>
      </c>
      <c r="X33">
        <f t="array" ref="X33">MEDIAN(IF($C$3:$C$29=$C33,X$3:X$29,""))</f>
        <v>28.35</v>
      </c>
      <c r="Y33">
        <f t="array" ref="Y33">MEDIAN(IF($C$3:$C$29=$C33,Y$3:Y$29,""))</f>
        <v>30.25</v>
      </c>
      <c r="Z33">
        <f t="array" ref="Z33">MEDIAN(IF($C$3:$C$29=$C33,Z$3:Z$29,""))</f>
        <v>26.799999999999997</v>
      </c>
      <c r="AA33">
        <f t="array" ref="AA33">MEDIAN(IF($C$3:$C$29=$C33,AA$3:AA$29,""))</f>
        <v>32.35</v>
      </c>
    </row>
    <row r="34" spans="3:27" x14ac:dyDescent="0.25">
      <c r="C34">
        <v>4</v>
      </c>
      <c r="D34">
        <f t="array" ref="D34">MEDIAN(IF($C$3:$C$29=$C34,D$3:D$29,""))</f>
        <v>33.9</v>
      </c>
      <c r="E34">
        <f t="array" ref="E34">MEDIAN(IF($C$3:$C$29=$C34,E$3:E$29,""))</f>
        <v>37.1</v>
      </c>
      <c r="F34">
        <f t="array" ref="F34">MEDIAN(IF($C$3:$C$29=$C34,F$3:F$29,""))</f>
        <v>39.700000000000003</v>
      </c>
      <c r="G34">
        <f t="array" ref="G34">MEDIAN(IF($C$3:$C$29=$C34,G$3:G$29,""))</f>
        <v>39.200000000000003</v>
      </c>
      <c r="H34">
        <f t="array" ref="H34">MEDIAN(IF($C$3:$C$29=$C34,H$3:H$29,""))</f>
        <v>38.950000000000003</v>
      </c>
      <c r="I34">
        <f t="array" ref="I34">MEDIAN(IF($C$3:$C$29=$C34,I$3:I$29,""))</f>
        <v>30.9</v>
      </c>
      <c r="J34">
        <f t="array" ref="J34">MEDIAN(IF($C$3:$C$29=$C34,J$3:J$29,""))</f>
        <v>21.2</v>
      </c>
      <c r="K34">
        <f t="array" ref="K34">MEDIAN(IF($C$3:$C$29=$C34,K$3:K$29,""))</f>
        <v>20.05</v>
      </c>
      <c r="L34">
        <f t="array" ref="L34">MEDIAN(IF($C$3:$C$29=$C34,L$3:L$29,""))</f>
        <v>18</v>
      </c>
      <c r="M34">
        <f t="array" ref="M34">MEDIAN(IF($C$3:$C$29=$C34,M$3:M$29,""))</f>
        <v>25.4</v>
      </c>
      <c r="N34">
        <f t="array" ref="N34">MEDIAN(IF($C$3:$C$29=$C34,N$3:N$29,""))</f>
        <v>17.350000000000001</v>
      </c>
      <c r="O34">
        <f t="array" ref="O34">MEDIAN(IF($C$3:$C$29=$C34,O$3:O$29,""))</f>
        <v>27.2</v>
      </c>
      <c r="P34">
        <f t="array" ref="P34">MEDIAN(IF($C$3:$C$29=$C34,P$3:P$29,""))</f>
        <v>23</v>
      </c>
      <c r="Q34">
        <f t="array" ref="Q34">MEDIAN(IF($C$3:$C$29=$C34,Q$3:Q$29,""))</f>
        <v>18.95</v>
      </c>
      <c r="R34">
        <f t="array" ref="R34">MEDIAN(IF($C$3:$C$29=$C34,R$3:R$29,""))</f>
        <v>22</v>
      </c>
      <c r="S34">
        <f t="array" ref="S34">MEDIAN(IF($C$3:$C$29=$C34,S$3:S$29,""))</f>
        <v>20.700000000000003</v>
      </c>
      <c r="T34">
        <f t="array" ref="T34">MEDIAN(IF($C$3:$C$29=$C34,T$3:T$29,""))</f>
        <v>21.1</v>
      </c>
      <c r="U34">
        <f t="array" ref="U34">MEDIAN(IF($C$3:$C$29=$C34,U$3:U$29,""))</f>
        <v>20.100000000000001</v>
      </c>
      <c r="V34">
        <f t="array" ref="V34">MEDIAN(IF($C$3:$C$29=$C34,V$3:V$29,""))</f>
        <v>21.299999999999997</v>
      </c>
      <c r="W34">
        <f t="array" ref="W34">MEDIAN(IF($C$3:$C$29=$C34,W$3:W$29,""))</f>
        <v>19.8</v>
      </c>
      <c r="X34">
        <f t="array" ref="X34">MEDIAN(IF($C$3:$C$29=$C34,X$3:X$29,""))</f>
        <v>22.950000000000003</v>
      </c>
      <c r="Y34">
        <f t="array" ref="Y34">MEDIAN(IF($C$3:$C$29=$C34,Y$3:Y$29,""))</f>
        <v>27.95</v>
      </c>
      <c r="Z34">
        <f t="array" ref="Z34">MEDIAN(IF($C$3:$C$29=$C34,Z$3:Z$29,""))</f>
        <v>22.799999999999997</v>
      </c>
      <c r="AA34">
        <f t="array" ref="AA34">MEDIAN(IF($C$3:$C$29=$C34,AA$3:AA$29,""))</f>
        <v>32.049999999999997</v>
      </c>
    </row>
    <row r="35" spans="3:27" x14ac:dyDescent="0.25">
      <c r="C35">
        <v>5</v>
      </c>
      <c r="D35">
        <f t="array" ref="D35">MEDIAN(IF($C$3:$C$29=$C35,D$3:D$29,""))</f>
        <v>35.799999999999997</v>
      </c>
      <c r="E35">
        <f t="array" ref="E35">MEDIAN(IF($C$3:$C$29=$C35,E$3:E$29,""))</f>
        <v>34.9</v>
      </c>
      <c r="F35">
        <f t="array" ref="F35">MEDIAN(IF($C$3:$C$29=$C35,F$3:F$29,""))</f>
        <v>39.1</v>
      </c>
      <c r="G35">
        <f t="array" ref="G35">MEDIAN(IF($C$3:$C$29=$C35,G$3:G$29,""))</f>
        <v>39.950000000000003</v>
      </c>
      <c r="H35">
        <f t="array" ref="H35">MEDIAN(IF($C$3:$C$29=$C35,H$3:H$29,""))</f>
        <v>34.200000000000003</v>
      </c>
      <c r="I35">
        <f t="array" ref="I35">MEDIAN(IF($C$3:$C$29=$C35,I$3:I$29,""))</f>
        <v>32.349999999999994</v>
      </c>
      <c r="J35">
        <f t="array" ref="J35">MEDIAN(IF($C$3:$C$29=$C35,J$3:J$29,""))</f>
        <v>22.35</v>
      </c>
      <c r="K35">
        <f t="array" ref="K35">MEDIAN(IF($C$3:$C$29=$C35,K$3:K$29,""))</f>
        <v>18.649999999999999</v>
      </c>
      <c r="L35">
        <f t="array" ref="L35">MEDIAN(IF($C$3:$C$29=$C35,L$3:L$29,""))</f>
        <v>19.25</v>
      </c>
      <c r="M35">
        <f t="array" ref="M35">MEDIAN(IF($C$3:$C$29=$C35,M$3:M$29,""))</f>
        <v>23</v>
      </c>
      <c r="N35">
        <f t="array" ref="N35">MEDIAN(IF($C$3:$C$29=$C35,N$3:N$29,""))</f>
        <v>20.950000000000003</v>
      </c>
      <c r="O35">
        <f t="array" ref="O35">MEDIAN(IF($C$3:$C$29=$C35,O$3:O$29,""))</f>
        <v>24.299999999999997</v>
      </c>
      <c r="P35">
        <f t="array" ref="P35">MEDIAN(IF($C$3:$C$29=$C35,P$3:P$29,""))</f>
        <v>25.299999999999997</v>
      </c>
      <c r="Q35">
        <f t="array" ref="Q35">MEDIAN(IF($C$3:$C$29=$C35,Q$3:Q$29,""))</f>
        <v>21.549999999999997</v>
      </c>
      <c r="R35">
        <f t="array" ref="R35">MEDIAN(IF($C$3:$C$29=$C35,R$3:R$29,""))</f>
        <v>20.399999999999999</v>
      </c>
      <c r="S35">
        <f t="array" ref="S35">MEDIAN(IF($C$3:$C$29=$C35,S$3:S$29,""))</f>
        <v>24.4</v>
      </c>
      <c r="T35">
        <f t="array" ref="T35">MEDIAN(IF($C$3:$C$29=$C35,T$3:T$29,""))</f>
        <v>23.85</v>
      </c>
      <c r="U35">
        <f t="array" ref="U35">MEDIAN(IF($C$3:$C$29=$C35,U$3:U$29,""))</f>
        <v>20.149999999999999</v>
      </c>
      <c r="V35">
        <f t="array" ref="V35">MEDIAN(IF($C$3:$C$29=$C35,V$3:V$29,""))</f>
        <v>22.3</v>
      </c>
      <c r="W35">
        <f t="array" ref="W35">MEDIAN(IF($C$3:$C$29=$C35,W$3:W$29,""))</f>
        <v>21.85</v>
      </c>
      <c r="X35">
        <f t="array" ref="X35">MEDIAN(IF($C$3:$C$29=$C35,X$3:X$29,""))</f>
        <v>21</v>
      </c>
      <c r="Y35">
        <f t="array" ref="Y35">MEDIAN(IF($C$3:$C$29=$C35,Y$3:Y$29,""))</f>
        <v>23.25</v>
      </c>
      <c r="Z35">
        <f t="array" ref="Z35">MEDIAN(IF($C$3:$C$29=$C35,Z$3:Z$29,""))</f>
        <v>25.2</v>
      </c>
      <c r="AA35">
        <f t="array" ref="AA35">MEDIAN(IF($C$3:$C$29=$C35,AA$3:AA$29,""))</f>
        <v>28.549999999999997</v>
      </c>
    </row>
    <row r="36" spans="3:27" x14ac:dyDescent="0.25">
      <c r="C36">
        <v>6</v>
      </c>
      <c r="D36">
        <f t="array" ref="D36">MEDIAN(IF($C$3:$C$29=$C36,D$3:D$29,""))</f>
        <v>35</v>
      </c>
      <c r="E36">
        <f t="array" ref="E36">MEDIAN(IF($C$3:$C$29=$C36,E$3:E$29,""))</f>
        <v>32.6</v>
      </c>
      <c r="F36">
        <f t="array" ref="F36">MEDIAN(IF($C$3:$C$29=$C36,F$3:F$29,""))</f>
        <v>37.9</v>
      </c>
      <c r="G36">
        <f t="array" ref="G36">MEDIAN(IF($C$3:$C$29=$C36,G$3:G$29,""))</f>
        <v>42.5</v>
      </c>
      <c r="H36">
        <f t="array" ref="H36">MEDIAN(IF($C$3:$C$29=$C36,H$3:H$29,""))</f>
        <v>36.5</v>
      </c>
      <c r="I36">
        <f t="array" ref="I36">MEDIAN(IF($C$3:$C$29=$C36,I$3:I$29,""))</f>
        <v>32.4</v>
      </c>
      <c r="J36">
        <f t="array" ref="J36">MEDIAN(IF($C$3:$C$29=$C36,J$3:J$29,""))</f>
        <v>20.9</v>
      </c>
      <c r="K36">
        <f t="array" ref="K36">MEDIAN(IF($C$3:$C$29=$C36,K$3:K$29,""))</f>
        <v>22.7</v>
      </c>
      <c r="L36">
        <f t="array" ref="L36">MEDIAN(IF($C$3:$C$29=$C36,L$3:L$29,""))</f>
        <v>25.1</v>
      </c>
      <c r="M36">
        <f t="array" ref="M36">MEDIAN(IF($C$3:$C$29=$C36,M$3:M$29,""))</f>
        <v>23.6</v>
      </c>
      <c r="N36">
        <f t="array" ref="N36">MEDIAN(IF($C$3:$C$29=$C36,N$3:N$29,""))</f>
        <v>27.3</v>
      </c>
      <c r="O36">
        <f t="array" ref="O36">MEDIAN(IF($C$3:$C$29=$C36,O$3:O$29,""))</f>
        <v>20.6</v>
      </c>
      <c r="P36">
        <f t="array" ref="P36">MEDIAN(IF($C$3:$C$29=$C36,P$3:P$29,""))</f>
        <v>27.5</v>
      </c>
      <c r="Q36">
        <f t="array" ref="Q36">MEDIAN(IF($C$3:$C$29=$C36,Q$3:Q$29,""))</f>
        <v>22.4</v>
      </c>
      <c r="R36">
        <f t="array" ref="R36">MEDIAN(IF($C$3:$C$29=$C36,R$3:R$29,""))</f>
        <v>21.2</v>
      </c>
      <c r="S36">
        <f t="array" ref="S36">MEDIAN(IF($C$3:$C$29=$C36,S$3:S$29,""))</f>
        <v>23.9</v>
      </c>
      <c r="T36">
        <f t="array" ref="T36">MEDIAN(IF($C$3:$C$29=$C36,T$3:T$29,""))</f>
        <v>21</v>
      </c>
      <c r="U36">
        <f t="array" ref="U36">MEDIAN(IF($C$3:$C$29=$C36,U$3:U$29,""))</f>
        <v>16.100000000000001</v>
      </c>
      <c r="V36">
        <f t="array" ref="V36">MEDIAN(IF($C$3:$C$29=$C36,V$3:V$29,""))</f>
        <v>18.2</v>
      </c>
      <c r="W36">
        <f t="array" ref="W36">MEDIAN(IF($C$3:$C$29=$C36,W$3:W$29,""))</f>
        <v>17.100000000000001</v>
      </c>
      <c r="X36">
        <f t="array" ref="X36">MEDIAN(IF($C$3:$C$29=$C36,X$3:X$29,""))</f>
        <v>38.6</v>
      </c>
      <c r="Y36">
        <f t="array" ref="Y36">MEDIAN(IF($C$3:$C$29=$C36,Y$3:Y$29,""))</f>
        <v>24</v>
      </c>
      <c r="Z36">
        <f t="array" ref="Z36">MEDIAN(IF($C$3:$C$29=$C36,Z$3:Z$29,""))</f>
        <v>30.8</v>
      </c>
      <c r="AA36">
        <f t="array" ref="AA36">MEDIAN(IF($C$3:$C$29=$C36,AA$3:AA$29,""))</f>
        <v>30.2</v>
      </c>
    </row>
    <row r="37" spans="3:27" x14ac:dyDescent="0.25">
      <c r="C37">
        <v>7</v>
      </c>
      <c r="D37">
        <f t="array" ref="D37">MEDIAN(IF($C$3:$C$29=$C37,D$3:D$29,""))</f>
        <v>35.049999999999997</v>
      </c>
      <c r="E37">
        <f t="array" ref="E37">MEDIAN(IF($C$3:$C$29=$C37,E$3:E$29,""))</f>
        <v>38.049999999999997</v>
      </c>
      <c r="F37">
        <f t="array" ref="F37">MEDIAN(IF($C$3:$C$29=$C37,F$3:F$29,""))</f>
        <v>38.85</v>
      </c>
      <c r="G37">
        <f t="array" ref="G37">MEDIAN(IF($C$3:$C$29=$C37,G$3:G$29,""))</f>
        <v>40.150000000000006</v>
      </c>
      <c r="H37">
        <f t="array" ref="H37">MEDIAN(IF($C$3:$C$29=$C37,H$3:H$29,""))</f>
        <v>40.299999999999997</v>
      </c>
      <c r="I37">
        <f t="array" ref="I37">MEDIAN(IF($C$3:$C$29=$C37,I$3:I$29,""))</f>
        <v>31.4</v>
      </c>
      <c r="J37">
        <f t="array" ref="J37">MEDIAN(IF($C$3:$C$29=$C37,J$3:J$29,""))</f>
        <v>26.049999999999997</v>
      </c>
      <c r="K37">
        <f t="array" ref="K37">MEDIAN(IF($C$3:$C$29=$C37,K$3:K$29,""))</f>
        <v>21.700000000000003</v>
      </c>
      <c r="L37">
        <f t="array" ref="L37">MEDIAN(IF($C$3:$C$29=$C37,L$3:L$29,""))</f>
        <v>20.549999999999997</v>
      </c>
      <c r="M37">
        <f t="array" ref="M37">MEDIAN(IF($C$3:$C$29=$C37,M$3:M$29,""))</f>
        <v>23.549999999999997</v>
      </c>
      <c r="N37">
        <f t="array" ref="N37">MEDIAN(IF($C$3:$C$29=$C37,N$3:N$29,""))</f>
        <v>24.9</v>
      </c>
      <c r="O37">
        <f t="array" ref="O37">MEDIAN(IF($C$3:$C$29=$C37,O$3:O$29,""))</f>
        <v>24.75</v>
      </c>
      <c r="P37">
        <f t="array" ref="P37">MEDIAN(IF($C$3:$C$29=$C37,P$3:P$29,""))</f>
        <v>23.6</v>
      </c>
      <c r="Q37">
        <f t="array" ref="Q37">MEDIAN(IF($C$3:$C$29=$C37,Q$3:Q$29,""))</f>
        <v>21.6</v>
      </c>
      <c r="R37">
        <f t="array" ref="R37">MEDIAN(IF($C$3:$C$29=$C37,R$3:R$29,""))</f>
        <v>21.7</v>
      </c>
      <c r="S37">
        <f t="array" ref="S37">MEDIAN(IF($C$3:$C$29=$C37,S$3:S$29,""))</f>
        <v>30.25</v>
      </c>
      <c r="T37">
        <f t="array" ref="T37">MEDIAN(IF($C$3:$C$29=$C37,T$3:T$29,""))</f>
        <v>20</v>
      </c>
      <c r="U37">
        <f t="array" ref="U37">MEDIAN(IF($C$3:$C$29=$C37,U$3:U$29,""))</f>
        <v>24.4</v>
      </c>
      <c r="V37">
        <f t="array" ref="V37">MEDIAN(IF($C$3:$C$29=$C37,V$3:V$29,""))</f>
        <v>18</v>
      </c>
      <c r="W37">
        <f t="array" ref="W37">MEDIAN(IF($C$3:$C$29=$C37,W$3:W$29,""))</f>
        <v>19.850000000000001</v>
      </c>
      <c r="X37">
        <f t="array" ref="X37">MEDIAN(IF($C$3:$C$29=$C37,X$3:X$29,""))</f>
        <v>24.950000000000003</v>
      </c>
      <c r="Y37">
        <f t="array" ref="Y37">MEDIAN(IF($C$3:$C$29=$C37,Y$3:Y$29,""))</f>
        <v>26.15</v>
      </c>
      <c r="Z37">
        <f t="array" ref="Z37">MEDIAN(IF($C$3:$C$29=$C37,Z$3:Z$29,""))</f>
        <v>21.35</v>
      </c>
      <c r="AA37">
        <f t="array" ref="AA37">MEDIAN(IF($C$3:$C$29=$C37,AA$3:AA$29,""))</f>
        <v>30.25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5"/>
  <dimension ref="A1:AA37"/>
  <sheetViews>
    <sheetView workbookViewId="0">
      <selection activeCell="G31" sqref="G31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30</v>
      </c>
      <c r="E3">
        <v>38.700000000000003</v>
      </c>
      <c r="F3">
        <v>39.5</v>
      </c>
      <c r="G3">
        <v>34.5</v>
      </c>
      <c r="H3">
        <v>30.2</v>
      </c>
      <c r="I3">
        <v>36</v>
      </c>
      <c r="J3">
        <v>29.3</v>
      </c>
      <c r="K3">
        <v>24.7</v>
      </c>
      <c r="L3">
        <v>25.8</v>
      </c>
      <c r="M3">
        <v>27</v>
      </c>
      <c r="N3">
        <v>24.1</v>
      </c>
      <c r="O3">
        <v>20.7</v>
      </c>
      <c r="P3">
        <v>25.6</v>
      </c>
      <c r="Q3">
        <v>23.2</v>
      </c>
      <c r="R3">
        <v>33.299999999999997</v>
      </c>
      <c r="S3">
        <v>28.9</v>
      </c>
      <c r="T3">
        <v>22.5</v>
      </c>
      <c r="U3">
        <v>22.6</v>
      </c>
      <c r="V3">
        <v>20.2</v>
      </c>
      <c r="W3">
        <v>21.6</v>
      </c>
      <c r="X3">
        <v>27.1</v>
      </c>
      <c r="Y3">
        <v>24.9</v>
      </c>
      <c r="Z3">
        <v>21.8</v>
      </c>
      <c r="AA3">
        <v>29.6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31.9</v>
      </c>
      <c r="E4">
        <v>34.799999999999997</v>
      </c>
      <c r="F4">
        <v>39.5</v>
      </c>
      <c r="G4">
        <v>39.299999999999997</v>
      </c>
      <c r="H4">
        <v>39.1</v>
      </c>
      <c r="I4">
        <v>36.299999999999997</v>
      </c>
      <c r="J4">
        <v>37.200000000000003</v>
      </c>
      <c r="K4">
        <v>25.9</v>
      </c>
      <c r="L4">
        <v>29.5</v>
      </c>
      <c r="M4">
        <v>24.4</v>
      </c>
      <c r="N4">
        <v>19.7</v>
      </c>
      <c r="O4">
        <v>21.2</v>
      </c>
      <c r="P4">
        <v>25.2</v>
      </c>
      <c r="Q4">
        <v>22.2</v>
      </c>
      <c r="R4">
        <v>21.8</v>
      </c>
      <c r="S4">
        <v>26.5</v>
      </c>
      <c r="T4">
        <v>25.8</v>
      </c>
      <c r="U4">
        <v>25.8</v>
      </c>
      <c r="V4">
        <v>26.6</v>
      </c>
      <c r="W4">
        <v>21.8</v>
      </c>
      <c r="X4">
        <v>35.5</v>
      </c>
      <c r="Y4">
        <v>37.9</v>
      </c>
      <c r="Z4">
        <v>23.9</v>
      </c>
      <c r="AA4">
        <v>42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34</v>
      </c>
      <c r="E5">
        <v>35.299999999999997</v>
      </c>
      <c r="F5">
        <v>33.299999999999997</v>
      </c>
      <c r="G5">
        <v>34.700000000000003</v>
      </c>
      <c r="H5">
        <v>34.1</v>
      </c>
      <c r="I5">
        <v>30.8</v>
      </c>
      <c r="J5">
        <v>34.6</v>
      </c>
      <c r="K5">
        <v>37.6</v>
      </c>
      <c r="L5">
        <v>34.4</v>
      </c>
      <c r="M5">
        <v>28</v>
      </c>
      <c r="N5">
        <v>29</v>
      </c>
      <c r="O5">
        <v>24.7</v>
      </c>
      <c r="P5">
        <v>26.5</v>
      </c>
      <c r="Q5">
        <v>27.7</v>
      </c>
      <c r="R5">
        <v>34</v>
      </c>
      <c r="S5">
        <v>20.7</v>
      </c>
      <c r="T5">
        <v>38.9</v>
      </c>
      <c r="U5">
        <v>24.2</v>
      </c>
      <c r="V5">
        <v>31.9</v>
      </c>
      <c r="W5">
        <v>29.8</v>
      </c>
      <c r="X5">
        <v>38.700000000000003</v>
      </c>
      <c r="Y5">
        <v>26.8</v>
      </c>
      <c r="Z5">
        <v>24.7</v>
      </c>
      <c r="AA5">
        <v>33.299999999999997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28.1</v>
      </c>
      <c r="E6">
        <v>41.8</v>
      </c>
      <c r="F6">
        <v>31.9</v>
      </c>
      <c r="G6">
        <v>35.799999999999997</v>
      </c>
      <c r="H6">
        <v>27.4</v>
      </c>
      <c r="I6">
        <v>27.8</v>
      </c>
      <c r="J6">
        <v>25.3</v>
      </c>
      <c r="K6">
        <v>27.4</v>
      </c>
      <c r="L6">
        <v>26</v>
      </c>
      <c r="M6">
        <v>19.5</v>
      </c>
      <c r="N6">
        <v>23.6</v>
      </c>
      <c r="O6">
        <v>21.5</v>
      </c>
      <c r="P6">
        <v>21.9</v>
      </c>
      <c r="Q6">
        <v>27.2</v>
      </c>
      <c r="R6">
        <v>27.2</v>
      </c>
      <c r="S6">
        <v>24.5</v>
      </c>
      <c r="T6">
        <v>27.5</v>
      </c>
      <c r="U6">
        <v>24.7</v>
      </c>
      <c r="V6">
        <v>34.1</v>
      </c>
      <c r="W6">
        <v>24.6</v>
      </c>
      <c r="X6">
        <v>24.7</v>
      </c>
      <c r="Y6">
        <v>30.2</v>
      </c>
      <c r="Z6">
        <v>19.100000000000001</v>
      </c>
      <c r="AA6">
        <v>31.9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31.1</v>
      </c>
      <c r="E7">
        <v>37.9</v>
      </c>
      <c r="F7">
        <v>44.8</v>
      </c>
      <c r="G7">
        <v>39.200000000000003</v>
      </c>
      <c r="H7">
        <v>34.299999999999997</v>
      </c>
      <c r="I7">
        <v>31.2</v>
      </c>
      <c r="J7">
        <v>21.6</v>
      </c>
      <c r="K7">
        <v>20.8</v>
      </c>
      <c r="L7">
        <v>23.6</v>
      </c>
      <c r="M7">
        <v>37.299999999999997</v>
      </c>
      <c r="N7">
        <v>19.8</v>
      </c>
      <c r="O7">
        <v>26.7</v>
      </c>
      <c r="P7">
        <v>29.2</v>
      </c>
      <c r="Q7">
        <v>18.8</v>
      </c>
      <c r="R7">
        <v>27.6</v>
      </c>
      <c r="S7">
        <v>24.2</v>
      </c>
      <c r="T7">
        <v>25.8</v>
      </c>
      <c r="U7">
        <v>24.6</v>
      </c>
      <c r="V7">
        <v>21</v>
      </c>
      <c r="W7">
        <v>18.899999999999999</v>
      </c>
      <c r="X7">
        <v>32</v>
      </c>
      <c r="Y7">
        <v>22.7</v>
      </c>
      <c r="Z7">
        <v>30.3</v>
      </c>
      <c r="AA7">
        <v>35.799999999999997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36.6</v>
      </c>
      <c r="E8">
        <v>41.3</v>
      </c>
      <c r="F8">
        <v>32.299999999999997</v>
      </c>
      <c r="G8">
        <v>41.3</v>
      </c>
      <c r="H8">
        <v>36.4</v>
      </c>
      <c r="I8">
        <v>32.799999999999997</v>
      </c>
      <c r="J8">
        <v>24.2</v>
      </c>
      <c r="K8">
        <v>24.7</v>
      </c>
      <c r="L8">
        <v>18.7</v>
      </c>
      <c r="M8">
        <v>21.6</v>
      </c>
      <c r="N8">
        <v>21.3</v>
      </c>
      <c r="O8">
        <v>26.8</v>
      </c>
      <c r="Q8">
        <v>20.7</v>
      </c>
      <c r="R8">
        <v>21.5</v>
      </c>
      <c r="S8">
        <v>24.8</v>
      </c>
      <c r="T8">
        <v>25</v>
      </c>
      <c r="U8">
        <v>20.399999999999999</v>
      </c>
      <c r="V8">
        <v>20</v>
      </c>
      <c r="W8">
        <v>33</v>
      </c>
      <c r="X8">
        <v>23.2</v>
      </c>
      <c r="Y8">
        <v>34.6</v>
      </c>
      <c r="Z8">
        <v>30.7</v>
      </c>
      <c r="AA8">
        <v>23.4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33.6</v>
      </c>
      <c r="E9">
        <v>47.5</v>
      </c>
      <c r="F9">
        <v>41</v>
      </c>
      <c r="G9">
        <v>41.8</v>
      </c>
      <c r="H9">
        <v>34.200000000000003</v>
      </c>
      <c r="I9">
        <v>31</v>
      </c>
      <c r="J9">
        <v>28.4</v>
      </c>
      <c r="K9">
        <v>25</v>
      </c>
      <c r="L9">
        <v>32.299999999999997</v>
      </c>
      <c r="M9">
        <v>28.9</v>
      </c>
      <c r="N9">
        <v>26.7</v>
      </c>
      <c r="O9">
        <v>23.8</v>
      </c>
      <c r="P9">
        <v>24.2</v>
      </c>
      <c r="Q9">
        <v>25.4</v>
      </c>
      <c r="R9">
        <v>18.399999999999999</v>
      </c>
      <c r="S9">
        <v>24.4</v>
      </c>
      <c r="T9">
        <v>19</v>
      </c>
      <c r="U9">
        <v>18.2</v>
      </c>
      <c r="V9">
        <v>15.9</v>
      </c>
      <c r="W9">
        <v>20.7</v>
      </c>
      <c r="X9">
        <v>38.6</v>
      </c>
      <c r="Y9">
        <v>19.5</v>
      </c>
      <c r="Z9">
        <v>24.7</v>
      </c>
      <c r="AA9">
        <v>29.9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35.299999999999997</v>
      </c>
      <c r="E10">
        <v>40.4</v>
      </c>
      <c r="F10">
        <v>37.1</v>
      </c>
      <c r="G10">
        <v>37.6</v>
      </c>
      <c r="H10">
        <v>34.5</v>
      </c>
      <c r="I10">
        <v>36.299999999999997</v>
      </c>
      <c r="J10">
        <v>30.4</v>
      </c>
      <c r="K10">
        <v>32.9</v>
      </c>
      <c r="L10">
        <v>22.3</v>
      </c>
      <c r="M10">
        <v>24.5</v>
      </c>
      <c r="N10">
        <v>24.3</v>
      </c>
      <c r="O10">
        <v>22.9</v>
      </c>
      <c r="P10">
        <v>31</v>
      </c>
      <c r="Q10">
        <v>22.7</v>
      </c>
      <c r="R10">
        <v>28.8</v>
      </c>
      <c r="S10">
        <v>33.1</v>
      </c>
      <c r="T10">
        <v>26.7</v>
      </c>
      <c r="U10">
        <v>27</v>
      </c>
      <c r="V10">
        <v>23</v>
      </c>
      <c r="W10">
        <v>27.3</v>
      </c>
      <c r="X10">
        <v>31.2</v>
      </c>
      <c r="Y10">
        <v>26</v>
      </c>
      <c r="Z10">
        <v>19.3</v>
      </c>
      <c r="AA10">
        <v>25.2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31.2</v>
      </c>
      <c r="E11">
        <v>41</v>
      </c>
      <c r="F11">
        <v>38.6</v>
      </c>
      <c r="G11">
        <v>35.700000000000003</v>
      </c>
      <c r="H11">
        <v>36</v>
      </c>
      <c r="I11">
        <v>31.1</v>
      </c>
      <c r="J11">
        <v>37.700000000000003</v>
      </c>
      <c r="K11">
        <v>30.8</v>
      </c>
      <c r="L11">
        <v>32.1</v>
      </c>
      <c r="M11">
        <v>24.4</v>
      </c>
      <c r="N11">
        <v>24.3</v>
      </c>
      <c r="O11">
        <v>28.4</v>
      </c>
      <c r="P11">
        <v>14.9</v>
      </c>
      <c r="Q11">
        <v>24.4</v>
      </c>
      <c r="R11">
        <v>29.5</v>
      </c>
      <c r="S11">
        <v>26.2</v>
      </c>
      <c r="T11">
        <v>23.8</v>
      </c>
      <c r="U11">
        <v>27.9</v>
      </c>
      <c r="V11">
        <v>25.3</v>
      </c>
      <c r="W11">
        <v>27.1</v>
      </c>
      <c r="X11">
        <v>22.6</v>
      </c>
      <c r="Y11">
        <v>23.2</v>
      </c>
      <c r="Z11">
        <v>22.1</v>
      </c>
      <c r="AA11">
        <v>38.700000000000003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33.1</v>
      </c>
      <c r="E12">
        <v>42.9</v>
      </c>
      <c r="F12">
        <v>33.1</v>
      </c>
      <c r="G12">
        <v>33.9</v>
      </c>
      <c r="H12">
        <v>32.299999999999997</v>
      </c>
      <c r="I12">
        <v>30.4</v>
      </c>
      <c r="J12">
        <v>31.7</v>
      </c>
      <c r="K12">
        <v>29.7</v>
      </c>
      <c r="L12">
        <v>29.4</v>
      </c>
      <c r="M12">
        <v>30.6</v>
      </c>
      <c r="N12">
        <v>26.5</v>
      </c>
      <c r="O12">
        <v>27.1</v>
      </c>
      <c r="P12">
        <v>25.8</v>
      </c>
      <c r="Q12">
        <v>24.1</v>
      </c>
      <c r="R12">
        <v>32.4</v>
      </c>
      <c r="S12">
        <v>30.4</v>
      </c>
      <c r="T12">
        <v>27.5</v>
      </c>
      <c r="U12">
        <v>24.1</v>
      </c>
      <c r="V12">
        <v>27.3</v>
      </c>
      <c r="W12">
        <v>25.5</v>
      </c>
      <c r="X12">
        <v>38.6</v>
      </c>
      <c r="Y12">
        <v>32.200000000000003</v>
      </c>
      <c r="Z12">
        <v>24.3</v>
      </c>
      <c r="AA12">
        <v>32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34</v>
      </c>
      <c r="E13">
        <v>38.1</v>
      </c>
      <c r="F13">
        <v>34.799999999999997</v>
      </c>
      <c r="G13">
        <v>40</v>
      </c>
      <c r="H13">
        <v>37.700000000000003</v>
      </c>
      <c r="I13">
        <v>37</v>
      </c>
      <c r="J13">
        <v>30.2</v>
      </c>
      <c r="K13">
        <v>25.3</v>
      </c>
      <c r="L13">
        <v>20.100000000000001</v>
      </c>
      <c r="M13">
        <v>28.6</v>
      </c>
      <c r="N13">
        <v>22.2</v>
      </c>
      <c r="O13">
        <v>31.9</v>
      </c>
      <c r="P13">
        <v>21.2</v>
      </c>
      <c r="Q13">
        <v>24.2</v>
      </c>
      <c r="R13">
        <v>23.8</v>
      </c>
      <c r="S13">
        <v>29.1</v>
      </c>
      <c r="T13">
        <v>25</v>
      </c>
      <c r="U13">
        <v>30.8</v>
      </c>
      <c r="V13">
        <v>16.5</v>
      </c>
      <c r="W13">
        <v>14.3</v>
      </c>
      <c r="X13">
        <v>26.7</v>
      </c>
      <c r="Y13">
        <v>29.6</v>
      </c>
      <c r="Z13">
        <v>27</v>
      </c>
      <c r="AA13">
        <v>31.8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33.6</v>
      </c>
      <c r="E14">
        <v>34.6</v>
      </c>
      <c r="F14">
        <v>43.4</v>
      </c>
      <c r="G14">
        <v>38.700000000000003</v>
      </c>
      <c r="H14">
        <v>41.7</v>
      </c>
      <c r="I14">
        <v>34.5</v>
      </c>
      <c r="J14">
        <v>29.7</v>
      </c>
      <c r="K14">
        <v>25.1</v>
      </c>
      <c r="L14">
        <v>20.7</v>
      </c>
      <c r="M14">
        <v>28.1</v>
      </c>
      <c r="N14">
        <v>22.2</v>
      </c>
      <c r="O14">
        <v>24.5</v>
      </c>
      <c r="P14">
        <v>24.3</v>
      </c>
      <c r="Q14">
        <v>24.9</v>
      </c>
      <c r="R14">
        <v>23.9</v>
      </c>
      <c r="S14">
        <v>17.3</v>
      </c>
      <c r="T14">
        <v>27.7</v>
      </c>
      <c r="U14">
        <v>27</v>
      </c>
      <c r="V14">
        <v>27.4</v>
      </c>
      <c r="W14">
        <v>23.6</v>
      </c>
      <c r="X14">
        <v>25.2</v>
      </c>
      <c r="Y14">
        <v>23.6</v>
      </c>
      <c r="Z14">
        <v>20.9</v>
      </c>
      <c r="AA14">
        <v>35.6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33.5</v>
      </c>
      <c r="E15">
        <v>38.299999999999997</v>
      </c>
      <c r="F15">
        <v>42.2</v>
      </c>
      <c r="G15">
        <v>42.3</v>
      </c>
      <c r="H15">
        <v>35.700000000000003</v>
      </c>
      <c r="I15">
        <v>27.8</v>
      </c>
      <c r="J15">
        <v>26.4</v>
      </c>
      <c r="K15">
        <v>21.9</v>
      </c>
      <c r="L15">
        <v>18.100000000000001</v>
      </c>
      <c r="M15">
        <v>22.8</v>
      </c>
      <c r="N15">
        <v>25.6</v>
      </c>
      <c r="O15">
        <v>27.3</v>
      </c>
      <c r="P15">
        <v>26.7</v>
      </c>
      <c r="Q15">
        <v>17.3</v>
      </c>
      <c r="R15">
        <v>26</v>
      </c>
      <c r="S15">
        <v>23.3</v>
      </c>
      <c r="T15">
        <v>19.7</v>
      </c>
      <c r="U15">
        <v>29.3</v>
      </c>
      <c r="V15">
        <v>15.8</v>
      </c>
      <c r="W15">
        <v>32</v>
      </c>
      <c r="X15">
        <v>23.2</v>
      </c>
      <c r="Y15">
        <v>28</v>
      </c>
      <c r="Z15">
        <v>23.9</v>
      </c>
      <c r="AA15">
        <v>32.1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36</v>
      </c>
      <c r="E16">
        <v>31.1</v>
      </c>
      <c r="F16">
        <v>39.9</v>
      </c>
      <c r="G16">
        <v>43.6</v>
      </c>
      <c r="H16">
        <v>37</v>
      </c>
      <c r="I16">
        <v>34.4</v>
      </c>
      <c r="J16">
        <v>26.6</v>
      </c>
      <c r="K16">
        <v>20.5</v>
      </c>
      <c r="L16">
        <v>25.9</v>
      </c>
      <c r="M16">
        <v>23.7</v>
      </c>
      <c r="N16">
        <v>23</v>
      </c>
      <c r="O16">
        <v>20.5</v>
      </c>
      <c r="P16">
        <v>31.8</v>
      </c>
      <c r="Q16">
        <v>24.1</v>
      </c>
      <c r="R16">
        <v>19.2</v>
      </c>
      <c r="S16">
        <v>26</v>
      </c>
      <c r="T16">
        <v>24.6</v>
      </c>
      <c r="U16">
        <v>23.1</v>
      </c>
      <c r="V16">
        <v>18.8</v>
      </c>
      <c r="W16">
        <v>26.1</v>
      </c>
      <c r="X16">
        <v>41.8</v>
      </c>
      <c r="Y16">
        <v>23.8</v>
      </c>
      <c r="Z16">
        <v>26.5</v>
      </c>
      <c r="AA16">
        <v>27.2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37.200000000000003</v>
      </c>
      <c r="E17">
        <v>34.6</v>
      </c>
      <c r="F17">
        <v>36.700000000000003</v>
      </c>
      <c r="G17">
        <v>40.299999999999997</v>
      </c>
      <c r="H17">
        <v>35.5</v>
      </c>
      <c r="I17">
        <v>32.9</v>
      </c>
      <c r="J17">
        <v>24.4</v>
      </c>
      <c r="K17">
        <v>11.9</v>
      </c>
      <c r="L17">
        <v>23.5</v>
      </c>
      <c r="M17">
        <v>27.2</v>
      </c>
      <c r="N17">
        <v>19.399999999999999</v>
      </c>
      <c r="O17">
        <v>23.8</v>
      </c>
      <c r="P17">
        <v>18.7</v>
      </c>
      <c r="Q17">
        <v>19.600000000000001</v>
      </c>
      <c r="R17">
        <v>17.899999999999999</v>
      </c>
      <c r="S17">
        <v>15.3</v>
      </c>
      <c r="T17">
        <v>23.2</v>
      </c>
      <c r="U17">
        <v>23.7</v>
      </c>
      <c r="V17">
        <v>12.9</v>
      </c>
      <c r="W17">
        <v>19</v>
      </c>
      <c r="X17">
        <v>25.9</v>
      </c>
      <c r="Y17">
        <v>18.600000000000001</v>
      </c>
      <c r="Z17">
        <v>22.8</v>
      </c>
      <c r="AA17">
        <v>25.2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25.3</v>
      </c>
      <c r="E18">
        <v>37.299999999999997</v>
      </c>
      <c r="F18">
        <v>29</v>
      </c>
      <c r="G18">
        <v>39.9</v>
      </c>
      <c r="H18">
        <v>39.5</v>
      </c>
      <c r="I18">
        <v>32.299999999999997</v>
      </c>
      <c r="J18">
        <v>29.4</v>
      </c>
      <c r="K18">
        <v>22.7</v>
      </c>
      <c r="L18">
        <v>23.9</v>
      </c>
      <c r="M18">
        <v>26.7</v>
      </c>
      <c r="N18">
        <v>23.3</v>
      </c>
      <c r="O18">
        <v>25.8</v>
      </c>
      <c r="P18">
        <v>27.1</v>
      </c>
      <c r="Q18">
        <v>17.8</v>
      </c>
      <c r="R18">
        <v>27</v>
      </c>
      <c r="S18">
        <v>25</v>
      </c>
      <c r="T18">
        <v>25.8</v>
      </c>
      <c r="U18">
        <v>14.8</v>
      </c>
      <c r="V18">
        <v>24.3</v>
      </c>
      <c r="W18">
        <v>12.1</v>
      </c>
      <c r="X18">
        <v>35.5</v>
      </c>
      <c r="Y18">
        <v>25.1</v>
      </c>
      <c r="Z18">
        <v>19.600000000000001</v>
      </c>
      <c r="AA18">
        <v>33.1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35.4</v>
      </c>
      <c r="E19">
        <v>34.9</v>
      </c>
      <c r="F19">
        <v>37.299999999999997</v>
      </c>
      <c r="G19">
        <v>36.4</v>
      </c>
      <c r="H19">
        <v>35</v>
      </c>
      <c r="I19">
        <v>31.8</v>
      </c>
      <c r="J19">
        <v>28.5</v>
      </c>
      <c r="K19">
        <v>25.6</v>
      </c>
      <c r="L19">
        <v>37.6</v>
      </c>
      <c r="M19">
        <v>30.4</v>
      </c>
      <c r="N19">
        <v>33.700000000000003</v>
      </c>
      <c r="O19">
        <v>23.3</v>
      </c>
      <c r="P19">
        <v>26.4</v>
      </c>
      <c r="Q19">
        <v>38.5</v>
      </c>
      <c r="R19">
        <v>26.6</v>
      </c>
      <c r="S19">
        <v>22.1</v>
      </c>
      <c r="T19">
        <v>27.5</v>
      </c>
      <c r="U19">
        <v>29.3</v>
      </c>
      <c r="V19">
        <v>23.6</v>
      </c>
      <c r="W19">
        <v>24.1</v>
      </c>
      <c r="X19">
        <v>24.9</v>
      </c>
      <c r="Y19">
        <v>21.7</v>
      </c>
      <c r="Z19">
        <v>28.4</v>
      </c>
      <c r="AA19">
        <v>29.8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35.200000000000003</v>
      </c>
      <c r="E20">
        <v>42.3</v>
      </c>
      <c r="F20">
        <v>40.5</v>
      </c>
      <c r="G20">
        <v>35.5</v>
      </c>
      <c r="H20">
        <v>34.5</v>
      </c>
      <c r="I20">
        <v>31.6</v>
      </c>
      <c r="J20">
        <v>28</v>
      </c>
      <c r="K20">
        <v>25.9</v>
      </c>
      <c r="L20">
        <v>17.399999999999999</v>
      </c>
      <c r="M20">
        <v>20.6</v>
      </c>
      <c r="N20">
        <v>20.6</v>
      </c>
      <c r="O20">
        <v>26.6</v>
      </c>
      <c r="P20">
        <v>22.2</v>
      </c>
      <c r="Q20">
        <v>35.1</v>
      </c>
      <c r="R20">
        <v>21.7</v>
      </c>
      <c r="S20">
        <v>30</v>
      </c>
      <c r="T20">
        <v>29.6</v>
      </c>
      <c r="U20">
        <v>21.9</v>
      </c>
      <c r="V20">
        <v>15.5</v>
      </c>
      <c r="W20">
        <v>29.1</v>
      </c>
      <c r="Y20">
        <v>30</v>
      </c>
      <c r="Z20">
        <v>29.1</v>
      </c>
      <c r="AA20">
        <v>29.2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34.1</v>
      </c>
      <c r="E21">
        <v>36.299999999999997</v>
      </c>
      <c r="F21">
        <v>34.299999999999997</v>
      </c>
      <c r="G21">
        <v>38.299999999999997</v>
      </c>
      <c r="H21">
        <v>41.5</v>
      </c>
      <c r="I21">
        <v>30.3</v>
      </c>
      <c r="J21">
        <v>22</v>
      </c>
      <c r="K21">
        <v>21.7</v>
      </c>
      <c r="L21">
        <v>21.3</v>
      </c>
      <c r="M21">
        <v>21.1</v>
      </c>
      <c r="N21">
        <v>18.2</v>
      </c>
      <c r="O21">
        <v>28.4</v>
      </c>
      <c r="P21">
        <v>17.2</v>
      </c>
      <c r="Q21">
        <v>17.899999999999999</v>
      </c>
      <c r="R21">
        <v>24.8</v>
      </c>
      <c r="S21">
        <v>23.4</v>
      </c>
      <c r="T21">
        <v>17.2</v>
      </c>
      <c r="U21">
        <v>16.8</v>
      </c>
      <c r="V21">
        <v>15.2</v>
      </c>
      <c r="W21">
        <v>15.8</v>
      </c>
      <c r="X21">
        <v>18.600000000000001</v>
      </c>
      <c r="Y21">
        <v>26.1</v>
      </c>
      <c r="Z21">
        <v>23.6</v>
      </c>
      <c r="AA21">
        <v>33.700000000000003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32</v>
      </c>
      <c r="E22">
        <v>32.5</v>
      </c>
      <c r="F22">
        <v>40.6</v>
      </c>
      <c r="G22">
        <v>35.799999999999997</v>
      </c>
      <c r="H22">
        <v>31.8</v>
      </c>
      <c r="I22">
        <v>29.9</v>
      </c>
      <c r="J22">
        <v>30.3</v>
      </c>
      <c r="K22">
        <v>14.2</v>
      </c>
      <c r="L22">
        <v>24.8</v>
      </c>
      <c r="M22">
        <v>20.5</v>
      </c>
      <c r="N22">
        <v>24.2</v>
      </c>
      <c r="O22">
        <v>24.5</v>
      </c>
      <c r="P22">
        <v>22.8</v>
      </c>
      <c r="Q22">
        <v>29.1</v>
      </c>
      <c r="R22">
        <v>21.7</v>
      </c>
      <c r="S22">
        <v>28.5</v>
      </c>
      <c r="T22">
        <v>23.1</v>
      </c>
      <c r="U22">
        <v>19.600000000000001</v>
      </c>
      <c r="V22">
        <v>18.100000000000001</v>
      </c>
      <c r="W22">
        <v>19.5</v>
      </c>
      <c r="X22">
        <v>22.2</v>
      </c>
      <c r="Y22">
        <v>23.1</v>
      </c>
      <c r="Z22">
        <v>25.2</v>
      </c>
      <c r="AA22">
        <v>28.3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30.5</v>
      </c>
      <c r="E23">
        <v>30.8</v>
      </c>
      <c r="F23">
        <v>36.200000000000003</v>
      </c>
      <c r="G23">
        <v>38</v>
      </c>
      <c r="H23">
        <v>29.8</v>
      </c>
      <c r="I23">
        <v>30.8</v>
      </c>
      <c r="J23">
        <v>22.3</v>
      </c>
      <c r="K23">
        <v>22.7</v>
      </c>
      <c r="L23">
        <v>25.2</v>
      </c>
      <c r="M23">
        <v>27.1</v>
      </c>
      <c r="N23">
        <v>30.7</v>
      </c>
      <c r="O23">
        <v>25.3</v>
      </c>
      <c r="P23">
        <v>33.6</v>
      </c>
      <c r="Q23">
        <v>22.4</v>
      </c>
      <c r="R23">
        <v>18.399999999999999</v>
      </c>
      <c r="S23">
        <v>21.5</v>
      </c>
      <c r="T23">
        <v>24.3</v>
      </c>
      <c r="U23">
        <v>16.5</v>
      </c>
      <c r="V23">
        <v>24.4</v>
      </c>
      <c r="W23">
        <v>13.7</v>
      </c>
      <c r="X23">
        <v>28.6</v>
      </c>
      <c r="Y23">
        <v>25.8</v>
      </c>
      <c r="Z23">
        <v>27.9</v>
      </c>
      <c r="AA23">
        <v>27.5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34.700000000000003</v>
      </c>
      <c r="E24">
        <v>41.7</v>
      </c>
      <c r="F24">
        <v>42.1</v>
      </c>
      <c r="G24">
        <v>43.1</v>
      </c>
      <c r="H24">
        <v>35.1</v>
      </c>
      <c r="I24">
        <v>33.700000000000003</v>
      </c>
      <c r="J24">
        <v>30.1</v>
      </c>
      <c r="K24">
        <v>21.6</v>
      </c>
      <c r="L24">
        <v>12.3</v>
      </c>
      <c r="M24">
        <v>22.6</v>
      </c>
      <c r="N24">
        <v>23.9</v>
      </c>
      <c r="O24">
        <v>25.7</v>
      </c>
      <c r="P24">
        <v>19.899999999999999</v>
      </c>
      <c r="Q24">
        <v>25.8</v>
      </c>
      <c r="R24">
        <v>21.2</v>
      </c>
      <c r="S24">
        <v>25.1</v>
      </c>
      <c r="T24">
        <v>21.6</v>
      </c>
      <c r="U24">
        <v>30.6</v>
      </c>
      <c r="W24">
        <v>11.5</v>
      </c>
      <c r="X24">
        <v>22.8</v>
      </c>
      <c r="Y24">
        <v>26.6</v>
      </c>
      <c r="Z24">
        <v>22.6</v>
      </c>
      <c r="AA24">
        <v>30.4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35.5</v>
      </c>
      <c r="E25">
        <v>38.200000000000003</v>
      </c>
      <c r="F25">
        <v>40.299999999999997</v>
      </c>
      <c r="G25">
        <v>42.5</v>
      </c>
      <c r="H25">
        <v>42.7</v>
      </c>
      <c r="I25">
        <v>30.9</v>
      </c>
      <c r="J25">
        <v>36.1</v>
      </c>
      <c r="K25">
        <v>29.1</v>
      </c>
      <c r="L25">
        <v>29.2</v>
      </c>
      <c r="M25">
        <v>17.899999999999999</v>
      </c>
      <c r="N25">
        <v>25.3</v>
      </c>
      <c r="O25">
        <v>14.2</v>
      </c>
      <c r="P25">
        <v>22.8</v>
      </c>
      <c r="S25">
        <v>23.1</v>
      </c>
      <c r="T25">
        <v>19.8</v>
      </c>
      <c r="V25">
        <v>18.100000000000001</v>
      </c>
      <c r="Z25">
        <v>23.4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31.9</v>
      </c>
      <c r="E26">
        <v>31.3</v>
      </c>
      <c r="F26">
        <v>38</v>
      </c>
      <c r="G26">
        <v>37.1</v>
      </c>
      <c r="H26">
        <v>42.8</v>
      </c>
      <c r="I26">
        <v>32.5</v>
      </c>
      <c r="J26">
        <v>32.299999999999997</v>
      </c>
      <c r="K26">
        <v>34.700000000000003</v>
      </c>
      <c r="L26">
        <v>31.5</v>
      </c>
      <c r="M26">
        <v>33.299999999999997</v>
      </c>
      <c r="N26">
        <v>17.2</v>
      </c>
      <c r="O26">
        <v>31.3</v>
      </c>
      <c r="P26">
        <v>33.4</v>
      </c>
      <c r="Q26">
        <v>26.9</v>
      </c>
      <c r="R26">
        <v>30.3</v>
      </c>
      <c r="S26">
        <v>26.2</v>
      </c>
      <c r="T26">
        <v>29.1</v>
      </c>
      <c r="U26">
        <v>37.299999999999997</v>
      </c>
      <c r="V26">
        <v>30.1</v>
      </c>
      <c r="W26">
        <v>23.9</v>
      </c>
      <c r="X26">
        <v>19.8</v>
      </c>
      <c r="Y26">
        <v>23.4</v>
      </c>
      <c r="Z26">
        <v>25.6</v>
      </c>
      <c r="AA26">
        <v>29.9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40.4</v>
      </c>
      <c r="E27">
        <v>30.7</v>
      </c>
      <c r="F27">
        <v>41.3</v>
      </c>
      <c r="G27">
        <v>39.799999999999997</v>
      </c>
      <c r="H27">
        <v>36.799999999999997</v>
      </c>
      <c r="I27">
        <v>29.6</v>
      </c>
      <c r="J27">
        <v>26.9</v>
      </c>
      <c r="K27">
        <v>26.2</v>
      </c>
      <c r="L27">
        <v>11.6</v>
      </c>
      <c r="M27">
        <v>28</v>
      </c>
      <c r="N27">
        <v>24.5</v>
      </c>
      <c r="O27">
        <v>20.399999999999999</v>
      </c>
      <c r="P27">
        <v>17.7</v>
      </c>
      <c r="Q27">
        <v>27</v>
      </c>
      <c r="R27">
        <v>18.8</v>
      </c>
      <c r="S27">
        <v>27</v>
      </c>
      <c r="T27">
        <v>23.3</v>
      </c>
      <c r="U27">
        <v>24.1</v>
      </c>
      <c r="V27">
        <v>19.899999999999999</v>
      </c>
      <c r="W27">
        <v>19.399999999999999</v>
      </c>
      <c r="X27">
        <v>27</v>
      </c>
      <c r="Y27">
        <v>27.4</v>
      </c>
      <c r="Z27">
        <v>22.7</v>
      </c>
      <c r="AA27">
        <v>23.7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31.3</v>
      </c>
      <c r="E28">
        <v>37.799999999999997</v>
      </c>
      <c r="F28">
        <v>29</v>
      </c>
      <c r="G28">
        <v>37.9</v>
      </c>
      <c r="H28">
        <v>32.1</v>
      </c>
      <c r="I28">
        <v>35.700000000000003</v>
      </c>
      <c r="J28">
        <v>19.899999999999999</v>
      </c>
      <c r="K28">
        <v>19.3</v>
      </c>
      <c r="L28">
        <v>19.2</v>
      </c>
      <c r="M28">
        <v>23</v>
      </c>
      <c r="N28">
        <v>15.8</v>
      </c>
      <c r="O28">
        <v>21</v>
      </c>
      <c r="P28">
        <v>34</v>
      </c>
      <c r="Q28">
        <v>26.1</v>
      </c>
      <c r="R28">
        <v>23.5</v>
      </c>
      <c r="S28">
        <v>24.7</v>
      </c>
      <c r="T28">
        <v>20.6</v>
      </c>
      <c r="U28">
        <v>10.8</v>
      </c>
      <c r="V28">
        <v>21.1</v>
      </c>
      <c r="W28">
        <v>16.3</v>
      </c>
      <c r="X28">
        <v>25.5</v>
      </c>
      <c r="Y28">
        <v>26.4</v>
      </c>
      <c r="Z28">
        <v>24.3</v>
      </c>
      <c r="AA28">
        <v>28.7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36.700000000000003</v>
      </c>
      <c r="E29">
        <v>38.6</v>
      </c>
      <c r="F29">
        <v>35.1</v>
      </c>
      <c r="G29">
        <v>34.4</v>
      </c>
      <c r="H29">
        <v>29.6</v>
      </c>
      <c r="I29">
        <v>32.1</v>
      </c>
      <c r="J29">
        <v>34.4</v>
      </c>
      <c r="K29">
        <v>13.1</v>
      </c>
      <c r="L29">
        <v>17</v>
      </c>
      <c r="M29">
        <v>16.899999999999999</v>
      </c>
      <c r="N29">
        <v>22.3</v>
      </c>
      <c r="O29">
        <v>24.6</v>
      </c>
      <c r="P29">
        <v>21.5</v>
      </c>
      <c r="Q29">
        <v>24.6</v>
      </c>
      <c r="R29">
        <v>18.899999999999999</v>
      </c>
      <c r="S29">
        <v>26.4</v>
      </c>
      <c r="T29">
        <v>23.7</v>
      </c>
      <c r="U29">
        <v>24.3</v>
      </c>
      <c r="V29">
        <v>25.2</v>
      </c>
      <c r="W29">
        <v>22.5</v>
      </c>
      <c r="X29">
        <v>33.1</v>
      </c>
      <c r="Z29">
        <v>27</v>
      </c>
      <c r="AA29">
        <v>28.8</v>
      </c>
    </row>
    <row r="31" spans="1:27" x14ac:dyDescent="0.25">
      <c r="C31">
        <v>1</v>
      </c>
      <c r="D31">
        <f t="array" ref="D31">MEDIAN(IF($C$3:$C$29=$C31,D$3:D$29,""))</f>
        <v>33.549999999999997</v>
      </c>
      <c r="E31">
        <f t="array" ref="E31">MEDIAN(IF($C$3:$C$29=$C31,E$3:E$29,""))</f>
        <v>35.099999999999994</v>
      </c>
      <c r="F31">
        <f t="array" ref="F31">MEDIAN(IF($C$3:$C$29=$C31,F$3:F$29,""))</f>
        <v>35.299999999999997</v>
      </c>
      <c r="G31">
        <f t="array" ref="G31">MEDIAN(IF($C$3:$C$29=$C31,G$3:G$29,""))</f>
        <v>35.549999999999997</v>
      </c>
      <c r="H31">
        <f t="array" ref="H31">MEDIAN(IF($C$3:$C$29=$C31,H$3:H$29,""))</f>
        <v>34.549999999999997</v>
      </c>
      <c r="I31">
        <f t="array" ref="I31">MEDIAN(IF($C$3:$C$29=$C31,I$3:I$29,""))</f>
        <v>31.3</v>
      </c>
      <c r="J31">
        <f t="array" ref="J31">MEDIAN(IF($C$3:$C$29=$C31,J$3:J$29,""))</f>
        <v>32</v>
      </c>
      <c r="K31">
        <f t="array" ref="K31">MEDIAN(IF($C$3:$C$29=$C31,K$3:K$29,""))</f>
        <v>32.200000000000003</v>
      </c>
      <c r="L31">
        <f t="array" ref="L31">MEDIAN(IF($C$3:$C$29=$C31,L$3:L$29,""))</f>
        <v>32.950000000000003</v>
      </c>
      <c r="M31">
        <f t="array" ref="M31">MEDIAN(IF($C$3:$C$29=$C31,M$3:M$29,""))</f>
        <v>30.5</v>
      </c>
      <c r="N31">
        <f t="array" ref="N31">MEDIAN(IF($C$3:$C$29=$C31,N$3:N$29,""))</f>
        <v>27.75</v>
      </c>
      <c r="O31">
        <f t="array" ref="O31">MEDIAN(IF($C$3:$C$29=$C31,O$3:O$29,""))</f>
        <v>25.9</v>
      </c>
      <c r="P31">
        <f t="array" ref="P31">MEDIAN(IF($C$3:$C$29=$C31,P$3:P$29,""))</f>
        <v>26.45</v>
      </c>
      <c r="Q31">
        <f t="array" ref="Q31">MEDIAN(IF($C$3:$C$29=$C31,Q$3:Q$29,""))</f>
        <v>27.299999999999997</v>
      </c>
      <c r="R31">
        <f t="array" ref="R31">MEDIAN(IF($C$3:$C$29=$C31,R$3:R$29,""))</f>
        <v>31.35</v>
      </c>
      <c r="S31">
        <f t="array" ref="S31">MEDIAN(IF($C$3:$C$29=$C31,S$3:S$29,""))</f>
        <v>24.15</v>
      </c>
      <c r="T31">
        <f t="array" ref="T31">MEDIAN(IF($C$3:$C$29=$C31,T$3:T$29,""))</f>
        <v>28.3</v>
      </c>
      <c r="U31">
        <f t="array" ref="U31">MEDIAN(IF($C$3:$C$29=$C31,U$3:U$29,""))</f>
        <v>26.75</v>
      </c>
      <c r="V31">
        <f t="array" ref="V31">MEDIAN(IF($C$3:$C$29=$C31,V$3:V$29,""))</f>
        <v>28.700000000000003</v>
      </c>
      <c r="W31">
        <f t="array" ref="W31">MEDIAN(IF($C$3:$C$29=$C31,W$3:W$29,""))</f>
        <v>24.8</v>
      </c>
      <c r="X31">
        <f t="array" ref="X31">MEDIAN(IF($C$3:$C$29=$C31,X$3:X$29,""))</f>
        <v>31.75</v>
      </c>
      <c r="Y31">
        <f t="array" ref="Y31">MEDIAN(IF($C$3:$C$29=$C31,Y$3:Y$29,""))</f>
        <v>25.1</v>
      </c>
      <c r="Z31">
        <f t="array" ref="Z31">MEDIAN(IF($C$3:$C$29=$C31,Z$3:Z$29,""))</f>
        <v>25.15</v>
      </c>
      <c r="AA31">
        <f t="array" ref="AA31">MEDIAN(IF($C$3:$C$29=$C31,AA$3:AA$29,""))</f>
        <v>30.95</v>
      </c>
    </row>
    <row r="32" spans="1:27" x14ac:dyDescent="0.25">
      <c r="C32">
        <v>2</v>
      </c>
      <c r="D32">
        <f t="array" ref="D32">MEDIAN(IF($C$3:$C$29=$C32,D$3:D$29,""))</f>
        <v>31.549999999999997</v>
      </c>
      <c r="E32">
        <f t="array" ref="E32">MEDIAN(IF($C$3:$C$29=$C32,E$3:E$29,""))</f>
        <v>37.75</v>
      </c>
      <c r="F32">
        <f t="array" ref="F32">MEDIAN(IF($C$3:$C$29=$C32,F$3:F$29,""))</f>
        <v>39.049999999999997</v>
      </c>
      <c r="G32">
        <f t="array" ref="G32">MEDIAN(IF($C$3:$C$29=$C32,G$3:G$29,""))</f>
        <v>39.599999999999994</v>
      </c>
      <c r="H32">
        <f t="array" ref="H32">MEDIAN(IF($C$3:$C$29=$C32,H$3:H$29,""))</f>
        <v>39.299999999999997</v>
      </c>
      <c r="I32">
        <f t="array" ref="I32">MEDIAN(IF($C$3:$C$29=$C32,I$3:I$29,""))</f>
        <v>31.7</v>
      </c>
      <c r="J32">
        <f t="array" ref="J32">MEDIAN(IF($C$3:$C$29=$C32,J$3:J$29,""))</f>
        <v>36.650000000000006</v>
      </c>
      <c r="K32">
        <f t="array" ref="K32">MEDIAN(IF($C$3:$C$29=$C32,K$3:K$29,""))</f>
        <v>27.5</v>
      </c>
      <c r="L32">
        <f t="array" ref="L32">MEDIAN(IF($C$3:$C$29=$C32,L$3:L$29,""))</f>
        <v>29.35</v>
      </c>
      <c r="M32">
        <f t="array" ref="M32">MEDIAN(IF($C$3:$C$29=$C32,M$3:M$29,""))</f>
        <v>24.4</v>
      </c>
      <c r="N32">
        <f t="array" ref="N32">MEDIAN(IF($C$3:$C$29=$C32,N$3:N$29,""))</f>
        <v>23.8</v>
      </c>
      <c r="O32">
        <f t="array" ref="O32">MEDIAN(IF($C$3:$C$29=$C32,O$3:O$29,""))</f>
        <v>23.5</v>
      </c>
      <c r="P32">
        <f t="array" ref="P32">MEDIAN(IF($C$3:$C$29=$C32,P$3:P$29,""))</f>
        <v>24</v>
      </c>
      <c r="Q32">
        <f t="array" ref="Q32">MEDIAN(IF($C$3:$C$29=$C32,Q$3:Q$29,""))</f>
        <v>20</v>
      </c>
      <c r="R32">
        <f t="array" ref="R32">MEDIAN(IF($C$3:$C$29=$C32,R$3:R$29,""))</f>
        <v>24.4</v>
      </c>
      <c r="S32">
        <f t="array" ref="S32">MEDIAN(IF($C$3:$C$29=$C32,S$3:S$29,""))</f>
        <v>25.6</v>
      </c>
      <c r="T32">
        <f t="array" ref="T32">MEDIAN(IF($C$3:$C$29=$C32,T$3:T$29,""))</f>
        <v>24.8</v>
      </c>
      <c r="U32">
        <f t="array" ref="U32">MEDIAN(IF($C$3:$C$29=$C32,U$3:U$29,""))</f>
        <v>20.3</v>
      </c>
      <c r="V32">
        <f t="array" ref="V32">MEDIAN(IF($C$3:$C$29=$C32,V$3:V$29,""))</f>
        <v>24.8</v>
      </c>
      <c r="W32">
        <f t="array" ref="W32">MEDIAN(IF($C$3:$C$29=$C32,W$3:W$29,""))</f>
        <v>16.95</v>
      </c>
      <c r="X32">
        <f t="array" ref="X32">MEDIAN(IF($C$3:$C$29=$C32,X$3:X$29,""))</f>
        <v>29.05</v>
      </c>
      <c r="Y32">
        <f t="array" ref="Y32">MEDIAN(IF($C$3:$C$29=$C32,Y$3:Y$29,""))</f>
        <v>24.15</v>
      </c>
      <c r="Z32">
        <f t="array" ref="Z32">MEDIAN(IF($C$3:$C$29=$C32,Z$3:Z$29,""))</f>
        <v>22.75</v>
      </c>
      <c r="AA32">
        <f t="array" ref="AA32">MEDIAN(IF($C$3:$C$29=$C32,AA$3:AA$29,""))</f>
        <v>35.900000000000006</v>
      </c>
    </row>
    <row r="33" spans="3:27" x14ac:dyDescent="0.25">
      <c r="C33">
        <v>3</v>
      </c>
      <c r="D33">
        <f t="array" ref="D33">MEDIAN(IF($C$3:$C$29=$C33,D$3:D$29,""))</f>
        <v>34.6</v>
      </c>
      <c r="E33">
        <f t="array" ref="E33">MEDIAN(IF($C$3:$C$29=$C33,E$3:E$29,""))</f>
        <v>39.950000000000003</v>
      </c>
      <c r="F33">
        <f t="array" ref="F33">MEDIAN(IF($C$3:$C$29=$C33,F$3:F$29,""))</f>
        <v>37.65</v>
      </c>
      <c r="G33">
        <f t="array" ref="G33">MEDIAN(IF($C$3:$C$29=$C33,G$3:G$29,""))</f>
        <v>37.799999999999997</v>
      </c>
      <c r="H33">
        <f t="array" ref="H33">MEDIAN(IF($C$3:$C$29=$C33,H$3:H$29,""))</f>
        <v>35.65</v>
      </c>
      <c r="I33">
        <f t="array" ref="I33">MEDIAN(IF($C$3:$C$29=$C33,I$3:I$29,""))</f>
        <v>30.6</v>
      </c>
      <c r="J33">
        <f t="array" ref="J33">MEDIAN(IF($C$3:$C$29=$C33,J$3:J$29,""))</f>
        <v>27.45</v>
      </c>
      <c r="K33">
        <f t="array" ref="K33">MEDIAN(IF($C$3:$C$29=$C33,K$3:K$29,""))</f>
        <v>26.049999999999997</v>
      </c>
      <c r="L33">
        <f t="array" ref="L33">MEDIAN(IF($C$3:$C$29=$C33,L$3:L$29,""))</f>
        <v>18.75</v>
      </c>
      <c r="M33">
        <f t="array" ref="M33">MEDIAN(IF($C$3:$C$29=$C33,M$3:M$29,""))</f>
        <v>24.3</v>
      </c>
      <c r="N33">
        <f t="array" ref="N33">MEDIAN(IF($C$3:$C$29=$C33,N$3:N$29,""))</f>
        <v>22.9</v>
      </c>
      <c r="O33">
        <f t="array" ref="O33">MEDIAN(IF($C$3:$C$29=$C33,O$3:O$29,""))</f>
        <v>24.05</v>
      </c>
      <c r="P33">
        <f t="array" ref="P33">MEDIAN(IF($C$3:$C$29=$C33,P$3:P$29,""))</f>
        <v>21.549999999999997</v>
      </c>
      <c r="Q33">
        <f t="array" ref="Q33">MEDIAN(IF($C$3:$C$29=$C33,Q$3:Q$29,""))</f>
        <v>27.1</v>
      </c>
      <c r="R33">
        <f t="array" ref="R33">MEDIAN(IF($C$3:$C$29=$C33,R$3:R$29,""))</f>
        <v>22.75</v>
      </c>
      <c r="S33">
        <f t="array" ref="S33">MEDIAN(IF($C$3:$C$29=$C33,S$3:S$29,""))</f>
        <v>28.05</v>
      </c>
      <c r="T33">
        <f t="array" ref="T33">MEDIAN(IF($C$3:$C$29=$C33,T$3:T$29,""))</f>
        <v>26.25</v>
      </c>
      <c r="U33">
        <f t="array" ref="U33">MEDIAN(IF($C$3:$C$29=$C33,U$3:U$29,""))</f>
        <v>24.4</v>
      </c>
      <c r="V33">
        <f t="array" ref="V33">MEDIAN(IF($C$3:$C$29=$C33,V$3:V$29,""))</f>
        <v>18.2</v>
      </c>
      <c r="W33">
        <f t="array" ref="W33">MEDIAN(IF($C$3:$C$29=$C33,W$3:W$29,""))</f>
        <v>22</v>
      </c>
      <c r="X33">
        <f t="array" ref="X33">MEDIAN(IF($C$3:$C$29=$C33,X$3:X$29,""))</f>
        <v>25.7</v>
      </c>
      <c r="Y33">
        <f t="array" ref="Y33">MEDIAN(IF($C$3:$C$29=$C33,Y$3:Y$29,""))</f>
        <v>29.8</v>
      </c>
      <c r="Z33">
        <f t="array" ref="Z33">MEDIAN(IF($C$3:$C$29=$C33,Z$3:Z$29,""))</f>
        <v>24.85</v>
      </c>
      <c r="AA33">
        <f t="array" ref="AA33">MEDIAN(IF($C$3:$C$29=$C33,AA$3:AA$29,""))</f>
        <v>30.5</v>
      </c>
    </row>
    <row r="34" spans="3:27" x14ac:dyDescent="0.25">
      <c r="C34">
        <v>4</v>
      </c>
      <c r="D34">
        <f t="array" ref="D34">MEDIAN(IF($C$3:$C$29=$C34,D$3:D$29,""))</f>
        <v>32.450000000000003</v>
      </c>
      <c r="E34">
        <f t="array" ref="E34">MEDIAN(IF($C$3:$C$29=$C34,E$3:E$29,""))</f>
        <v>37.049999999999997</v>
      </c>
      <c r="F34">
        <f t="array" ref="F34">MEDIAN(IF($C$3:$C$29=$C34,F$3:F$29,""))</f>
        <v>38.849999999999994</v>
      </c>
      <c r="G34">
        <f t="array" ref="G34">MEDIAN(IF($C$3:$C$29=$C34,G$3:G$29,""))</f>
        <v>38.5</v>
      </c>
      <c r="H34">
        <f t="array" ref="H34">MEDIAN(IF($C$3:$C$29=$C34,H$3:H$29,""))</f>
        <v>37.9</v>
      </c>
      <c r="I34">
        <f t="array" ref="I34">MEDIAN(IF($C$3:$C$29=$C34,I$3:I$29,""))</f>
        <v>32.85</v>
      </c>
      <c r="J34">
        <f t="array" ref="J34">MEDIAN(IF($C$3:$C$29=$C34,J$3:J$29,""))</f>
        <v>21.8</v>
      </c>
      <c r="K34">
        <f t="array" ref="K34">MEDIAN(IF($C$3:$C$29=$C34,K$3:K$29,""))</f>
        <v>21.25</v>
      </c>
      <c r="L34">
        <f t="array" ref="L34">MEDIAN(IF($C$3:$C$29=$C34,L$3:L$29,""))</f>
        <v>21</v>
      </c>
      <c r="M34">
        <f t="array" ref="M34">MEDIAN(IF($C$3:$C$29=$C34,M$3:M$29,""))</f>
        <v>25.55</v>
      </c>
      <c r="N34">
        <f t="array" ref="N34">MEDIAN(IF($C$3:$C$29=$C34,N$3:N$29,""))</f>
        <v>19</v>
      </c>
      <c r="O34">
        <f t="array" ref="O34">MEDIAN(IF($C$3:$C$29=$C34,O$3:O$29,""))</f>
        <v>25.6</v>
      </c>
      <c r="P34">
        <f t="array" ref="P34">MEDIAN(IF($C$3:$C$29=$C34,P$3:P$29,""))</f>
        <v>26.75</v>
      </c>
      <c r="Q34">
        <f t="array" ref="Q34">MEDIAN(IF($C$3:$C$29=$C34,Q$3:Q$29,""))</f>
        <v>21.85</v>
      </c>
      <c r="R34">
        <f t="array" ref="R34">MEDIAN(IF($C$3:$C$29=$C34,R$3:R$29,""))</f>
        <v>24.35</v>
      </c>
      <c r="S34">
        <f t="array" ref="S34">MEDIAN(IF($C$3:$C$29=$C34,S$3:S$29,""))</f>
        <v>23.799999999999997</v>
      </c>
      <c r="T34">
        <f t="array" ref="T34">MEDIAN(IF($C$3:$C$29=$C34,T$3:T$29,""))</f>
        <v>23.200000000000003</v>
      </c>
      <c r="U34">
        <f t="array" ref="U34">MEDIAN(IF($C$3:$C$29=$C34,U$3:U$29,""))</f>
        <v>20.700000000000003</v>
      </c>
      <c r="V34">
        <f t="array" ref="V34">MEDIAN(IF($C$3:$C$29=$C34,V$3:V$29,""))</f>
        <v>21.05</v>
      </c>
      <c r="W34">
        <f t="array" ref="W34">MEDIAN(IF($C$3:$C$29=$C34,W$3:W$29,""))</f>
        <v>17.600000000000001</v>
      </c>
      <c r="X34">
        <f t="array" ref="X34">MEDIAN(IF($C$3:$C$29=$C34,X$3:X$29,""))</f>
        <v>25.35</v>
      </c>
      <c r="Y34">
        <f t="array" ref="Y34">MEDIAN(IF($C$3:$C$29=$C34,Y$3:Y$29,""))</f>
        <v>24.85</v>
      </c>
      <c r="Z34">
        <f t="array" ref="Z34">MEDIAN(IF($C$3:$C$29=$C34,Z$3:Z$29,""))</f>
        <v>23.950000000000003</v>
      </c>
      <c r="AA34">
        <f t="array" ref="AA34">MEDIAN(IF($C$3:$C$29=$C34,AA$3:AA$29,""))</f>
        <v>34.650000000000006</v>
      </c>
    </row>
    <row r="35" spans="3:27" x14ac:dyDescent="0.25">
      <c r="C35">
        <v>5</v>
      </c>
      <c r="D35">
        <f t="array" ref="D35">MEDIAN(IF($C$3:$C$29=$C35,D$3:D$29,""))</f>
        <v>35.049999999999997</v>
      </c>
      <c r="E35">
        <f t="array" ref="E35">MEDIAN(IF($C$3:$C$29=$C35,E$3:E$29,""))</f>
        <v>38.450000000000003</v>
      </c>
      <c r="F35">
        <f t="array" ref="F35">MEDIAN(IF($C$3:$C$29=$C35,F$3:F$29,""))</f>
        <v>37.85</v>
      </c>
      <c r="G35">
        <f t="array" ref="G35">MEDIAN(IF($C$3:$C$29=$C35,G$3:G$29,""))</f>
        <v>38.549999999999997</v>
      </c>
      <c r="H35">
        <f t="array" ref="H35">MEDIAN(IF($C$3:$C$29=$C35,H$3:H$29,""))</f>
        <v>33.75</v>
      </c>
      <c r="I35">
        <f t="array" ref="I35">MEDIAN(IF($C$3:$C$29=$C35,I$3:I$29,""))</f>
        <v>31</v>
      </c>
      <c r="J35">
        <f t="array" ref="J35">MEDIAN(IF($C$3:$C$29=$C35,J$3:J$29,""))</f>
        <v>28.35</v>
      </c>
      <c r="K35">
        <f t="array" ref="K35">MEDIAN(IF($C$3:$C$29=$C35,K$3:K$29,""))</f>
        <v>18.049999999999997</v>
      </c>
      <c r="L35">
        <f t="array" ref="L35">MEDIAN(IF($C$3:$C$29=$C35,L$3:L$29,""))</f>
        <v>18.399999999999999</v>
      </c>
      <c r="M35">
        <f t="array" ref="M35">MEDIAN(IF($C$3:$C$29=$C35,M$3:M$29,""))</f>
        <v>21.05</v>
      </c>
      <c r="N35">
        <f t="array" ref="N35">MEDIAN(IF($C$3:$C$29=$C35,N$3:N$29,""))</f>
        <v>23.25</v>
      </c>
      <c r="O35">
        <f t="array" ref="O35">MEDIAN(IF($C$3:$C$29=$C35,O$3:O$29,""))</f>
        <v>25.700000000000003</v>
      </c>
      <c r="P35">
        <f t="array" ref="P35">MEDIAN(IF($C$3:$C$29=$C35,P$3:P$29,""))</f>
        <v>22.15</v>
      </c>
      <c r="Q35">
        <f t="array" ref="Q35">MEDIAN(IF($C$3:$C$29=$C35,Q$3:Q$29,""))</f>
        <v>22.65</v>
      </c>
      <c r="R35">
        <f t="array" ref="R35">MEDIAN(IF($C$3:$C$29=$C35,R$3:R$29,""))</f>
        <v>21.6</v>
      </c>
      <c r="S35">
        <f t="array" ref="S35">MEDIAN(IF($C$3:$C$29=$C35,S$3:S$29,""))</f>
        <v>25.6</v>
      </c>
      <c r="T35">
        <f t="array" ref="T35">MEDIAN(IF($C$3:$C$29=$C35,T$3:T$29,""))</f>
        <v>23.4</v>
      </c>
      <c r="U35">
        <f t="array" ref="U35">MEDIAN(IF($C$3:$C$29=$C35,U$3:U$29,""))</f>
        <v>22.35</v>
      </c>
      <c r="V35">
        <f t="array" ref="V35">MEDIAN(IF($C$3:$C$29=$C35,V$3:V$29,""))</f>
        <v>19.05</v>
      </c>
      <c r="W35">
        <f t="array" ref="W35">MEDIAN(IF($C$3:$C$29=$C35,W$3:W$29,""))</f>
        <v>27.25</v>
      </c>
      <c r="X35">
        <f t="array" ref="X35">MEDIAN(IF($C$3:$C$29=$C35,X$3:X$29,""))</f>
        <v>23.2</v>
      </c>
      <c r="Y35">
        <f t="array" ref="Y35">MEDIAN(IF($C$3:$C$29=$C35,Y$3:Y$29,""))</f>
        <v>25.55</v>
      </c>
      <c r="Z35">
        <f t="array" ref="Z35">MEDIAN(IF($C$3:$C$29=$C35,Z$3:Z$29,""))</f>
        <v>26.1</v>
      </c>
      <c r="AA35">
        <f t="array" ref="AA35">MEDIAN(IF($C$3:$C$29=$C35,AA$3:AA$29,""))</f>
        <v>28.55</v>
      </c>
    </row>
    <row r="36" spans="3:27" x14ac:dyDescent="0.25">
      <c r="C36">
        <v>6</v>
      </c>
      <c r="D36">
        <f t="array" ref="D36">MEDIAN(IF($C$3:$C$29=$C36,D$3:D$29,""))</f>
        <v>33.6</v>
      </c>
      <c r="E36">
        <f t="array" ref="E36">MEDIAN(IF($C$3:$C$29=$C36,E$3:E$29,""))</f>
        <v>31.1</v>
      </c>
      <c r="F36">
        <f t="array" ref="F36">MEDIAN(IF($C$3:$C$29=$C36,F$3:F$29,""))</f>
        <v>39.9</v>
      </c>
      <c r="G36">
        <f t="array" ref="G36">MEDIAN(IF($C$3:$C$29=$C36,G$3:G$29,""))</f>
        <v>41.8</v>
      </c>
      <c r="H36">
        <f t="array" ref="H36">MEDIAN(IF($C$3:$C$29=$C36,H$3:H$29,""))</f>
        <v>34.200000000000003</v>
      </c>
      <c r="I36">
        <f t="array" ref="I36">MEDIAN(IF($C$3:$C$29=$C36,I$3:I$29,""))</f>
        <v>31</v>
      </c>
      <c r="J36">
        <f t="array" ref="J36">MEDIAN(IF($C$3:$C$29=$C36,J$3:J$29,""))</f>
        <v>26.6</v>
      </c>
      <c r="K36">
        <f t="array" ref="K36">MEDIAN(IF($C$3:$C$29=$C36,K$3:K$29,""))</f>
        <v>22.7</v>
      </c>
      <c r="L36">
        <f t="array" ref="L36">MEDIAN(IF($C$3:$C$29=$C36,L$3:L$29,""))</f>
        <v>25.9</v>
      </c>
      <c r="M36">
        <f t="array" ref="M36">MEDIAN(IF($C$3:$C$29=$C36,M$3:M$29,""))</f>
        <v>27.1</v>
      </c>
      <c r="N36">
        <f t="array" ref="N36">MEDIAN(IF($C$3:$C$29=$C36,N$3:N$29,""))</f>
        <v>26.7</v>
      </c>
      <c r="O36">
        <f t="array" ref="O36">MEDIAN(IF($C$3:$C$29=$C36,O$3:O$29,""))</f>
        <v>23.8</v>
      </c>
      <c r="P36">
        <f t="array" ref="P36">MEDIAN(IF($C$3:$C$29=$C36,P$3:P$29,""))</f>
        <v>31.8</v>
      </c>
      <c r="Q36">
        <f t="array" ref="Q36">MEDIAN(IF($C$3:$C$29=$C36,Q$3:Q$29,""))</f>
        <v>24.1</v>
      </c>
      <c r="R36">
        <f t="array" ref="R36">MEDIAN(IF($C$3:$C$29=$C36,R$3:R$29,""))</f>
        <v>18.399999999999999</v>
      </c>
      <c r="S36">
        <f t="array" ref="S36">MEDIAN(IF($C$3:$C$29=$C36,S$3:S$29,""))</f>
        <v>24.4</v>
      </c>
      <c r="T36">
        <f t="array" ref="T36">MEDIAN(IF($C$3:$C$29=$C36,T$3:T$29,""))</f>
        <v>24.3</v>
      </c>
      <c r="U36">
        <f t="array" ref="U36">MEDIAN(IF($C$3:$C$29=$C36,U$3:U$29,""))</f>
        <v>18.2</v>
      </c>
      <c r="V36">
        <f t="array" ref="V36">MEDIAN(IF($C$3:$C$29=$C36,V$3:V$29,""))</f>
        <v>18.8</v>
      </c>
      <c r="W36">
        <f t="array" ref="W36">MEDIAN(IF($C$3:$C$29=$C36,W$3:W$29,""))</f>
        <v>20.7</v>
      </c>
      <c r="X36">
        <f t="array" ref="X36">MEDIAN(IF($C$3:$C$29=$C36,X$3:X$29,""))</f>
        <v>38.6</v>
      </c>
      <c r="Y36">
        <f t="array" ref="Y36">MEDIAN(IF($C$3:$C$29=$C36,Y$3:Y$29,""))</f>
        <v>23.8</v>
      </c>
      <c r="Z36">
        <f t="array" ref="Z36">MEDIAN(IF($C$3:$C$29=$C36,Z$3:Z$29,""))</f>
        <v>26.5</v>
      </c>
      <c r="AA36">
        <f t="array" ref="AA36">MEDIAN(IF($C$3:$C$29=$C36,AA$3:AA$29,""))</f>
        <v>27.5</v>
      </c>
    </row>
    <row r="37" spans="3:27" x14ac:dyDescent="0.25">
      <c r="C37">
        <v>7</v>
      </c>
      <c r="D37">
        <f t="array" ref="D37">MEDIAN(IF($C$3:$C$29=$C37,D$3:D$29,""))</f>
        <v>35</v>
      </c>
      <c r="E37">
        <f t="array" ref="E37">MEDIAN(IF($C$3:$C$29=$C37,E$3:E$29,""))</f>
        <v>39.549999999999997</v>
      </c>
      <c r="F37">
        <f t="array" ref="F37">MEDIAN(IF($C$3:$C$29=$C37,F$3:F$29,""))</f>
        <v>38.299999999999997</v>
      </c>
      <c r="G37">
        <f t="array" ref="G37">MEDIAN(IF($C$3:$C$29=$C37,G$3:G$29,""))</f>
        <v>38.950000000000003</v>
      </c>
      <c r="H37">
        <f t="array" ref="H37">MEDIAN(IF($C$3:$C$29=$C37,H$3:H$29,""))</f>
        <v>34.799999999999997</v>
      </c>
      <c r="I37">
        <f t="array" ref="I37">MEDIAN(IF($C$3:$C$29=$C37,I$3:I$29,""))</f>
        <v>34.85</v>
      </c>
      <c r="J37">
        <f t="array" ref="J37">MEDIAN(IF($C$3:$C$29=$C37,J$3:J$29,""))</f>
        <v>29.700000000000003</v>
      </c>
      <c r="K37">
        <f t="array" ref="K37">MEDIAN(IF($C$3:$C$29=$C37,K$3:K$29,""))</f>
        <v>23.15</v>
      </c>
      <c r="L37">
        <f t="array" ref="L37">MEDIAN(IF($C$3:$C$29=$C37,L$3:L$29,""))</f>
        <v>22.9</v>
      </c>
      <c r="M37">
        <f t="array" ref="M37">MEDIAN(IF($C$3:$C$29=$C37,M$3:M$29,""))</f>
        <v>25.75</v>
      </c>
      <c r="N37">
        <f t="array" ref="N37">MEDIAN(IF($C$3:$C$29=$C37,N$3:N$29,""))</f>
        <v>24</v>
      </c>
      <c r="O37">
        <f t="array" ref="O37">MEDIAN(IF($C$3:$C$29=$C37,O$3:O$29,""))</f>
        <v>23.35</v>
      </c>
      <c r="P37">
        <f t="array" ref="P37">MEDIAN(IF($C$3:$C$29=$C37,P$3:P$29,""))</f>
        <v>22.75</v>
      </c>
      <c r="Q37">
        <f t="array" ref="Q37">MEDIAN(IF($C$3:$C$29=$C37,Q$3:Q$29,""))</f>
        <v>22.95</v>
      </c>
      <c r="R37">
        <f t="array" ref="R37">MEDIAN(IF($C$3:$C$29=$C37,R$3:R$29,""))</f>
        <v>25</v>
      </c>
      <c r="S37">
        <f t="array" ref="S37">MEDIAN(IF($C$3:$C$29=$C37,S$3:S$29,""))</f>
        <v>27</v>
      </c>
      <c r="T37">
        <f t="array" ref="T37">MEDIAN(IF($C$3:$C$29=$C37,T$3:T$29,""))</f>
        <v>22.85</v>
      </c>
      <c r="U37">
        <f t="array" ref="U37">MEDIAN(IF($C$3:$C$29=$C37,U$3:U$29,""))</f>
        <v>25.35</v>
      </c>
      <c r="V37">
        <f t="array" ref="V37">MEDIAN(IF($C$3:$C$29=$C37,V$3:V$29,""))</f>
        <v>16.55</v>
      </c>
      <c r="W37">
        <f t="array" ref="W37">MEDIAN(IF($C$3:$C$29=$C37,W$3:W$29,""))</f>
        <v>20.3</v>
      </c>
      <c r="X37">
        <f t="array" ref="X37">MEDIAN(IF($C$3:$C$29=$C37,X$3:X$29,""))</f>
        <v>26.5</v>
      </c>
      <c r="Y37">
        <f t="array" ref="Y37">MEDIAN(IF($C$3:$C$29=$C37,Y$3:Y$29,""))</f>
        <v>25.45</v>
      </c>
      <c r="Z37">
        <f t="array" ref="Z37">MEDIAN(IF($C$3:$C$29=$C37,Z$3:Z$29,""))</f>
        <v>22.200000000000003</v>
      </c>
      <c r="AA37">
        <f t="array" ref="AA37">MEDIAN(IF($C$3:$C$29=$C37,AA$3:AA$29,""))</f>
        <v>27.4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6"/>
  <dimension ref="A1:AA37"/>
  <sheetViews>
    <sheetView workbookViewId="0">
      <selection activeCell="G31" sqref="G31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31.3</v>
      </c>
      <c r="E3">
        <v>38.700000000000003</v>
      </c>
      <c r="F3">
        <v>37.4</v>
      </c>
      <c r="G3">
        <v>32.799999999999997</v>
      </c>
      <c r="H3">
        <v>24</v>
      </c>
      <c r="I3">
        <v>25.7</v>
      </c>
      <c r="J3">
        <v>29.4</v>
      </c>
      <c r="K3">
        <v>25.5</v>
      </c>
      <c r="L3">
        <v>24.2</v>
      </c>
      <c r="M3">
        <v>27</v>
      </c>
      <c r="N3">
        <v>21.7</v>
      </c>
      <c r="O3">
        <v>19.399999999999999</v>
      </c>
      <c r="P3">
        <v>23.2</v>
      </c>
      <c r="Q3">
        <v>24.3</v>
      </c>
      <c r="R3">
        <v>32.5</v>
      </c>
      <c r="S3">
        <v>27.5</v>
      </c>
      <c r="T3">
        <v>24.4</v>
      </c>
      <c r="U3">
        <v>24.8</v>
      </c>
      <c r="V3">
        <v>18.3</v>
      </c>
      <c r="W3">
        <v>20.399999999999999</v>
      </c>
      <c r="X3">
        <v>26</v>
      </c>
      <c r="Y3">
        <v>25.5</v>
      </c>
      <c r="Z3">
        <v>31.6</v>
      </c>
      <c r="AA3">
        <v>27.7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33.1</v>
      </c>
      <c r="E4">
        <v>33.4</v>
      </c>
      <c r="F4">
        <v>38.9</v>
      </c>
      <c r="G4">
        <v>39.700000000000003</v>
      </c>
      <c r="H4">
        <v>39.1</v>
      </c>
      <c r="I4">
        <v>35.700000000000003</v>
      </c>
      <c r="J4">
        <v>36.700000000000003</v>
      </c>
      <c r="K4">
        <v>23.9</v>
      </c>
      <c r="L4">
        <v>30.6</v>
      </c>
      <c r="M4">
        <v>21.8</v>
      </c>
      <c r="N4">
        <v>26.5</v>
      </c>
      <c r="O4">
        <v>20.2</v>
      </c>
      <c r="P4">
        <v>25.6</v>
      </c>
      <c r="Q4">
        <v>22.7</v>
      </c>
      <c r="R4">
        <v>23.6</v>
      </c>
      <c r="S4">
        <v>25.5</v>
      </c>
      <c r="T4">
        <v>25.8</v>
      </c>
      <c r="U4">
        <v>25.4</v>
      </c>
      <c r="V4">
        <v>20.399999999999999</v>
      </c>
      <c r="W4">
        <v>21</v>
      </c>
      <c r="X4">
        <v>35.5</v>
      </c>
      <c r="Y4">
        <v>37.9</v>
      </c>
      <c r="Z4">
        <v>29</v>
      </c>
      <c r="AA4">
        <v>42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33.200000000000003</v>
      </c>
      <c r="E5">
        <v>35.299999999999997</v>
      </c>
      <c r="F5">
        <v>32</v>
      </c>
      <c r="G5">
        <v>34.700000000000003</v>
      </c>
      <c r="H5">
        <v>34.1</v>
      </c>
      <c r="I5">
        <v>31</v>
      </c>
      <c r="J5">
        <v>34.6</v>
      </c>
      <c r="K5">
        <v>37.6</v>
      </c>
      <c r="L5">
        <v>36.5</v>
      </c>
      <c r="M5">
        <v>27.7</v>
      </c>
      <c r="N5">
        <v>31.1</v>
      </c>
      <c r="O5">
        <v>19.399999999999999</v>
      </c>
      <c r="P5">
        <v>26.7</v>
      </c>
      <c r="Q5">
        <v>24.8</v>
      </c>
      <c r="R5">
        <v>33.4</v>
      </c>
      <c r="S5">
        <v>20.5</v>
      </c>
      <c r="T5">
        <v>38.9</v>
      </c>
      <c r="U5">
        <v>19.8</v>
      </c>
      <c r="V5">
        <v>24.9</v>
      </c>
      <c r="W5">
        <v>27.7</v>
      </c>
      <c r="X5">
        <v>38.700000000000003</v>
      </c>
      <c r="Y5">
        <v>25.9</v>
      </c>
      <c r="Z5">
        <v>26.4</v>
      </c>
      <c r="AA5">
        <v>33.299999999999997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28.9</v>
      </c>
      <c r="E6">
        <v>38.9</v>
      </c>
      <c r="F6">
        <v>31.9</v>
      </c>
      <c r="G6">
        <v>35.5</v>
      </c>
      <c r="H6">
        <v>25.8</v>
      </c>
      <c r="I6">
        <v>27.7</v>
      </c>
      <c r="J6">
        <v>24</v>
      </c>
      <c r="K6">
        <v>29.7</v>
      </c>
      <c r="L6">
        <v>25.4</v>
      </c>
      <c r="M6">
        <v>20.5</v>
      </c>
      <c r="N6">
        <v>26.2</v>
      </c>
      <c r="O6">
        <v>23.2</v>
      </c>
      <c r="P6">
        <v>23.6</v>
      </c>
      <c r="Q6">
        <v>31.9</v>
      </c>
      <c r="R6">
        <v>25.7</v>
      </c>
      <c r="S6">
        <v>24.5</v>
      </c>
      <c r="T6">
        <v>28.7</v>
      </c>
      <c r="U6">
        <v>21.2</v>
      </c>
      <c r="V6">
        <v>34.1</v>
      </c>
      <c r="W6">
        <v>24.6</v>
      </c>
      <c r="X6">
        <v>21.2</v>
      </c>
      <c r="Y6">
        <v>30.5</v>
      </c>
      <c r="Z6">
        <v>22.3</v>
      </c>
      <c r="AA6">
        <v>29.9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30.8</v>
      </c>
      <c r="E7">
        <v>37.6</v>
      </c>
      <c r="F7">
        <v>44.8</v>
      </c>
      <c r="G7">
        <v>39.200000000000003</v>
      </c>
      <c r="H7">
        <v>33.799999999999997</v>
      </c>
      <c r="I7">
        <v>36.4</v>
      </c>
      <c r="J7">
        <v>20.9</v>
      </c>
      <c r="K7">
        <v>18.3</v>
      </c>
      <c r="L7">
        <v>27.6</v>
      </c>
      <c r="M7">
        <v>37.299999999999997</v>
      </c>
      <c r="N7">
        <v>23.9</v>
      </c>
      <c r="O7">
        <v>27.5</v>
      </c>
      <c r="P7">
        <v>24.6</v>
      </c>
      <c r="Q7">
        <v>18.8</v>
      </c>
      <c r="R7">
        <v>25.3</v>
      </c>
      <c r="S7">
        <v>19.7</v>
      </c>
      <c r="T7">
        <v>22.5</v>
      </c>
      <c r="U7">
        <v>25.3</v>
      </c>
      <c r="V7">
        <v>21</v>
      </c>
      <c r="W7">
        <v>18.899999999999999</v>
      </c>
      <c r="X7">
        <v>32</v>
      </c>
      <c r="Y7">
        <v>20.100000000000001</v>
      </c>
      <c r="Z7">
        <v>30.4</v>
      </c>
      <c r="AA7">
        <v>35.700000000000003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37</v>
      </c>
      <c r="E8">
        <v>42.3</v>
      </c>
      <c r="F8">
        <v>32.4</v>
      </c>
      <c r="G8">
        <v>41.7</v>
      </c>
      <c r="H8">
        <v>35.5</v>
      </c>
      <c r="I8">
        <v>35.799999999999997</v>
      </c>
      <c r="J8">
        <v>26.4</v>
      </c>
      <c r="K8">
        <v>23.2</v>
      </c>
      <c r="L8">
        <v>24.7</v>
      </c>
      <c r="M8">
        <v>19.5</v>
      </c>
      <c r="N8">
        <v>21.3</v>
      </c>
      <c r="O8">
        <v>22.2</v>
      </c>
      <c r="Q8">
        <v>20.7</v>
      </c>
      <c r="R8">
        <v>21.9</v>
      </c>
      <c r="S8">
        <v>24.9</v>
      </c>
      <c r="T8">
        <v>25</v>
      </c>
      <c r="U8">
        <v>18.100000000000001</v>
      </c>
      <c r="V8">
        <v>19.3</v>
      </c>
      <c r="W8">
        <v>33</v>
      </c>
      <c r="X8">
        <v>25.3</v>
      </c>
      <c r="Y8">
        <v>32.5</v>
      </c>
      <c r="Z8">
        <v>29.4</v>
      </c>
      <c r="AA8">
        <v>23.4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31.9</v>
      </c>
      <c r="E9">
        <v>46</v>
      </c>
      <c r="F9">
        <v>39.4</v>
      </c>
      <c r="G9">
        <v>36</v>
      </c>
      <c r="H9">
        <v>33.4</v>
      </c>
      <c r="I9">
        <v>31.4</v>
      </c>
      <c r="J9">
        <v>28.4</v>
      </c>
      <c r="K9">
        <v>23.3</v>
      </c>
      <c r="L9">
        <v>20.3</v>
      </c>
      <c r="M9">
        <v>31.1</v>
      </c>
      <c r="N9">
        <v>24.3</v>
      </c>
      <c r="O9">
        <v>25.1</v>
      </c>
      <c r="P9">
        <v>22.6</v>
      </c>
      <c r="Q9">
        <v>35.4</v>
      </c>
      <c r="R9">
        <v>20.7</v>
      </c>
      <c r="S9">
        <v>24.8</v>
      </c>
      <c r="T9">
        <v>19.2</v>
      </c>
      <c r="U9">
        <v>23.5</v>
      </c>
      <c r="V9">
        <v>12.6</v>
      </c>
      <c r="W9">
        <v>19.600000000000001</v>
      </c>
      <c r="X9">
        <v>38.6</v>
      </c>
      <c r="Y9">
        <v>22.5</v>
      </c>
      <c r="Z9">
        <v>22</v>
      </c>
      <c r="AA9">
        <v>28.7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34.200000000000003</v>
      </c>
      <c r="E10">
        <v>40</v>
      </c>
      <c r="F10">
        <v>35.6</v>
      </c>
      <c r="G10">
        <v>37.6</v>
      </c>
      <c r="H10">
        <v>34</v>
      </c>
      <c r="I10">
        <v>34.5</v>
      </c>
      <c r="J10">
        <v>29.7</v>
      </c>
      <c r="K10">
        <v>25.9</v>
      </c>
      <c r="L10">
        <v>21</v>
      </c>
      <c r="M10">
        <v>24.6</v>
      </c>
      <c r="N10">
        <v>23.2</v>
      </c>
      <c r="O10">
        <v>19.399999999999999</v>
      </c>
      <c r="P10">
        <v>31.3</v>
      </c>
      <c r="Q10">
        <v>21.7</v>
      </c>
      <c r="R10">
        <v>30</v>
      </c>
      <c r="S10">
        <v>33.299999999999997</v>
      </c>
      <c r="T10">
        <v>24.8</v>
      </c>
      <c r="U10">
        <v>24.3</v>
      </c>
      <c r="V10">
        <v>23</v>
      </c>
      <c r="W10">
        <v>27.3</v>
      </c>
      <c r="X10">
        <v>31</v>
      </c>
      <c r="Y10">
        <v>23.2</v>
      </c>
      <c r="Z10">
        <v>17.100000000000001</v>
      </c>
      <c r="AA10">
        <v>25.6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30.3</v>
      </c>
      <c r="E11">
        <v>41</v>
      </c>
      <c r="F11">
        <v>36.299999999999997</v>
      </c>
      <c r="G11">
        <v>36</v>
      </c>
      <c r="H11">
        <v>32.799999999999997</v>
      </c>
      <c r="I11">
        <v>30.7</v>
      </c>
      <c r="J11">
        <v>37.4</v>
      </c>
      <c r="K11">
        <v>33</v>
      </c>
      <c r="L11">
        <v>26.8</v>
      </c>
      <c r="M11">
        <v>25.4</v>
      </c>
      <c r="N11">
        <v>27.2</v>
      </c>
      <c r="O11">
        <v>25.8</v>
      </c>
      <c r="P11">
        <v>14.9</v>
      </c>
      <c r="Q11">
        <v>22.5</v>
      </c>
      <c r="R11">
        <v>28.7</v>
      </c>
      <c r="S11">
        <v>28.7</v>
      </c>
      <c r="T11">
        <v>21.6</v>
      </c>
      <c r="U11">
        <v>22</v>
      </c>
      <c r="V11">
        <v>25.3</v>
      </c>
      <c r="W11">
        <v>27.1</v>
      </c>
      <c r="X11">
        <v>22.2</v>
      </c>
      <c r="Y11">
        <v>21.4</v>
      </c>
      <c r="Z11">
        <v>25.4</v>
      </c>
      <c r="AA11">
        <v>37.5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31.5</v>
      </c>
      <c r="E12">
        <v>43</v>
      </c>
      <c r="F12">
        <v>31.6</v>
      </c>
      <c r="G12">
        <v>33.1</v>
      </c>
      <c r="H12">
        <v>32.299999999999997</v>
      </c>
      <c r="I12">
        <v>29</v>
      </c>
      <c r="J12">
        <v>30.3</v>
      </c>
      <c r="K12">
        <v>29.9</v>
      </c>
      <c r="L12">
        <v>27.4</v>
      </c>
      <c r="M12">
        <v>30.4</v>
      </c>
      <c r="N12">
        <v>29.2</v>
      </c>
      <c r="O12">
        <v>25.9</v>
      </c>
      <c r="P12">
        <v>26.3</v>
      </c>
      <c r="Q12">
        <v>21</v>
      </c>
      <c r="R12">
        <v>26.8</v>
      </c>
      <c r="S12">
        <v>29.6</v>
      </c>
      <c r="T12">
        <v>27.5</v>
      </c>
      <c r="U12">
        <v>25.7</v>
      </c>
      <c r="V12">
        <v>22.4</v>
      </c>
      <c r="W12">
        <v>21.9</v>
      </c>
      <c r="X12">
        <v>38.6</v>
      </c>
      <c r="Y12">
        <v>32.200000000000003</v>
      </c>
      <c r="Z12">
        <v>29.6</v>
      </c>
      <c r="AA12">
        <v>31.9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28.1</v>
      </c>
      <c r="E13">
        <v>38.1</v>
      </c>
      <c r="F13">
        <v>37.4</v>
      </c>
      <c r="G13">
        <v>40</v>
      </c>
      <c r="H13">
        <v>36.799999999999997</v>
      </c>
      <c r="I13">
        <v>34.9</v>
      </c>
      <c r="J13">
        <v>28.5</v>
      </c>
      <c r="K13">
        <v>25.7</v>
      </c>
      <c r="L13">
        <v>17.8</v>
      </c>
      <c r="M13">
        <v>34.200000000000003</v>
      </c>
      <c r="N13">
        <v>24.6</v>
      </c>
      <c r="O13">
        <v>31.9</v>
      </c>
      <c r="P13">
        <v>20.8</v>
      </c>
      <c r="Q13">
        <v>23.1</v>
      </c>
      <c r="R13">
        <v>23.8</v>
      </c>
      <c r="S13">
        <v>29</v>
      </c>
      <c r="T13">
        <v>27.8</v>
      </c>
      <c r="U13">
        <v>25.1</v>
      </c>
      <c r="V13">
        <v>16.5</v>
      </c>
      <c r="W13">
        <v>14.3</v>
      </c>
      <c r="X13">
        <v>24.5</v>
      </c>
      <c r="Y13">
        <v>28.2</v>
      </c>
      <c r="Z13">
        <v>24</v>
      </c>
      <c r="AA13">
        <v>29.5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31.6</v>
      </c>
      <c r="E14">
        <v>28.1</v>
      </c>
      <c r="F14">
        <v>43.2</v>
      </c>
      <c r="G14">
        <v>38.700000000000003</v>
      </c>
      <c r="H14">
        <v>32.4</v>
      </c>
      <c r="I14">
        <v>30.7</v>
      </c>
      <c r="J14">
        <v>29.7</v>
      </c>
      <c r="K14">
        <v>24.3</v>
      </c>
      <c r="L14">
        <v>19.7</v>
      </c>
      <c r="M14">
        <v>29</v>
      </c>
      <c r="N14">
        <v>19.3</v>
      </c>
      <c r="O14">
        <v>22.3</v>
      </c>
      <c r="P14">
        <v>22.4</v>
      </c>
      <c r="Q14">
        <v>24.5</v>
      </c>
      <c r="R14">
        <v>24.6</v>
      </c>
      <c r="S14">
        <v>16.100000000000001</v>
      </c>
      <c r="T14">
        <v>25.8</v>
      </c>
      <c r="U14">
        <v>27.5</v>
      </c>
      <c r="V14">
        <v>24.4</v>
      </c>
      <c r="W14">
        <v>26.9</v>
      </c>
      <c r="X14">
        <v>25.2</v>
      </c>
      <c r="Y14">
        <v>20.100000000000001</v>
      </c>
      <c r="Z14">
        <v>26.5</v>
      </c>
      <c r="AA14">
        <v>34.5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31.2</v>
      </c>
      <c r="E15">
        <v>38.799999999999997</v>
      </c>
      <c r="F15">
        <v>41.7</v>
      </c>
      <c r="G15">
        <v>40.4</v>
      </c>
      <c r="H15">
        <v>35.700000000000003</v>
      </c>
      <c r="I15">
        <v>30</v>
      </c>
      <c r="J15">
        <v>27.3</v>
      </c>
      <c r="K15">
        <v>19.899999999999999</v>
      </c>
      <c r="L15">
        <v>17.100000000000001</v>
      </c>
      <c r="M15">
        <v>25.9</v>
      </c>
      <c r="N15">
        <v>25.3</v>
      </c>
      <c r="O15">
        <v>27.7</v>
      </c>
      <c r="P15">
        <v>25.7</v>
      </c>
      <c r="Q15">
        <v>14.6</v>
      </c>
      <c r="R15">
        <v>24</v>
      </c>
      <c r="S15">
        <v>19.3</v>
      </c>
      <c r="T15">
        <v>16.899999999999999</v>
      </c>
      <c r="U15">
        <v>29.3</v>
      </c>
      <c r="V15">
        <v>15.8</v>
      </c>
      <c r="W15">
        <v>32</v>
      </c>
      <c r="X15">
        <v>24.4</v>
      </c>
      <c r="Y15">
        <v>27.6</v>
      </c>
      <c r="Z15">
        <v>26.8</v>
      </c>
      <c r="AA15">
        <v>32.5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35.299999999999997</v>
      </c>
      <c r="E16">
        <v>29.1</v>
      </c>
      <c r="F16">
        <v>41.1</v>
      </c>
      <c r="G16">
        <v>43.6</v>
      </c>
      <c r="H16">
        <v>37</v>
      </c>
      <c r="I16">
        <v>36.9</v>
      </c>
      <c r="J16">
        <v>30</v>
      </c>
      <c r="K16">
        <v>19</v>
      </c>
      <c r="L16">
        <v>26</v>
      </c>
      <c r="M16">
        <v>23.9</v>
      </c>
      <c r="N16">
        <v>21.4</v>
      </c>
      <c r="O16">
        <v>19.600000000000001</v>
      </c>
      <c r="P16">
        <v>31.8</v>
      </c>
      <c r="Q16">
        <v>25</v>
      </c>
      <c r="R16">
        <v>24.1</v>
      </c>
      <c r="S16">
        <v>25</v>
      </c>
      <c r="T16">
        <v>24.8</v>
      </c>
      <c r="U16">
        <v>27.3</v>
      </c>
      <c r="V16">
        <v>16.8</v>
      </c>
      <c r="W16">
        <v>24.4</v>
      </c>
      <c r="X16">
        <v>41.8</v>
      </c>
      <c r="Y16">
        <v>24.8</v>
      </c>
      <c r="Z16">
        <v>25.9</v>
      </c>
      <c r="AA16">
        <v>27.2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36.5</v>
      </c>
      <c r="E17">
        <v>34.6</v>
      </c>
      <c r="F17">
        <v>37.299999999999997</v>
      </c>
      <c r="G17">
        <v>42.8</v>
      </c>
      <c r="H17">
        <v>33.700000000000003</v>
      </c>
      <c r="I17">
        <v>36.200000000000003</v>
      </c>
      <c r="J17">
        <v>27.5</v>
      </c>
      <c r="K17">
        <v>10.6</v>
      </c>
      <c r="L17">
        <v>20.399999999999999</v>
      </c>
      <c r="M17">
        <v>26.8</v>
      </c>
      <c r="N17">
        <v>24</v>
      </c>
      <c r="O17">
        <v>23.9</v>
      </c>
      <c r="P17">
        <v>19.600000000000001</v>
      </c>
      <c r="Q17">
        <v>22.6</v>
      </c>
      <c r="R17">
        <v>17.899999999999999</v>
      </c>
      <c r="S17">
        <v>15.6</v>
      </c>
      <c r="T17">
        <v>23.2</v>
      </c>
      <c r="U17">
        <v>22</v>
      </c>
      <c r="V17">
        <v>17.100000000000001</v>
      </c>
      <c r="W17">
        <v>15.7</v>
      </c>
      <c r="X17">
        <v>27.5</v>
      </c>
      <c r="Y17">
        <v>18.600000000000001</v>
      </c>
      <c r="Z17">
        <v>23.5</v>
      </c>
      <c r="AA17">
        <v>25.1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24.5</v>
      </c>
      <c r="E18">
        <v>35.299999999999997</v>
      </c>
      <c r="F18">
        <v>29</v>
      </c>
      <c r="G18">
        <v>39.9</v>
      </c>
      <c r="H18">
        <v>39.5</v>
      </c>
      <c r="I18">
        <v>31.5</v>
      </c>
      <c r="J18">
        <v>28.8</v>
      </c>
      <c r="K18">
        <v>23.9</v>
      </c>
      <c r="L18">
        <v>23.2</v>
      </c>
      <c r="M18">
        <v>28.1</v>
      </c>
      <c r="N18">
        <v>21</v>
      </c>
      <c r="O18">
        <v>25.2</v>
      </c>
      <c r="P18">
        <v>26</v>
      </c>
      <c r="Q18">
        <v>15.9</v>
      </c>
      <c r="R18">
        <v>27</v>
      </c>
      <c r="S18">
        <v>21.2</v>
      </c>
      <c r="T18">
        <v>27.1</v>
      </c>
      <c r="U18">
        <v>14.8</v>
      </c>
      <c r="V18">
        <v>23.6</v>
      </c>
      <c r="W18">
        <v>18.399999999999999</v>
      </c>
      <c r="X18">
        <v>35.5</v>
      </c>
      <c r="Y18">
        <v>30.4</v>
      </c>
      <c r="Z18">
        <v>19.8</v>
      </c>
      <c r="AA18">
        <v>30.6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34.6</v>
      </c>
      <c r="E19">
        <v>33.4</v>
      </c>
      <c r="F19">
        <v>36.4</v>
      </c>
      <c r="G19">
        <v>38</v>
      </c>
      <c r="H19">
        <v>35</v>
      </c>
      <c r="I19">
        <v>29.4</v>
      </c>
      <c r="J19">
        <v>27.4</v>
      </c>
      <c r="K19">
        <v>23.1</v>
      </c>
      <c r="L19">
        <v>36.9</v>
      </c>
      <c r="M19">
        <v>30.4</v>
      </c>
      <c r="N19">
        <v>25.4</v>
      </c>
      <c r="O19">
        <v>24.1</v>
      </c>
      <c r="P19">
        <v>27.3</v>
      </c>
      <c r="Q19">
        <v>34.9</v>
      </c>
      <c r="R19">
        <v>26.6</v>
      </c>
      <c r="S19">
        <v>20.2</v>
      </c>
      <c r="T19">
        <v>27.2</v>
      </c>
      <c r="U19">
        <v>29.3</v>
      </c>
      <c r="V19">
        <v>21.5</v>
      </c>
      <c r="W19">
        <v>24.1</v>
      </c>
      <c r="X19">
        <v>24.9</v>
      </c>
      <c r="Y19">
        <v>23</v>
      </c>
      <c r="Z19">
        <v>25.8</v>
      </c>
      <c r="AA19">
        <v>29.2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33.9</v>
      </c>
      <c r="E20">
        <v>41.6</v>
      </c>
      <c r="F20">
        <v>40.5</v>
      </c>
      <c r="G20">
        <v>34.799999999999997</v>
      </c>
      <c r="H20">
        <v>33.799999999999997</v>
      </c>
      <c r="I20">
        <v>30.4</v>
      </c>
      <c r="J20">
        <v>28.5</v>
      </c>
      <c r="K20">
        <v>23.1</v>
      </c>
      <c r="L20">
        <v>17.399999999999999</v>
      </c>
      <c r="M20">
        <v>20.6</v>
      </c>
      <c r="N20">
        <v>18.600000000000001</v>
      </c>
      <c r="O20">
        <v>27.6</v>
      </c>
      <c r="P20">
        <v>20.5</v>
      </c>
      <c r="Q20">
        <v>35.1</v>
      </c>
      <c r="R20">
        <v>22</v>
      </c>
      <c r="S20">
        <v>30</v>
      </c>
      <c r="T20">
        <v>22.9</v>
      </c>
      <c r="U20">
        <v>20.2</v>
      </c>
      <c r="V20">
        <v>15.5</v>
      </c>
      <c r="W20">
        <v>29.1</v>
      </c>
      <c r="Y20">
        <v>24.7</v>
      </c>
      <c r="Z20">
        <v>28.9</v>
      </c>
      <c r="AA20">
        <v>27.1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32.9</v>
      </c>
      <c r="E21">
        <v>38.299999999999997</v>
      </c>
      <c r="F21">
        <v>35.700000000000003</v>
      </c>
      <c r="G21">
        <v>37.4</v>
      </c>
      <c r="H21">
        <v>36.299999999999997</v>
      </c>
      <c r="I21">
        <v>29.4</v>
      </c>
      <c r="J21">
        <v>21.6</v>
      </c>
      <c r="K21">
        <v>21.1</v>
      </c>
      <c r="L21">
        <v>21.3</v>
      </c>
      <c r="M21">
        <v>24</v>
      </c>
      <c r="N21">
        <v>17.3</v>
      </c>
      <c r="O21">
        <v>23.5</v>
      </c>
      <c r="P21">
        <v>22.4</v>
      </c>
      <c r="Q21">
        <v>15.1</v>
      </c>
      <c r="R21">
        <v>28.5</v>
      </c>
      <c r="S21">
        <v>22.8</v>
      </c>
      <c r="T21">
        <v>17.2</v>
      </c>
      <c r="U21">
        <v>16.8</v>
      </c>
      <c r="V21">
        <v>14.6</v>
      </c>
      <c r="W21">
        <v>15.8</v>
      </c>
      <c r="X21">
        <v>18.600000000000001</v>
      </c>
      <c r="Y21">
        <v>23</v>
      </c>
      <c r="Z21">
        <v>29.1</v>
      </c>
      <c r="AA21">
        <v>33.1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31.4</v>
      </c>
      <c r="E22">
        <v>41.7</v>
      </c>
      <c r="F22">
        <v>39.799999999999997</v>
      </c>
      <c r="G22">
        <v>35.799999999999997</v>
      </c>
      <c r="H22">
        <v>33.9</v>
      </c>
      <c r="I22">
        <v>27.5</v>
      </c>
      <c r="J22">
        <v>32.299999999999997</v>
      </c>
      <c r="K22">
        <v>13.4</v>
      </c>
      <c r="L22">
        <v>21.9</v>
      </c>
      <c r="M22">
        <v>18.399999999999999</v>
      </c>
      <c r="N22">
        <v>24.2</v>
      </c>
      <c r="O22">
        <v>25.5</v>
      </c>
      <c r="P22">
        <v>20.3</v>
      </c>
      <c r="Q22">
        <v>29.8</v>
      </c>
      <c r="R22">
        <v>20.399999999999999</v>
      </c>
      <c r="S22">
        <v>29.8</v>
      </c>
      <c r="T22">
        <v>20.6</v>
      </c>
      <c r="U22">
        <v>18.8</v>
      </c>
      <c r="V22">
        <v>16.100000000000001</v>
      </c>
      <c r="W22">
        <v>19.5</v>
      </c>
      <c r="X22">
        <v>23.1</v>
      </c>
      <c r="Y22">
        <v>29</v>
      </c>
      <c r="Z22">
        <v>25.2</v>
      </c>
      <c r="AA22">
        <v>29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30.1</v>
      </c>
      <c r="E23">
        <v>31.1</v>
      </c>
      <c r="F23">
        <v>37.1</v>
      </c>
      <c r="G23">
        <v>37.5</v>
      </c>
      <c r="H23">
        <v>25.9</v>
      </c>
      <c r="I23">
        <v>28</v>
      </c>
      <c r="J23">
        <v>23</v>
      </c>
      <c r="K23">
        <v>20.8</v>
      </c>
      <c r="L23">
        <v>24.3</v>
      </c>
      <c r="M23">
        <v>26.2</v>
      </c>
      <c r="N23">
        <v>33.9</v>
      </c>
      <c r="O23">
        <v>23.3</v>
      </c>
      <c r="P23">
        <v>35.9</v>
      </c>
      <c r="Q23">
        <v>22.8</v>
      </c>
      <c r="R23">
        <v>20.399999999999999</v>
      </c>
      <c r="S23">
        <v>23.4</v>
      </c>
      <c r="T23">
        <v>23.9</v>
      </c>
      <c r="U23">
        <v>15</v>
      </c>
      <c r="V23">
        <v>24.4</v>
      </c>
      <c r="W23">
        <v>13.7</v>
      </c>
      <c r="X23">
        <v>21.8</v>
      </c>
      <c r="Y23">
        <v>23.8</v>
      </c>
      <c r="Z23">
        <v>27.4</v>
      </c>
      <c r="AA23">
        <v>25.1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35</v>
      </c>
      <c r="E24">
        <v>39.200000000000003</v>
      </c>
      <c r="F24">
        <v>43.1</v>
      </c>
      <c r="G24">
        <v>43.1</v>
      </c>
      <c r="H24">
        <v>37.799999999999997</v>
      </c>
      <c r="I24">
        <v>33.700000000000003</v>
      </c>
      <c r="J24">
        <v>30.5</v>
      </c>
      <c r="K24">
        <v>20.2</v>
      </c>
      <c r="L24">
        <v>10.4</v>
      </c>
      <c r="M24">
        <v>22.6</v>
      </c>
      <c r="N24">
        <v>23.9</v>
      </c>
      <c r="O24">
        <v>26.6</v>
      </c>
      <c r="P24">
        <v>17.8</v>
      </c>
      <c r="Q24">
        <v>24.7</v>
      </c>
      <c r="R24">
        <v>21.3</v>
      </c>
      <c r="S24">
        <v>24.7</v>
      </c>
      <c r="T24">
        <v>23.2</v>
      </c>
      <c r="U24">
        <v>30.6</v>
      </c>
      <c r="W24">
        <v>11.5</v>
      </c>
      <c r="X24">
        <v>21.9</v>
      </c>
      <c r="Y24">
        <v>30.1</v>
      </c>
      <c r="Z24">
        <v>21</v>
      </c>
      <c r="AA24">
        <v>31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34.5</v>
      </c>
      <c r="E25">
        <v>39.700000000000003</v>
      </c>
      <c r="F25">
        <v>40.299999999999997</v>
      </c>
      <c r="G25">
        <v>42</v>
      </c>
      <c r="H25">
        <v>42.9</v>
      </c>
      <c r="I25">
        <v>31</v>
      </c>
      <c r="J25">
        <v>36.299999999999997</v>
      </c>
      <c r="K25">
        <v>27.7</v>
      </c>
      <c r="L25">
        <v>27.2</v>
      </c>
      <c r="M25">
        <v>18.3</v>
      </c>
      <c r="N25">
        <v>28.1</v>
      </c>
      <c r="O25">
        <v>15.9</v>
      </c>
      <c r="P25">
        <v>24.1</v>
      </c>
      <c r="S25">
        <v>23.1</v>
      </c>
      <c r="T25">
        <v>39.799999999999997</v>
      </c>
      <c r="V25">
        <v>24.5</v>
      </c>
      <c r="Z25">
        <v>18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31.1</v>
      </c>
      <c r="E26">
        <v>30.1</v>
      </c>
      <c r="F26">
        <v>36</v>
      </c>
      <c r="G26">
        <v>37</v>
      </c>
      <c r="H26">
        <v>42.8</v>
      </c>
      <c r="I26">
        <v>31.2</v>
      </c>
      <c r="J26">
        <v>38.5</v>
      </c>
      <c r="K26">
        <v>34</v>
      </c>
      <c r="L26">
        <v>22.9</v>
      </c>
      <c r="M26">
        <v>33.299999999999997</v>
      </c>
      <c r="N26">
        <v>20</v>
      </c>
      <c r="O26">
        <v>30.6</v>
      </c>
      <c r="P26">
        <v>32.6</v>
      </c>
      <c r="Q26">
        <v>26.9</v>
      </c>
      <c r="R26">
        <v>29.1</v>
      </c>
      <c r="S26">
        <v>26.2</v>
      </c>
      <c r="T26">
        <v>32.200000000000003</v>
      </c>
      <c r="U26">
        <v>23</v>
      </c>
      <c r="V26">
        <v>26.8</v>
      </c>
      <c r="W26">
        <v>22</v>
      </c>
      <c r="X26">
        <v>21.1</v>
      </c>
      <c r="Y26">
        <v>18.399999999999999</v>
      </c>
      <c r="Z26">
        <v>25.9</v>
      </c>
      <c r="AA26">
        <v>27.8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40.4</v>
      </c>
      <c r="E27">
        <v>28.1</v>
      </c>
      <c r="F27">
        <v>41.8</v>
      </c>
      <c r="G27">
        <v>40</v>
      </c>
      <c r="H27">
        <v>33.9</v>
      </c>
      <c r="I27">
        <v>28.4</v>
      </c>
      <c r="J27">
        <v>26.9</v>
      </c>
      <c r="K27">
        <v>23.3</v>
      </c>
      <c r="L27">
        <v>14.1</v>
      </c>
      <c r="M27">
        <v>23.7</v>
      </c>
      <c r="N27">
        <v>23.2</v>
      </c>
      <c r="O27">
        <v>23.6</v>
      </c>
      <c r="P27">
        <v>16.600000000000001</v>
      </c>
      <c r="Q27">
        <v>25.4</v>
      </c>
      <c r="R27">
        <v>18.8</v>
      </c>
      <c r="S27">
        <v>33.200000000000003</v>
      </c>
      <c r="T27">
        <v>22.6</v>
      </c>
      <c r="U27">
        <v>22</v>
      </c>
      <c r="V27">
        <v>19</v>
      </c>
      <c r="W27">
        <v>20.5</v>
      </c>
      <c r="X27">
        <v>27</v>
      </c>
      <c r="Y27">
        <v>27.4</v>
      </c>
      <c r="Z27">
        <v>21.1</v>
      </c>
      <c r="AA27">
        <v>22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31.3</v>
      </c>
      <c r="E28">
        <v>38.700000000000003</v>
      </c>
      <c r="F28">
        <v>30.4</v>
      </c>
      <c r="G28">
        <v>38.4</v>
      </c>
      <c r="H28">
        <v>31.3</v>
      </c>
      <c r="I28">
        <v>35.700000000000003</v>
      </c>
      <c r="J28">
        <v>22.6</v>
      </c>
      <c r="K28">
        <v>10.3</v>
      </c>
      <c r="L28">
        <v>21.9</v>
      </c>
      <c r="M28">
        <v>20.2</v>
      </c>
      <c r="N28">
        <v>15.8</v>
      </c>
      <c r="O28">
        <v>19</v>
      </c>
      <c r="P28">
        <v>33.6</v>
      </c>
      <c r="Q28">
        <v>26.6</v>
      </c>
      <c r="R28">
        <v>26.4</v>
      </c>
      <c r="S28">
        <v>26.9</v>
      </c>
      <c r="T28">
        <v>20.6</v>
      </c>
      <c r="U28">
        <v>10.8</v>
      </c>
      <c r="V28">
        <v>20</v>
      </c>
      <c r="W28">
        <v>19.3</v>
      </c>
      <c r="X28">
        <v>22.5</v>
      </c>
      <c r="Y28">
        <v>23.6</v>
      </c>
      <c r="Z28">
        <v>25.3</v>
      </c>
      <c r="AA28">
        <v>26.4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36.799999999999997</v>
      </c>
      <c r="E29">
        <v>37.299999999999997</v>
      </c>
      <c r="F29">
        <v>34.700000000000003</v>
      </c>
      <c r="G29">
        <v>33.299999999999997</v>
      </c>
      <c r="H29">
        <v>31</v>
      </c>
      <c r="I29">
        <v>32.200000000000003</v>
      </c>
      <c r="J29">
        <v>34.200000000000003</v>
      </c>
      <c r="K29">
        <v>9.1</v>
      </c>
      <c r="L29">
        <v>15.7</v>
      </c>
      <c r="M29">
        <v>16</v>
      </c>
      <c r="N29">
        <v>22.4</v>
      </c>
      <c r="O29">
        <v>24.6</v>
      </c>
      <c r="P29">
        <v>26.2</v>
      </c>
      <c r="Q29">
        <v>22</v>
      </c>
      <c r="R29">
        <v>18.899999999999999</v>
      </c>
      <c r="S29">
        <v>24.7</v>
      </c>
      <c r="T29">
        <v>20.9</v>
      </c>
      <c r="U29">
        <v>24.6</v>
      </c>
      <c r="V29">
        <v>23</v>
      </c>
      <c r="W29">
        <v>22.5</v>
      </c>
      <c r="X29">
        <v>33.1</v>
      </c>
      <c r="Z29">
        <v>25.9</v>
      </c>
      <c r="AA29">
        <v>28.5</v>
      </c>
    </row>
    <row r="31" spans="1:27" x14ac:dyDescent="0.25">
      <c r="C31">
        <v>1</v>
      </c>
      <c r="D31">
        <f t="array" ref="D31">MEDIAN(IF($C$3:$C$29=$C31,D$3:D$29,""))</f>
        <v>32.35</v>
      </c>
      <c r="E31">
        <f t="array" ref="E31">MEDIAN(IF($C$3:$C$29=$C31,E$3:E$29,""))</f>
        <v>34.349999999999994</v>
      </c>
      <c r="F31">
        <f t="array" ref="F31">MEDIAN(IF($C$3:$C$29=$C31,F$3:F$29,""))</f>
        <v>34</v>
      </c>
      <c r="G31">
        <f t="array" ref="G31">MEDIAN(IF($C$3:$C$29=$C31,G$3:G$29,""))</f>
        <v>35.85</v>
      </c>
      <c r="H31">
        <f t="array" ref="H31">MEDIAN(IF($C$3:$C$29=$C31,H$3:H$29,""))</f>
        <v>34.549999999999997</v>
      </c>
      <c r="I31">
        <f t="array" ref="I31">MEDIAN(IF($C$3:$C$29=$C31,I$3:I$29,""))</f>
        <v>30.2</v>
      </c>
      <c r="J31">
        <f t="array" ref="J31">MEDIAN(IF($C$3:$C$29=$C31,J$3:J$29,""))</f>
        <v>32.450000000000003</v>
      </c>
      <c r="K31">
        <f t="array" ref="K31">MEDIAN(IF($C$3:$C$29=$C31,K$3:K$29,""))</f>
        <v>31.95</v>
      </c>
      <c r="L31">
        <f t="array" ref="L31">MEDIAN(IF($C$3:$C$29=$C31,L$3:L$29,""))</f>
        <v>31.95</v>
      </c>
      <c r="M31">
        <f t="array" ref="M31">MEDIAN(IF($C$3:$C$29=$C31,M$3:M$29,""))</f>
        <v>30.4</v>
      </c>
      <c r="N31">
        <f t="array" ref="N31">MEDIAN(IF($C$3:$C$29=$C31,N$3:N$29,""))</f>
        <v>27.299999999999997</v>
      </c>
      <c r="O31">
        <f t="array" ref="O31">MEDIAN(IF($C$3:$C$29=$C31,O$3:O$29,""))</f>
        <v>25</v>
      </c>
      <c r="P31">
        <f t="array" ref="P31">MEDIAN(IF($C$3:$C$29=$C31,P$3:P$29,""))</f>
        <v>27</v>
      </c>
      <c r="Q31">
        <f t="array" ref="Q31">MEDIAN(IF($C$3:$C$29=$C31,Q$3:Q$29,""))</f>
        <v>25.85</v>
      </c>
      <c r="R31">
        <f t="array" ref="R31">MEDIAN(IF($C$3:$C$29=$C31,R$3:R$29,""))</f>
        <v>27.950000000000003</v>
      </c>
      <c r="S31">
        <f t="array" ref="S31">MEDIAN(IF($C$3:$C$29=$C31,S$3:S$29,""))</f>
        <v>23.35</v>
      </c>
      <c r="T31">
        <f t="array" ref="T31">MEDIAN(IF($C$3:$C$29=$C31,T$3:T$29,""))</f>
        <v>29.85</v>
      </c>
      <c r="U31">
        <f t="array" ref="U31">MEDIAN(IF($C$3:$C$29=$C31,U$3:U$29,""))</f>
        <v>24.35</v>
      </c>
      <c r="V31">
        <f t="array" ref="V31">MEDIAN(IF($C$3:$C$29=$C31,V$3:V$29,""))</f>
        <v>23.65</v>
      </c>
      <c r="W31">
        <f t="array" ref="W31">MEDIAN(IF($C$3:$C$29=$C31,W$3:W$29,""))</f>
        <v>23.05</v>
      </c>
      <c r="X31">
        <f t="array" ref="X31">MEDIAN(IF($C$3:$C$29=$C31,X$3:X$29,""))</f>
        <v>31.75</v>
      </c>
      <c r="Y31">
        <f t="array" ref="Y31">MEDIAN(IF($C$3:$C$29=$C31,Y$3:Y$29,""))</f>
        <v>24.45</v>
      </c>
      <c r="Z31">
        <f t="array" ref="Z31">MEDIAN(IF($C$3:$C$29=$C31,Z$3:Z$29,""))</f>
        <v>26.15</v>
      </c>
      <c r="AA31">
        <f t="array" ref="AA31">MEDIAN(IF($C$3:$C$29=$C31,AA$3:AA$29,""))</f>
        <v>30.549999999999997</v>
      </c>
    </row>
    <row r="32" spans="1:27" x14ac:dyDescent="0.25">
      <c r="C32">
        <v>2</v>
      </c>
      <c r="D32">
        <f t="array" ref="D32">MEDIAN(IF($C$3:$C$29=$C32,D$3:D$29,""))</f>
        <v>31.700000000000003</v>
      </c>
      <c r="E32">
        <f t="array" ref="E32">MEDIAN(IF($C$3:$C$29=$C32,E$3:E$29,""))</f>
        <v>37.5</v>
      </c>
      <c r="F32">
        <f t="array" ref="F32">MEDIAN(IF($C$3:$C$29=$C32,F$3:F$29,""))</f>
        <v>37.599999999999994</v>
      </c>
      <c r="G32">
        <f t="array" ref="G32">MEDIAN(IF($C$3:$C$29=$C32,G$3:G$29,""))</f>
        <v>39.799999999999997</v>
      </c>
      <c r="H32">
        <f t="array" ref="H32">MEDIAN(IF($C$3:$C$29=$C32,H$3:H$29,""))</f>
        <v>39.299999999999997</v>
      </c>
      <c r="I32">
        <f t="array" ref="I32">MEDIAN(IF($C$3:$C$29=$C32,I$3:I$29,""))</f>
        <v>31.25</v>
      </c>
      <c r="J32">
        <f t="array" ref="J32">MEDIAN(IF($C$3:$C$29=$C32,J$3:J$29,""))</f>
        <v>36.5</v>
      </c>
      <c r="K32">
        <f t="array" ref="K32">MEDIAN(IF($C$3:$C$29=$C32,K$3:K$29,""))</f>
        <v>25.799999999999997</v>
      </c>
      <c r="L32">
        <f t="array" ref="L32">MEDIAN(IF($C$3:$C$29=$C32,L$3:L$29,""))</f>
        <v>27</v>
      </c>
      <c r="M32">
        <f t="array" ref="M32">MEDIAN(IF($C$3:$C$29=$C32,M$3:M$29,""))</f>
        <v>23.6</v>
      </c>
      <c r="N32">
        <f t="array" ref="N32">MEDIAN(IF($C$3:$C$29=$C32,N$3:N$29,""))</f>
        <v>26.85</v>
      </c>
      <c r="O32">
        <f t="array" ref="O32">MEDIAN(IF($C$3:$C$29=$C32,O$3:O$29,""))</f>
        <v>22.7</v>
      </c>
      <c r="P32">
        <f t="array" ref="P32">MEDIAN(IF($C$3:$C$29=$C32,P$3:P$29,""))</f>
        <v>24.85</v>
      </c>
      <c r="Q32">
        <f t="array" ref="Q32">MEDIAN(IF($C$3:$C$29=$C32,Q$3:Q$29,""))</f>
        <v>19.2</v>
      </c>
      <c r="R32">
        <f t="array" ref="R32">MEDIAN(IF($C$3:$C$29=$C32,R$3:R$29,""))</f>
        <v>25.3</v>
      </c>
      <c r="S32">
        <f t="array" ref="S32">MEDIAN(IF($C$3:$C$29=$C32,S$3:S$29,""))</f>
        <v>24.3</v>
      </c>
      <c r="T32">
        <f t="array" ref="T32">MEDIAN(IF($C$3:$C$29=$C32,T$3:T$29,""))</f>
        <v>26.450000000000003</v>
      </c>
      <c r="U32">
        <f t="array" ref="U32">MEDIAN(IF($C$3:$C$29=$C32,U$3:U$29,""))</f>
        <v>18.399999999999999</v>
      </c>
      <c r="V32">
        <f t="array" ref="V32">MEDIAN(IF($C$3:$C$29=$C32,V$3:V$29,""))</f>
        <v>24.05</v>
      </c>
      <c r="W32">
        <f t="array" ref="W32">MEDIAN(IF($C$3:$C$29=$C32,W$3:W$29,""))</f>
        <v>19.7</v>
      </c>
      <c r="X32">
        <f t="array" ref="X32">MEDIAN(IF($C$3:$C$29=$C32,X$3:X$29,""))</f>
        <v>28.85</v>
      </c>
      <c r="Y32">
        <f t="array" ref="Y32">MEDIAN(IF($C$3:$C$29=$C32,Y$3:Y$29,""))</f>
        <v>25.9</v>
      </c>
      <c r="Z32">
        <f t="array" ref="Z32">MEDIAN(IF($C$3:$C$29=$C32,Z$3:Z$29,""))</f>
        <v>22.6</v>
      </c>
      <c r="AA32">
        <f t="array" ref="AA32">MEDIAN(IF($C$3:$C$29=$C32,AA$3:AA$29,""))</f>
        <v>34.049999999999997</v>
      </c>
    </row>
    <row r="33" spans="3:27" x14ac:dyDescent="0.25">
      <c r="C33">
        <v>3</v>
      </c>
      <c r="D33">
        <f t="array" ref="D33">MEDIAN(IF($C$3:$C$29=$C33,D$3:D$29,""))</f>
        <v>31.4</v>
      </c>
      <c r="E33">
        <f t="array" ref="E33">MEDIAN(IF($C$3:$C$29=$C33,E$3:E$29,""))</f>
        <v>38.5</v>
      </c>
      <c r="F33">
        <f t="array" ref="F33">MEDIAN(IF($C$3:$C$29=$C33,F$3:F$29,""))</f>
        <v>38.950000000000003</v>
      </c>
      <c r="G33">
        <f t="array" ref="G33">MEDIAN(IF($C$3:$C$29=$C33,G$3:G$29,""))</f>
        <v>37.75</v>
      </c>
      <c r="H33">
        <f t="array" ref="H33">MEDIAN(IF($C$3:$C$29=$C33,H$3:H$29,""))</f>
        <v>33.849999999999994</v>
      </c>
      <c r="I33">
        <f t="array" ref="I33">MEDIAN(IF($C$3:$C$29=$C33,I$3:I$29,""))</f>
        <v>29.4</v>
      </c>
      <c r="J33">
        <f t="array" ref="J33">MEDIAN(IF($C$3:$C$29=$C33,J$3:J$29,""))</f>
        <v>27.7</v>
      </c>
      <c r="K33">
        <f t="array" ref="K33">MEDIAN(IF($C$3:$C$29=$C33,K$3:K$29,""))</f>
        <v>24.5</v>
      </c>
      <c r="L33">
        <f t="array" ref="L33">MEDIAN(IF($C$3:$C$29=$C33,L$3:L$29,""))</f>
        <v>17.600000000000001</v>
      </c>
      <c r="M33">
        <f t="array" ref="M33">MEDIAN(IF($C$3:$C$29=$C33,M$3:M$29,""))</f>
        <v>22.15</v>
      </c>
      <c r="N33">
        <f t="array" ref="N33">MEDIAN(IF($C$3:$C$29=$C33,N$3:N$29,""))</f>
        <v>23.9</v>
      </c>
      <c r="O33">
        <f t="array" ref="O33">MEDIAN(IF($C$3:$C$29=$C33,O$3:O$29,""))</f>
        <v>25.6</v>
      </c>
      <c r="P33">
        <f t="array" ref="P33">MEDIAN(IF($C$3:$C$29=$C33,P$3:P$29,""))</f>
        <v>20.65</v>
      </c>
      <c r="Q33">
        <f t="array" ref="Q33">MEDIAN(IF($C$3:$C$29=$C33,Q$3:Q$29,""))</f>
        <v>28.65</v>
      </c>
      <c r="R33">
        <f t="array" ref="R33">MEDIAN(IF($C$3:$C$29=$C33,R$3:R$29,""))</f>
        <v>22.9</v>
      </c>
      <c r="S33">
        <f t="array" ref="S33">MEDIAN(IF($C$3:$C$29=$C33,S$3:S$29,""))</f>
        <v>29.5</v>
      </c>
      <c r="T33">
        <f t="array" ref="T33">MEDIAN(IF($C$3:$C$29=$C33,T$3:T$29,""))</f>
        <v>25.35</v>
      </c>
      <c r="U33">
        <f t="array" ref="U33">MEDIAN(IF($C$3:$C$29=$C33,U$3:U$29,""))</f>
        <v>21.6</v>
      </c>
      <c r="V33">
        <f t="array" ref="V33">MEDIAN(IF($C$3:$C$29=$C33,V$3:V$29,""))</f>
        <v>17.75</v>
      </c>
      <c r="W33">
        <f t="array" ref="W33">MEDIAN(IF($C$3:$C$29=$C33,W$3:W$29,""))</f>
        <v>22.55</v>
      </c>
      <c r="X33">
        <f t="array" ref="X33">MEDIAN(IF($C$3:$C$29=$C33,X$3:X$29,""))</f>
        <v>22.85</v>
      </c>
      <c r="Y33">
        <f t="array" ref="Y33">MEDIAN(IF($C$3:$C$29=$C33,Y$3:Y$29,""))</f>
        <v>27.799999999999997</v>
      </c>
      <c r="Z33">
        <f t="array" ref="Z33">MEDIAN(IF($C$3:$C$29=$C33,Z$3:Z$29,""))</f>
        <v>23.15</v>
      </c>
      <c r="AA33">
        <f t="array" ref="AA33">MEDIAN(IF($C$3:$C$29=$C33,AA$3:AA$29,""))</f>
        <v>28.3</v>
      </c>
    </row>
    <row r="34" spans="3:27" x14ac:dyDescent="0.25">
      <c r="C34">
        <v>4</v>
      </c>
      <c r="D34">
        <f t="array" ref="D34">MEDIAN(IF($C$3:$C$29=$C34,D$3:D$29,""))</f>
        <v>31.450000000000003</v>
      </c>
      <c r="E34">
        <f t="array" ref="E34">MEDIAN(IF($C$3:$C$29=$C34,E$3:E$29,""))</f>
        <v>37.950000000000003</v>
      </c>
      <c r="F34">
        <f t="array" ref="F34">MEDIAN(IF($C$3:$C$29=$C34,F$3:F$29,""))</f>
        <v>39.450000000000003</v>
      </c>
      <c r="G34">
        <f t="array" ref="G34">MEDIAN(IF($C$3:$C$29=$C34,G$3:G$29,""))</f>
        <v>38.549999999999997</v>
      </c>
      <c r="H34">
        <f t="array" ref="H34">MEDIAN(IF($C$3:$C$29=$C34,H$3:H$29,""))</f>
        <v>33.099999999999994</v>
      </c>
      <c r="I34">
        <f t="array" ref="I34">MEDIAN(IF($C$3:$C$29=$C34,I$3:I$29,""))</f>
        <v>33.200000000000003</v>
      </c>
      <c r="J34">
        <f t="array" ref="J34">MEDIAN(IF($C$3:$C$29=$C34,J$3:J$29,""))</f>
        <v>22.1</v>
      </c>
      <c r="K34">
        <f t="array" ref="K34">MEDIAN(IF($C$3:$C$29=$C34,K$3:K$29,""))</f>
        <v>19.700000000000003</v>
      </c>
      <c r="L34">
        <f t="array" ref="L34">MEDIAN(IF($C$3:$C$29=$C34,L$3:L$29,""))</f>
        <v>21.6</v>
      </c>
      <c r="M34">
        <f t="array" ref="M34">MEDIAN(IF($C$3:$C$29=$C34,M$3:M$29,""))</f>
        <v>26.5</v>
      </c>
      <c r="N34">
        <f t="array" ref="N34">MEDIAN(IF($C$3:$C$29=$C34,N$3:N$29,""))</f>
        <v>18.3</v>
      </c>
      <c r="O34">
        <f t="array" ref="O34">MEDIAN(IF($C$3:$C$29=$C34,O$3:O$29,""))</f>
        <v>22.9</v>
      </c>
      <c r="P34">
        <f t="array" ref="P34">MEDIAN(IF($C$3:$C$29=$C34,P$3:P$29,""))</f>
        <v>23.5</v>
      </c>
      <c r="Q34">
        <f t="array" ref="Q34">MEDIAN(IF($C$3:$C$29=$C34,Q$3:Q$29,""))</f>
        <v>21.65</v>
      </c>
      <c r="R34">
        <f t="array" ref="R34">MEDIAN(IF($C$3:$C$29=$C34,R$3:R$29,""))</f>
        <v>25.85</v>
      </c>
      <c r="S34">
        <f t="array" ref="S34">MEDIAN(IF($C$3:$C$29=$C34,S$3:S$29,""))</f>
        <v>21.25</v>
      </c>
      <c r="T34">
        <f t="array" ref="T34">MEDIAN(IF($C$3:$C$29=$C34,T$3:T$29,""))</f>
        <v>21.55</v>
      </c>
      <c r="U34">
        <f t="array" ref="U34">MEDIAN(IF($C$3:$C$29=$C34,U$3:U$29,""))</f>
        <v>21.05</v>
      </c>
      <c r="V34">
        <f t="array" ref="V34">MEDIAN(IF($C$3:$C$29=$C34,V$3:V$29,""))</f>
        <v>20.5</v>
      </c>
      <c r="W34">
        <f t="array" ref="W34">MEDIAN(IF($C$3:$C$29=$C34,W$3:W$29,""))</f>
        <v>19.100000000000001</v>
      </c>
      <c r="X34">
        <f t="array" ref="X34">MEDIAN(IF($C$3:$C$29=$C34,X$3:X$29,""))</f>
        <v>23.85</v>
      </c>
      <c r="Y34">
        <f t="array" ref="Y34">MEDIAN(IF($C$3:$C$29=$C34,Y$3:Y$29,""))</f>
        <v>21.55</v>
      </c>
      <c r="Z34">
        <f t="array" ref="Z34">MEDIAN(IF($C$3:$C$29=$C34,Z$3:Z$29,""))</f>
        <v>27.8</v>
      </c>
      <c r="AA34">
        <f t="array" ref="AA34">MEDIAN(IF($C$3:$C$29=$C34,AA$3:AA$29,""))</f>
        <v>33.799999999999997</v>
      </c>
    </row>
    <row r="35" spans="3:27" x14ac:dyDescent="0.25">
      <c r="C35">
        <v>5</v>
      </c>
      <c r="D35">
        <f t="array" ref="D35">MEDIAN(IF($C$3:$C$29=$C35,D$3:D$29,""))</f>
        <v>34.099999999999994</v>
      </c>
      <c r="E35">
        <f t="array" ref="E35">MEDIAN(IF($C$3:$C$29=$C35,E$3:E$29,""))</f>
        <v>40.25</v>
      </c>
      <c r="F35">
        <f t="array" ref="F35">MEDIAN(IF($C$3:$C$29=$C35,F$3:F$29,""))</f>
        <v>37.25</v>
      </c>
      <c r="G35">
        <f t="array" ref="G35">MEDIAN(IF($C$3:$C$29=$C35,G$3:G$29,""))</f>
        <v>38.099999999999994</v>
      </c>
      <c r="H35">
        <f t="array" ref="H35">MEDIAN(IF($C$3:$C$29=$C35,H$3:H$29,""))</f>
        <v>34.700000000000003</v>
      </c>
      <c r="I35">
        <f t="array" ref="I35">MEDIAN(IF($C$3:$C$29=$C35,I$3:I$29,""))</f>
        <v>31.1</v>
      </c>
      <c r="J35">
        <f t="array" ref="J35">MEDIAN(IF($C$3:$C$29=$C35,J$3:J$29,""))</f>
        <v>29.799999999999997</v>
      </c>
      <c r="K35">
        <f t="array" ref="K35">MEDIAN(IF($C$3:$C$29=$C35,K$3:K$29,""))</f>
        <v>16.649999999999999</v>
      </c>
      <c r="L35">
        <f t="array" ref="L35">MEDIAN(IF($C$3:$C$29=$C35,L$3:L$29,""))</f>
        <v>19.5</v>
      </c>
      <c r="M35">
        <f t="array" ref="M35">MEDIAN(IF($C$3:$C$29=$C35,M$3:M$29,""))</f>
        <v>18.95</v>
      </c>
      <c r="N35">
        <f t="array" ref="N35">MEDIAN(IF($C$3:$C$29=$C35,N$3:N$29,""))</f>
        <v>23.299999999999997</v>
      </c>
      <c r="O35">
        <f t="array" ref="O35">MEDIAN(IF($C$3:$C$29=$C35,O$3:O$29,""))</f>
        <v>25.05</v>
      </c>
      <c r="P35">
        <f t="array" ref="P35">MEDIAN(IF($C$3:$C$29=$C35,P$3:P$29,""))</f>
        <v>23</v>
      </c>
      <c r="Q35">
        <f t="array" ref="Q35">MEDIAN(IF($C$3:$C$29=$C35,Q$3:Q$29,""))</f>
        <v>21.35</v>
      </c>
      <c r="R35">
        <f t="array" ref="R35">MEDIAN(IF($C$3:$C$29=$C35,R$3:R$29,""))</f>
        <v>21.15</v>
      </c>
      <c r="S35">
        <f t="array" ref="S35">MEDIAN(IF($C$3:$C$29=$C35,S$3:S$29,""))</f>
        <v>24.799999999999997</v>
      </c>
      <c r="T35">
        <f t="array" ref="T35">MEDIAN(IF($C$3:$C$29=$C35,T$3:T$29,""))</f>
        <v>20.75</v>
      </c>
      <c r="U35">
        <f t="array" ref="U35">MEDIAN(IF($C$3:$C$29=$C35,U$3:U$29,""))</f>
        <v>21.700000000000003</v>
      </c>
      <c r="V35">
        <f t="array" ref="V35">MEDIAN(IF($C$3:$C$29=$C35,V$3:V$29,""))</f>
        <v>17.700000000000003</v>
      </c>
      <c r="W35">
        <f t="array" ref="W35">MEDIAN(IF($C$3:$C$29=$C35,W$3:W$29,""))</f>
        <v>27.25</v>
      </c>
      <c r="X35">
        <f t="array" ref="X35">MEDIAN(IF($C$3:$C$29=$C35,X$3:X$29,""))</f>
        <v>24.85</v>
      </c>
      <c r="Y35">
        <f t="array" ref="Y35">MEDIAN(IF($C$3:$C$29=$C35,Y$3:Y$29,""))</f>
        <v>28.3</v>
      </c>
      <c r="Z35">
        <f t="array" ref="Z35">MEDIAN(IF($C$3:$C$29=$C35,Z$3:Z$29,""))</f>
        <v>26.35</v>
      </c>
      <c r="AA35">
        <f t="array" ref="AA35">MEDIAN(IF($C$3:$C$29=$C35,AA$3:AA$29,""))</f>
        <v>28.75</v>
      </c>
    </row>
    <row r="36" spans="3:27" x14ac:dyDescent="0.25">
      <c r="C36">
        <v>6</v>
      </c>
      <c r="D36">
        <f t="array" ref="D36">MEDIAN(IF($C$3:$C$29=$C36,D$3:D$29,""))</f>
        <v>31.9</v>
      </c>
      <c r="E36">
        <f t="array" ref="E36">MEDIAN(IF($C$3:$C$29=$C36,E$3:E$29,""))</f>
        <v>31.1</v>
      </c>
      <c r="F36">
        <f t="array" ref="F36">MEDIAN(IF($C$3:$C$29=$C36,F$3:F$29,""))</f>
        <v>39.4</v>
      </c>
      <c r="G36">
        <f t="array" ref="G36">MEDIAN(IF($C$3:$C$29=$C36,G$3:G$29,""))</f>
        <v>37.5</v>
      </c>
      <c r="H36">
        <f t="array" ref="H36">MEDIAN(IF($C$3:$C$29=$C36,H$3:H$29,""))</f>
        <v>33.4</v>
      </c>
      <c r="I36">
        <f t="array" ref="I36">MEDIAN(IF($C$3:$C$29=$C36,I$3:I$29,""))</f>
        <v>31.4</v>
      </c>
      <c r="J36">
        <f t="array" ref="J36">MEDIAN(IF($C$3:$C$29=$C36,J$3:J$29,""))</f>
        <v>28.4</v>
      </c>
      <c r="K36">
        <f t="array" ref="K36">MEDIAN(IF($C$3:$C$29=$C36,K$3:K$29,""))</f>
        <v>20.8</v>
      </c>
      <c r="L36">
        <f t="array" ref="L36">MEDIAN(IF($C$3:$C$29=$C36,L$3:L$29,""))</f>
        <v>24.3</v>
      </c>
      <c r="M36">
        <f t="array" ref="M36">MEDIAN(IF($C$3:$C$29=$C36,M$3:M$29,""))</f>
        <v>26.2</v>
      </c>
      <c r="N36">
        <f t="array" ref="N36">MEDIAN(IF($C$3:$C$29=$C36,N$3:N$29,""))</f>
        <v>24.3</v>
      </c>
      <c r="O36">
        <f t="array" ref="O36">MEDIAN(IF($C$3:$C$29=$C36,O$3:O$29,""))</f>
        <v>23.3</v>
      </c>
      <c r="P36">
        <f t="array" ref="P36">MEDIAN(IF($C$3:$C$29=$C36,P$3:P$29,""))</f>
        <v>31.8</v>
      </c>
      <c r="Q36">
        <f t="array" ref="Q36">MEDIAN(IF($C$3:$C$29=$C36,Q$3:Q$29,""))</f>
        <v>25</v>
      </c>
      <c r="R36">
        <f t="array" ref="R36">MEDIAN(IF($C$3:$C$29=$C36,R$3:R$29,""))</f>
        <v>20.7</v>
      </c>
      <c r="S36">
        <f t="array" ref="S36">MEDIAN(IF($C$3:$C$29=$C36,S$3:S$29,""))</f>
        <v>24.8</v>
      </c>
      <c r="T36">
        <f t="array" ref="T36">MEDIAN(IF($C$3:$C$29=$C36,T$3:T$29,""))</f>
        <v>23.9</v>
      </c>
      <c r="U36">
        <f t="array" ref="U36">MEDIAN(IF($C$3:$C$29=$C36,U$3:U$29,""))</f>
        <v>23.5</v>
      </c>
      <c r="V36">
        <f t="array" ref="V36">MEDIAN(IF($C$3:$C$29=$C36,V$3:V$29,""))</f>
        <v>16.8</v>
      </c>
      <c r="W36">
        <f t="array" ref="W36">MEDIAN(IF($C$3:$C$29=$C36,W$3:W$29,""))</f>
        <v>19.600000000000001</v>
      </c>
      <c r="X36">
        <f t="array" ref="X36">MEDIAN(IF($C$3:$C$29=$C36,X$3:X$29,""))</f>
        <v>38.6</v>
      </c>
      <c r="Y36">
        <f t="array" ref="Y36">MEDIAN(IF($C$3:$C$29=$C36,Y$3:Y$29,""))</f>
        <v>23.8</v>
      </c>
      <c r="Z36">
        <f t="array" ref="Z36">MEDIAN(IF($C$3:$C$29=$C36,Z$3:Z$29,""))</f>
        <v>25.9</v>
      </c>
      <c r="AA36">
        <f t="array" ref="AA36">MEDIAN(IF($C$3:$C$29=$C36,AA$3:AA$29,""))</f>
        <v>27.2</v>
      </c>
    </row>
    <row r="37" spans="3:27" x14ac:dyDescent="0.25">
      <c r="C37">
        <v>7</v>
      </c>
      <c r="D37">
        <f t="array" ref="D37">MEDIAN(IF($C$3:$C$29=$C37,D$3:D$29,""))</f>
        <v>34.6</v>
      </c>
      <c r="E37">
        <f t="array" ref="E37">MEDIAN(IF($C$3:$C$29=$C37,E$3:E$29,""))</f>
        <v>38.950000000000003</v>
      </c>
      <c r="F37">
        <f t="array" ref="F37">MEDIAN(IF($C$3:$C$29=$C37,F$3:F$29,""))</f>
        <v>37.349999999999994</v>
      </c>
      <c r="G37">
        <f t="array" ref="G37">MEDIAN(IF($C$3:$C$29=$C37,G$3:G$29,""))</f>
        <v>40.200000000000003</v>
      </c>
      <c r="H37">
        <f t="array" ref="H37">MEDIAN(IF($C$3:$C$29=$C37,H$3:H$29,""))</f>
        <v>33.85</v>
      </c>
      <c r="I37">
        <f t="array" ref="I37">MEDIAN(IF($C$3:$C$29=$C37,I$3:I$29,""))</f>
        <v>34.1</v>
      </c>
      <c r="J37">
        <f t="array" ref="J37">MEDIAN(IF($C$3:$C$29=$C37,J$3:J$29,""))</f>
        <v>29.549999999999997</v>
      </c>
      <c r="K37">
        <f t="array" ref="K37">MEDIAN(IF($C$3:$C$29=$C37,K$3:K$29,""))</f>
        <v>22.85</v>
      </c>
      <c r="L37">
        <f t="array" ref="L37">MEDIAN(IF($C$3:$C$29=$C37,L$3:L$29,""))</f>
        <v>20.7</v>
      </c>
      <c r="M37">
        <f t="array" ref="M37">MEDIAN(IF($C$3:$C$29=$C37,M$3:M$29,""))</f>
        <v>25.700000000000003</v>
      </c>
      <c r="N37">
        <f t="array" ref="N37">MEDIAN(IF($C$3:$C$29=$C37,N$3:N$29,""))</f>
        <v>23.549999999999997</v>
      </c>
      <c r="O37">
        <f t="array" ref="O37">MEDIAN(IF($C$3:$C$29=$C37,O$3:O$29,""))</f>
        <v>21.65</v>
      </c>
      <c r="P37">
        <f t="array" ref="P37">MEDIAN(IF($C$3:$C$29=$C37,P$3:P$29,""))</f>
        <v>21.4</v>
      </c>
      <c r="Q37">
        <f t="array" ref="Q37">MEDIAN(IF($C$3:$C$29=$C37,Q$3:Q$29,""))</f>
        <v>23.450000000000003</v>
      </c>
      <c r="R37">
        <f t="array" ref="R37">MEDIAN(IF($C$3:$C$29=$C37,R$3:R$29,""))</f>
        <v>25.65</v>
      </c>
      <c r="S37">
        <f t="array" ref="S37">MEDIAN(IF($C$3:$C$29=$C37,S$3:S$29,""))</f>
        <v>26.1</v>
      </c>
      <c r="T37">
        <f t="array" ref="T37">MEDIAN(IF($C$3:$C$29=$C37,T$3:T$29,""))</f>
        <v>23.799999999999997</v>
      </c>
      <c r="U37">
        <f t="array" ref="U37">MEDIAN(IF($C$3:$C$29=$C37,U$3:U$29,""))</f>
        <v>24.55</v>
      </c>
      <c r="V37">
        <f t="array" ref="V37">MEDIAN(IF($C$3:$C$29=$C37,V$3:V$29,""))</f>
        <v>17.700000000000003</v>
      </c>
      <c r="W37">
        <f t="array" ref="W37">MEDIAN(IF($C$3:$C$29=$C37,W$3:W$29,""))</f>
        <v>18.049999999999997</v>
      </c>
      <c r="X37">
        <f t="array" ref="X37">MEDIAN(IF($C$3:$C$29=$C37,X$3:X$29,""))</f>
        <v>26.75</v>
      </c>
      <c r="Y37">
        <f t="array" ref="Y37">MEDIAN(IF($C$3:$C$29=$C37,Y$3:Y$29,""))</f>
        <v>24.35</v>
      </c>
      <c r="Z37">
        <f t="array" ref="Z37">MEDIAN(IF($C$3:$C$29=$C37,Z$3:Z$29,""))</f>
        <v>22.25</v>
      </c>
      <c r="AA37">
        <f t="array" ref="AA37">MEDIAN(IF($C$3:$C$29=$C37,AA$3:AA$29,""))</f>
        <v>26.65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7"/>
  <dimension ref="A1:AA37"/>
  <sheetViews>
    <sheetView workbookViewId="0">
      <selection activeCell="G31" sqref="G31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30.8</v>
      </c>
      <c r="E3">
        <v>27.3</v>
      </c>
      <c r="F3">
        <v>37.200000000000003</v>
      </c>
      <c r="G3">
        <v>28.8</v>
      </c>
      <c r="H3">
        <v>24.8</v>
      </c>
      <c r="I3">
        <v>26</v>
      </c>
      <c r="J3">
        <v>25.9</v>
      </c>
      <c r="K3">
        <v>15.7</v>
      </c>
      <c r="L3">
        <v>14.3</v>
      </c>
      <c r="M3">
        <v>17</v>
      </c>
      <c r="N3">
        <v>13.5</v>
      </c>
      <c r="O3">
        <v>20.5</v>
      </c>
      <c r="P3">
        <v>20.399999999999999</v>
      </c>
      <c r="Q3">
        <v>16.8</v>
      </c>
      <c r="R3">
        <v>26.8</v>
      </c>
      <c r="S3">
        <v>23.6</v>
      </c>
      <c r="T3">
        <v>18.8</v>
      </c>
      <c r="U3">
        <v>22.8</v>
      </c>
      <c r="V3">
        <v>15.3</v>
      </c>
      <c r="W3">
        <v>16.899999999999999</v>
      </c>
      <c r="X3">
        <v>17.100000000000001</v>
      </c>
      <c r="Y3">
        <v>19.899999999999999</v>
      </c>
      <c r="Z3">
        <v>25.8</v>
      </c>
      <c r="AA3">
        <v>24.2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29.8</v>
      </c>
      <c r="E4">
        <v>29.8</v>
      </c>
      <c r="F4">
        <v>38.299999999999997</v>
      </c>
      <c r="G4">
        <v>30.5</v>
      </c>
      <c r="H4">
        <v>28.9</v>
      </c>
      <c r="I4">
        <v>31.1</v>
      </c>
      <c r="J4">
        <v>27.6</v>
      </c>
      <c r="K4">
        <v>19.399999999999999</v>
      </c>
      <c r="L4">
        <v>25.3</v>
      </c>
      <c r="M4">
        <v>21.3</v>
      </c>
      <c r="N4">
        <v>27.2</v>
      </c>
      <c r="O4">
        <v>17.399999999999999</v>
      </c>
      <c r="P4">
        <v>21.9</v>
      </c>
      <c r="Q4">
        <v>21.7</v>
      </c>
      <c r="R4">
        <v>22.4</v>
      </c>
      <c r="S4">
        <v>23.9</v>
      </c>
      <c r="T4">
        <v>24.4</v>
      </c>
      <c r="U4">
        <v>21.3</v>
      </c>
      <c r="V4">
        <v>21.2</v>
      </c>
      <c r="W4">
        <v>19.7</v>
      </c>
      <c r="X4">
        <v>24.6</v>
      </c>
      <c r="Y4">
        <v>17.899999999999999</v>
      </c>
      <c r="Z4">
        <v>25.5</v>
      </c>
      <c r="AA4">
        <v>30.7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29.4</v>
      </c>
      <c r="E5">
        <v>32.6</v>
      </c>
      <c r="F5">
        <v>26.7</v>
      </c>
      <c r="G5">
        <v>31.3</v>
      </c>
      <c r="H5">
        <v>32</v>
      </c>
      <c r="I5">
        <v>28.6</v>
      </c>
      <c r="J5">
        <v>25.7</v>
      </c>
      <c r="K5">
        <v>25.2</v>
      </c>
      <c r="L5">
        <v>31.7</v>
      </c>
      <c r="M5">
        <v>26.3</v>
      </c>
      <c r="N5">
        <v>22.8</v>
      </c>
      <c r="O5">
        <v>19.399999999999999</v>
      </c>
      <c r="P5">
        <v>22.1</v>
      </c>
      <c r="Q5">
        <v>20.5</v>
      </c>
      <c r="R5">
        <v>22.2</v>
      </c>
      <c r="S5">
        <v>16.2</v>
      </c>
      <c r="T5">
        <v>31.3</v>
      </c>
      <c r="U5">
        <v>14.4</v>
      </c>
      <c r="V5">
        <v>20</v>
      </c>
      <c r="W5">
        <v>21.4</v>
      </c>
      <c r="X5">
        <v>25.8</v>
      </c>
      <c r="Y5">
        <v>23.9</v>
      </c>
      <c r="Z5">
        <v>21.2</v>
      </c>
      <c r="AA5">
        <v>22.8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26.9</v>
      </c>
      <c r="E6">
        <v>36</v>
      </c>
      <c r="F6">
        <v>30.8</v>
      </c>
      <c r="G6">
        <v>33.6</v>
      </c>
      <c r="H6">
        <v>29.4</v>
      </c>
      <c r="I6">
        <v>26.9</v>
      </c>
      <c r="J6">
        <v>19.899999999999999</v>
      </c>
      <c r="K6">
        <v>27</v>
      </c>
      <c r="L6">
        <v>15.8</v>
      </c>
      <c r="M6">
        <v>11.9</v>
      </c>
      <c r="N6">
        <v>19.3</v>
      </c>
      <c r="O6">
        <v>19.2</v>
      </c>
      <c r="P6">
        <v>19.7</v>
      </c>
      <c r="Q6">
        <v>25.1</v>
      </c>
      <c r="R6">
        <v>20.3</v>
      </c>
      <c r="S6">
        <v>18.7</v>
      </c>
      <c r="T6">
        <v>24.7</v>
      </c>
      <c r="U6">
        <v>16.3</v>
      </c>
      <c r="V6">
        <v>13.8</v>
      </c>
      <c r="W6">
        <v>21.5</v>
      </c>
      <c r="X6">
        <v>17.600000000000001</v>
      </c>
      <c r="Y6">
        <v>24.2</v>
      </c>
      <c r="Z6">
        <v>23</v>
      </c>
      <c r="AA6">
        <v>23.4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26.6</v>
      </c>
      <c r="E7">
        <v>29.9</v>
      </c>
      <c r="F7">
        <v>30.7</v>
      </c>
      <c r="G7">
        <v>33</v>
      </c>
      <c r="H7">
        <v>30.7</v>
      </c>
      <c r="I7">
        <v>28.3</v>
      </c>
      <c r="J7">
        <v>19.2</v>
      </c>
      <c r="K7">
        <v>17.2</v>
      </c>
      <c r="L7">
        <v>16.100000000000001</v>
      </c>
      <c r="M7">
        <v>10.199999999999999</v>
      </c>
      <c r="N7">
        <v>16.5</v>
      </c>
      <c r="O7">
        <v>26.5</v>
      </c>
      <c r="P7">
        <v>20.6</v>
      </c>
      <c r="Q7">
        <v>16.899999999999999</v>
      </c>
      <c r="R7">
        <v>19.600000000000001</v>
      </c>
      <c r="S7">
        <v>20</v>
      </c>
      <c r="T7">
        <v>21.1</v>
      </c>
      <c r="U7">
        <v>15.9</v>
      </c>
      <c r="V7">
        <v>15.9</v>
      </c>
      <c r="W7">
        <v>17.600000000000001</v>
      </c>
      <c r="X7">
        <v>28.2</v>
      </c>
      <c r="Y7">
        <v>21.7</v>
      </c>
      <c r="Z7">
        <v>23</v>
      </c>
      <c r="AA7">
        <v>29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28.9</v>
      </c>
      <c r="E8">
        <v>31.6</v>
      </c>
      <c r="F8">
        <v>29.7</v>
      </c>
      <c r="G8">
        <v>36</v>
      </c>
      <c r="H8">
        <v>31</v>
      </c>
      <c r="I8">
        <v>31.9</v>
      </c>
      <c r="J8">
        <v>20.8</v>
      </c>
      <c r="K8">
        <v>18.7</v>
      </c>
      <c r="L8">
        <v>15.1</v>
      </c>
      <c r="M8">
        <v>14.7</v>
      </c>
      <c r="N8">
        <v>18.8</v>
      </c>
      <c r="O8">
        <v>16.100000000000001</v>
      </c>
      <c r="Q8">
        <v>19.8</v>
      </c>
      <c r="R8">
        <v>21.2</v>
      </c>
      <c r="S8">
        <v>17.8</v>
      </c>
      <c r="T8">
        <v>20</v>
      </c>
      <c r="U8">
        <v>18.100000000000001</v>
      </c>
      <c r="V8">
        <v>18.600000000000001</v>
      </c>
      <c r="W8">
        <v>22.5</v>
      </c>
      <c r="X8">
        <v>15.6</v>
      </c>
      <c r="Y8">
        <v>28.4</v>
      </c>
      <c r="Z8">
        <v>26.3</v>
      </c>
      <c r="AA8">
        <v>23.1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28.5</v>
      </c>
      <c r="E9">
        <v>41.9</v>
      </c>
      <c r="F9">
        <v>35.5</v>
      </c>
      <c r="G9">
        <v>33.9</v>
      </c>
      <c r="H9">
        <v>29.8</v>
      </c>
      <c r="I9">
        <v>29.4</v>
      </c>
      <c r="J9">
        <v>21.1</v>
      </c>
      <c r="K9">
        <v>14.8</v>
      </c>
      <c r="L9">
        <v>11</v>
      </c>
      <c r="M9">
        <v>16.899999999999999</v>
      </c>
      <c r="N9">
        <v>19</v>
      </c>
      <c r="O9">
        <v>22.2</v>
      </c>
      <c r="P9">
        <v>23.5</v>
      </c>
      <c r="Q9">
        <v>28.2</v>
      </c>
      <c r="R9">
        <v>18.5</v>
      </c>
      <c r="S9">
        <v>22.2</v>
      </c>
      <c r="T9">
        <v>17.100000000000001</v>
      </c>
      <c r="U9">
        <v>20.6</v>
      </c>
      <c r="V9">
        <v>13.9</v>
      </c>
      <c r="W9">
        <v>18.2</v>
      </c>
      <c r="X9">
        <v>26.9</v>
      </c>
      <c r="Y9">
        <v>22.6</v>
      </c>
      <c r="Z9">
        <v>23.3</v>
      </c>
      <c r="AA9">
        <v>25.3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29.6</v>
      </c>
      <c r="E10">
        <v>38.4</v>
      </c>
      <c r="F10">
        <v>30.1</v>
      </c>
      <c r="G10">
        <v>29.6</v>
      </c>
      <c r="H10">
        <v>34.5</v>
      </c>
      <c r="I10">
        <v>26.4</v>
      </c>
      <c r="J10">
        <v>25.6</v>
      </c>
      <c r="K10">
        <v>16.100000000000001</v>
      </c>
      <c r="L10">
        <v>14.8</v>
      </c>
      <c r="M10">
        <v>18.2</v>
      </c>
      <c r="N10">
        <v>18.899999999999999</v>
      </c>
      <c r="O10">
        <v>19.2</v>
      </c>
      <c r="P10">
        <v>20</v>
      </c>
      <c r="Q10">
        <v>20.3</v>
      </c>
      <c r="R10">
        <v>23.7</v>
      </c>
      <c r="S10">
        <v>30.2</v>
      </c>
      <c r="T10">
        <v>22.5</v>
      </c>
      <c r="U10">
        <v>17.399999999999999</v>
      </c>
      <c r="V10">
        <v>14.9</v>
      </c>
      <c r="W10">
        <v>19.3</v>
      </c>
      <c r="X10">
        <v>20.7</v>
      </c>
      <c r="Y10">
        <v>21.4</v>
      </c>
      <c r="Z10">
        <v>19.3</v>
      </c>
      <c r="AA10">
        <v>24.3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23.4</v>
      </c>
      <c r="E11">
        <v>32.6</v>
      </c>
      <c r="F11">
        <v>29.8</v>
      </c>
      <c r="G11">
        <v>30.4</v>
      </c>
      <c r="H11">
        <v>33.5</v>
      </c>
      <c r="I11">
        <v>28.4</v>
      </c>
      <c r="J11">
        <v>27.2</v>
      </c>
      <c r="K11">
        <v>29.9</v>
      </c>
      <c r="L11">
        <v>25</v>
      </c>
      <c r="M11">
        <v>21.1</v>
      </c>
      <c r="N11">
        <v>19.899999999999999</v>
      </c>
      <c r="O11">
        <v>21.2</v>
      </c>
      <c r="P11">
        <v>11.5</v>
      </c>
      <c r="Q11">
        <v>21.4</v>
      </c>
      <c r="R11">
        <v>18.899999999999999</v>
      </c>
      <c r="S11">
        <v>24.9</v>
      </c>
      <c r="T11">
        <v>23</v>
      </c>
      <c r="U11">
        <v>18</v>
      </c>
      <c r="V11">
        <v>20.6</v>
      </c>
      <c r="W11">
        <v>22.2</v>
      </c>
      <c r="X11">
        <v>16.2</v>
      </c>
      <c r="Y11">
        <v>23.7</v>
      </c>
      <c r="Z11">
        <v>21.1</v>
      </c>
      <c r="AA11">
        <v>27.4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26.7</v>
      </c>
      <c r="E12">
        <v>38.700000000000003</v>
      </c>
      <c r="F12">
        <v>27.3</v>
      </c>
      <c r="G12">
        <v>28.5</v>
      </c>
      <c r="H12">
        <v>30.2</v>
      </c>
      <c r="I12">
        <v>26.1</v>
      </c>
      <c r="J12">
        <v>26</v>
      </c>
      <c r="K12">
        <v>25.4</v>
      </c>
      <c r="L12">
        <v>24.5</v>
      </c>
      <c r="M12">
        <v>21.5</v>
      </c>
      <c r="N12">
        <v>20.9</v>
      </c>
      <c r="O12">
        <v>26.1</v>
      </c>
      <c r="P12">
        <v>20</v>
      </c>
      <c r="Q12">
        <v>19.899999999999999</v>
      </c>
      <c r="R12">
        <v>20</v>
      </c>
      <c r="S12">
        <v>25.2</v>
      </c>
      <c r="T12">
        <v>28.8</v>
      </c>
      <c r="U12">
        <v>26.1</v>
      </c>
      <c r="V12">
        <v>16.899999999999999</v>
      </c>
      <c r="W12">
        <v>18.399999999999999</v>
      </c>
      <c r="X12">
        <v>17.8</v>
      </c>
      <c r="Y12">
        <v>19.7</v>
      </c>
      <c r="Z12">
        <v>28</v>
      </c>
      <c r="AA12">
        <v>26.2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26.4</v>
      </c>
      <c r="E13">
        <v>36</v>
      </c>
      <c r="F13">
        <v>29.9</v>
      </c>
      <c r="G13">
        <v>33.4</v>
      </c>
      <c r="H13">
        <v>33.9</v>
      </c>
      <c r="I13">
        <v>26.6</v>
      </c>
      <c r="J13">
        <v>20.7</v>
      </c>
      <c r="K13">
        <v>16</v>
      </c>
      <c r="L13">
        <v>10.7</v>
      </c>
      <c r="M13">
        <v>19.3</v>
      </c>
      <c r="N13">
        <v>16.399999999999999</v>
      </c>
      <c r="O13">
        <v>19.7</v>
      </c>
      <c r="P13">
        <v>22.2</v>
      </c>
      <c r="Q13">
        <v>18.5</v>
      </c>
      <c r="R13">
        <v>23.8</v>
      </c>
      <c r="S13">
        <v>18.8</v>
      </c>
      <c r="T13">
        <v>30.3</v>
      </c>
      <c r="U13">
        <v>25.6</v>
      </c>
      <c r="V13">
        <v>19.600000000000001</v>
      </c>
      <c r="W13">
        <v>14.3</v>
      </c>
      <c r="X13">
        <v>18.899999999999999</v>
      </c>
      <c r="Y13">
        <v>23.5</v>
      </c>
      <c r="Z13">
        <v>23</v>
      </c>
      <c r="AA13">
        <v>23.3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27</v>
      </c>
      <c r="E14">
        <v>27.6</v>
      </c>
      <c r="F14">
        <v>43</v>
      </c>
      <c r="G14">
        <v>35.799999999999997</v>
      </c>
      <c r="H14">
        <v>27.4</v>
      </c>
      <c r="I14">
        <v>28.6</v>
      </c>
      <c r="J14">
        <v>28.3</v>
      </c>
      <c r="K14">
        <v>17.3</v>
      </c>
      <c r="L14">
        <v>14</v>
      </c>
      <c r="M14">
        <v>15.5</v>
      </c>
      <c r="N14">
        <v>20.399999999999999</v>
      </c>
      <c r="O14">
        <v>20.2</v>
      </c>
      <c r="P14">
        <v>21.2</v>
      </c>
      <c r="Q14">
        <v>23.1</v>
      </c>
      <c r="R14">
        <v>17.2</v>
      </c>
      <c r="S14">
        <v>18.399999999999999</v>
      </c>
      <c r="T14">
        <v>18.8</v>
      </c>
      <c r="U14">
        <v>19.600000000000001</v>
      </c>
      <c r="V14">
        <v>17.5</v>
      </c>
      <c r="W14">
        <v>17.8</v>
      </c>
      <c r="X14">
        <v>25</v>
      </c>
      <c r="Y14">
        <v>16.899999999999999</v>
      </c>
      <c r="Z14">
        <v>24.3</v>
      </c>
      <c r="AA14">
        <v>24.7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26.4</v>
      </c>
      <c r="E15">
        <v>35.799999999999997</v>
      </c>
      <c r="F15">
        <v>33.799999999999997</v>
      </c>
      <c r="G15">
        <v>39</v>
      </c>
      <c r="H15">
        <v>30</v>
      </c>
      <c r="I15">
        <v>25.3</v>
      </c>
      <c r="J15">
        <v>25.2</v>
      </c>
      <c r="K15">
        <v>11.9</v>
      </c>
      <c r="L15">
        <v>8.6999999999999993</v>
      </c>
      <c r="M15">
        <v>16.5</v>
      </c>
      <c r="N15">
        <v>25.3</v>
      </c>
      <c r="O15">
        <v>21.2</v>
      </c>
      <c r="P15">
        <v>19.899999999999999</v>
      </c>
      <c r="Q15">
        <v>9.6999999999999993</v>
      </c>
      <c r="R15">
        <v>17.3</v>
      </c>
      <c r="S15">
        <v>19.5</v>
      </c>
      <c r="T15">
        <v>18.100000000000001</v>
      </c>
      <c r="U15">
        <v>18.8</v>
      </c>
      <c r="V15">
        <v>11.8</v>
      </c>
      <c r="W15">
        <v>15.5</v>
      </c>
      <c r="X15">
        <v>16.3</v>
      </c>
      <c r="Y15">
        <v>24.7</v>
      </c>
      <c r="Z15">
        <v>25.1</v>
      </c>
      <c r="AA15">
        <v>32.200000000000003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28.1</v>
      </c>
      <c r="E16">
        <v>29.1</v>
      </c>
      <c r="F16">
        <v>35.299999999999997</v>
      </c>
      <c r="G16">
        <v>39.200000000000003</v>
      </c>
      <c r="H16">
        <v>28.9</v>
      </c>
      <c r="I16">
        <v>32.799999999999997</v>
      </c>
      <c r="J16">
        <v>23.1</v>
      </c>
      <c r="K16">
        <v>12.6</v>
      </c>
      <c r="L16">
        <v>17.3</v>
      </c>
      <c r="M16">
        <v>18</v>
      </c>
      <c r="N16">
        <v>21.4</v>
      </c>
      <c r="O16">
        <v>16.8</v>
      </c>
      <c r="P16">
        <v>23.7</v>
      </c>
      <c r="Q16">
        <v>16.899999999999999</v>
      </c>
      <c r="R16">
        <v>23.5</v>
      </c>
      <c r="S16">
        <v>22.2</v>
      </c>
      <c r="T16">
        <v>19.3</v>
      </c>
      <c r="U16">
        <v>24.8</v>
      </c>
      <c r="V16">
        <v>16.7</v>
      </c>
      <c r="W16">
        <v>17.100000000000001</v>
      </c>
      <c r="X16">
        <v>21.7</v>
      </c>
      <c r="Y16">
        <v>22.9</v>
      </c>
      <c r="Z16">
        <v>17.100000000000001</v>
      </c>
      <c r="AA16">
        <v>23.1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27.6</v>
      </c>
      <c r="E17">
        <v>27.2</v>
      </c>
      <c r="F17">
        <v>36.4</v>
      </c>
      <c r="G17">
        <v>30</v>
      </c>
      <c r="H17">
        <v>34.4</v>
      </c>
      <c r="I17">
        <v>31.5</v>
      </c>
      <c r="J17">
        <v>22.3</v>
      </c>
      <c r="K17">
        <v>8.1999999999999993</v>
      </c>
      <c r="L17">
        <v>9.8000000000000007</v>
      </c>
      <c r="M17">
        <v>21.4</v>
      </c>
      <c r="N17">
        <v>23.3</v>
      </c>
      <c r="O17">
        <v>19.8</v>
      </c>
      <c r="P17">
        <v>18.7</v>
      </c>
      <c r="Q17">
        <v>20.7</v>
      </c>
      <c r="R17">
        <v>15.8</v>
      </c>
      <c r="S17">
        <v>13.7</v>
      </c>
      <c r="T17">
        <v>15.7</v>
      </c>
      <c r="U17">
        <v>16.100000000000001</v>
      </c>
      <c r="V17">
        <v>14</v>
      </c>
      <c r="W17">
        <v>15.3</v>
      </c>
      <c r="X17">
        <v>19.100000000000001</v>
      </c>
      <c r="Y17">
        <v>15.5</v>
      </c>
      <c r="Z17">
        <v>22.5</v>
      </c>
      <c r="AA17">
        <v>23.2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21.6</v>
      </c>
      <c r="E18">
        <v>35.299999999999997</v>
      </c>
      <c r="F18">
        <v>29</v>
      </c>
      <c r="G18">
        <v>33.700000000000003</v>
      </c>
      <c r="H18">
        <v>28.1</v>
      </c>
      <c r="I18">
        <v>27.9</v>
      </c>
      <c r="J18">
        <v>27.3</v>
      </c>
      <c r="K18">
        <v>18.600000000000001</v>
      </c>
      <c r="L18">
        <v>20</v>
      </c>
      <c r="M18">
        <v>20.6</v>
      </c>
      <c r="N18">
        <v>18.5</v>
      </c>
      <c r="O18">
        <v>17.600000000000001</v>
      </c>
      <c r="P18">
        <v>20.7</v>
      </c>
      <c r="Q18">
        <v>16.100000000000001</v>
      </c>
      <c r="R18">
        <v>24.8</v>
      </c>
      <c r="S18">
        <v>24.1</v>
      </c>
      <c r="T18">
        <v>23.8</v>
      </c>
      <c r="U18">
        <v>14.8</v>
      </c>
      <c r="V18">
        <v>18.600000000000001</v>
      </c>
      <c r="W18">
        <v>16.2</v>
      </c>
      <c r="X18">
        <v>28.1</v>
      </c>
      <c r="Y18">
        <v>18.2</v>
      </c>
      <c r="Z18">
        <v>17.7</v>
      </c>
      <c r="AA18">
        <v>27.7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29</v>
      </c>
      <c r="E19">
        <v>27.3</v>
      </c>
      <c r="F19">
        <v>32.5</v>
      </c>
      <c r="G19">
        <v>34.9</v>
      </c>
      <c r="H19">
        <v>30.1</v>
      </c>
      <c r="I19">
        <v>30.7</v>
      </c>
      <c r="J19">
        <v>23.5</v>
      </c>
      <c r="K19">
        <v>22</v>
      </c>
      <c r="L19">
        <v>29.2</v>
      </c>
      <c r="M19">
        <v>25.3</v>
      </c>
      <c r="N19">
        <v>17.3</v>
      </c>
      <c r="O19">
        <v>17.3</v>
      </c>
      <c r="P19">
        <v>26</v>
      </c>
      <c r="Q19">
        <v>24.5</v>
      </c>
      <c r="R19">
        <v>21.2</v>
      </c>
      <c r="S19">
        <v>18.399999999999999</v>
      </c>
      <c r="T19">
        <v>23.1</v>
      </c>
      <c r="U19">
        <v>22.3</v>
      </c>
      <c r="V19">
        <v>19.2</v>
      </c>
      <c r="W19">
        <v>20.399999999999999</v>
      </c>
      <c r="X19">
        <v>25.3</v>
      </c>
      <c r="Y19">
        <v>22.5</v>
      </c>
      <c r="Z19">
        <v>25.8</v>
      </c>
      <c r="AA19">
        <v>26.6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31.2</v>
      </c>
      <c r="E20">
        <v>36.700000000000003</v>
      </c>
      <c r="F20">
        <v>37.4</v>
      </c>
      <c r="G20">
        <v>27.8</v>
      </c>
      <c r="H20">
        <v>26.6</v>
      </c>
      <c r="I20">
        <v>29.4</v>
      </c>
      <c r="J20">
        <v>19.399999999999999</v>
      </c>
      <c r="K20">
        <v>12.3</v>
      </c>
      <c r="L20">
        <v>9.9</v>
      </c>
      <c r="M20">
        <v>19</v>
      </c>
      <c r="N20">
        <v>19.7</v>
      </c>
      <c r="O20">
        <v>21</v>
      </c>
      <c r="P20">
        <v>22.5</v>
      </c>
      <c r="Q20">
        <v>23.9</v>
      </c>
      <c r="R20">
        <v>19.399999999999999</v>
      </c>
      <c r="S20">
        <v>18</v>
      </c>
      <c r="T20">
        <v>21.3</v>
      </c>
      <c r="U20">
        <v>16.600000000000001</v>
      </c>
      <c r="V20">
        <v>15.5</v>
      </c>
      <c r="W20">
        <v>23.6</v>
      </c>
      <c r="Y20">
        <v>19</v>
      </c>
      <c r="Z20">
        <v>23.2</v>
      </c>
      <c r="AA20">
        <v>26.8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28.3</v>
      </c>
      <c r="E21">
        <v>37.700000000000003</v>
      </c>
      <c r="F21">
        <v>30</v>
      </c>
      <c r="G21">
        <v>22</v>
      </c>
      <c r="H21">
        <v>29.9</v>
      </c>
      <c r="I21">
        <v>25</v>
      </c>
      <c r="J21">
        <v>18.5</v>
      </c>
      <c r="K21">
        <v>12.2</v>
      </c>
      <c r="L21">
        <v>12.5</v>
      </c>
      <c r="M21">
        <v>21.6</v>
      </c>
      <c r="N21">
        <v>15.2</v>
      </c>
      <c r="O21">
        <v>22.4</v>
      </c>
      <c r="P21">
        <v>20.399999999999999</v>
      </c>
      <c r="Q21">
        <v>16.100000000000001</v>
      </c>
      <c r="R21">
        <v>20.399999999999999</v>
      </c>
      <c r="S21">
        <v>20.8</v>
      </c>
      <c r="T21">
        <v>18.2</v>
      </c>
      <c r="U21">
        <v>19.399999999999999</v>
      </c>
      <c r="V21">
        <v>13.6</v>
      </c>
      <c r="W21">
        <v>16.399999999999999</v>
      </c>
      <c r="X21">
        <v>18.600000000000001</v>
      </c>
      <c r="Y21">
        <v>26.6</v>
      </c>
      <c r="Z21">
        <v>21.9</v>
      </c>
      <c r="AA21">
        <v>30.8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29.8</v>
      </c>
      <c r="E22">
        <v>38.4</v>
      </c>
      <c r="F22">
        <v>37.6</v>
      </c>
      <c r="G22">
        <v>32.799999999999997</v>
      </c>
      <c r="H22">
        <v>29.2</v>
      </c>
      <c r="I22">
        <v>25.6</v>
      </c>
      <c r="J22">
        <v>27</v>
      </c>
      <c r="K22">
        <v>10.1</v>
      </c>
      <c r="L22">
        <v>17.899999999999999</v>
      </c>
      <c r="M22">
        <v>16.600000000000001</v>
      </c>
      <c r="N22">
        <v>21.4</v>
      </c>
      <c r="O22">
        <v>15.4</v>
      </c>
      <c r="P22">
        <v>15.1</v>
      </c>
      <c r="Q22">
        <v>22.2</v>
      </c>
      <c r="R22">
        <v>18.399999999999999</v>
      </c>
      <c r="S22">
        <v>22.7</v>
      </c>
      <c r="T22">
        <v>19.100000000000001</v>
      </c>
      <c r="U22">
        <v>15.7</v>
      </c>
      <c r="V22">
        <v>14.6</v>
      </c>
      <c r="W22">
        <v>16.2</v>
      </c>
      <c r="X22">
        <v>21.2</v>
      </c>
      <c r="Y22">
        <v>19.3</v>
      </c>
      <c r="Z22">
        <v>25</v>
      </c>
      <c r="AA22">
        <v>26.3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25.7</v>
      </c>
      <c r="E23">
        <v>31.4</v>
      </c>
      <c r="F23">
        <v>33.6</v>
      </c>
      <c r="G23">
        <v>36.1</v>
      </c>
      <c r="H23">
        <v>22.5</v>
      </c>
      <c r="I23">
        <v>25.8</v>
      </c>
      <c r="J23">
        <v>22.7</v>
      </c>
      <c r="K23">
        <v>11.2</v>
      </c>
      <c r="L23">
        <v>10.9</v>
      </c>
      <c r="M23">
        <v>18.600000000000001</v>
      </c>
      <c r="N23">
        <v>27.7</v>
      </c>
      <c r="O23">
        <v>20.6</v>
      </c>
      <c r="P23">
        <v>23.1</v>
      </c>
      <c r="Q23">
        <v>18.8</v>
      </c>
      <c r="R23">
        <v>20.399999999999999</v>
      </c>
      <c r="S23">
        <v>22.3</v>
      </c>
      <c r="T23">
        <v>20.6</v>
      </c>
      <c r="U23">
        <v>16.5</v>
      </c>
      <c r="V23">
        <v>20.2</v>
      </c>
      <c r="W23">
        <v>15.9</v>
      </c>
      <c r="X23">
        <v>19.100000000000001</v>
      </c>
      <c r="Y23">
        <v>18.7</v>
      </c>
      <c r="Z23">
        <v>24.6</v>
      </c>
      <c r="AA23">
        <v>21.5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31.1</v>
      </c>
      <c r="E24">
        <v>38.700000000000003</v>
      </c>
      <c r="F24">
        <v>37.6</v>
      </c>
      <c r="G24">
        <v>35.4</v>
      </c>
      <c r="H24">
        <v>23</v>
      </c>
      <c r="I24">
        <v>32.700000000000003</v>
      </c>
      <c r="J24">
        <v>24.8</v>
      </c>
      <c r="K24">
        <v>13.4</v>
      </c>
      <c r="L24">
        <v>7.9</v>
      </c>
      <c r="M24">
        <v>18.2</v>
      </c>
      <c r="N24">
        <v>20.7</v>
      </c>
      <c r="O24">
        <v>18.2</v>
      </c>
      <c r="P24">
        <v>20.2</v>
      </c>
      <c r="Q24">
        <v>18.3</v>
      </c>
      <c r="R24">
        <v>21</v>
      </c>
      <c r="S24">
        <v>22</v>
      </c>
      <c r="T24">
        <v>18.8</v>
      </c>
      <c r="U24">
        <v>18.399999999999999</v>
      </c>
      <c r="W24">
        <v>6.2</v>
      </c>
      <c r="X24">
        <v>20.5</v>
      </c>
      <c r="Y24">
        <v>20.5</v>
      </c>
      <c r="Z24">
        <v>19.7</v>
      </c>
      <c r="AA24">
        <v>25.2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28.1</v>
      </c>
      <c r="E25">
        <v>32.6</v>
      </c>
      <c r="F25">
        <v>28.2</v>
      </c>
      <c r="G25">
        <v>28</v>
      </c>
      <c r="H25">
        <v>41.5</v>
      </c>
      <c r="I25">
        <v>27.5</v>
      </c>
      <c r="J25">
        <v>28.9</v>
      </c>
      <c r="K25">
        <v>23.6</v>
      </c>
      <c r="L25">
        <v>23.5</v>
      </c>
      <c r="M25">
        <v>13.9</v>
      </c>
      <c r="N25">
        <v>22.5</v>
      </c>
      <c r="O25">
        <v>16.399999999999999</v>
      </c>
      <c r="P25">
        <v>20</v>
      </c>
      <c r="S25">
        <v>24.6</v>
      </c>
      <c r="T25">
        <v>39.799999999999997</v>
      </c>
      <c r="V25">
        <v>16.600000000000001</v>
      </c>
      <c r="Z25">
        <v>19.100000000000001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27</v>
      </c>
      <c r="E26">
        <v>28.6</v>
      </c>
      <c r="F26">
        <v>30.3</v>
      </c>
      <c r="G26">
        <v>33.5</v>
      </c>
      <c r="H26">
        <v>37.4</v>
      </c>
      <c r="I26">
        <v>25.8</v>
      </c>
      <c r="J26">
        <v>27.5</v>
      </c>
      <c r="K26">
        <v>32.200000000000003</v>
      </c>
      <c r="L26">
        <v>21.4</v>
      </c>
      <c r="M26">
        <v>29.8</v>
      </c>
      <c r="N26">
        <v>25.2</v>
      </c>
      <c r="O26">
        <v>23.7</v>
      </c>
      <c r="P26">
        <v>23.3</v>
      </c>
      <c r="Q26">
        <v>22.9</v>
      </c>
      <c r="R26">
        <v>22.7</v>
      </c>
      <c r="S26">
        <v>15.3</v>
      </c>
      <c r="T26">
        <v>25.9</v>
      </c>
      <c r="U26">
        <v>15.6</v>
      </c>
      <c r="V26">
        <v>21.9</v>
      </c>
      <c r="W26">
        <v>18.600000000000001</v>
      </c>
      <c r="X26">
        <v>12.6</v>
      </c>
      <c r="Y26">
        <v>15.4</v>
      </c>
      <c r="Z26">
        <v>22</v>
      </c>
      <c r="AA26">
        <v>28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32.799999999999997</v>
      </c>
      <c r="E27">
        <v>28.8</v>
      </c>
      <c r="F27">
        <v>34.1</v>
      </c>
      <c r="G27">
        <v>36.9</v>
      </c>
      <c r="H27">
        <v>29.4</v>
      </c>
      <c r="I27">
        <v>28</v>
      </c>
      <c r="J27">
        <v>22.3</v>
      </c>
      <c r="K27">
        <v>16.5</v>
      </c>
      <c r="L27">
        <v>10.9</v>
      </c>
      <c r="M27">
        <v>16.600000000000001</v>
      </c>
      <c r="N27">
        <v>21.7</v>
      </c>
      <c r="O27">
        <v>18.3</v>
      </c>
      <c r="P27">
        <v>16</v>
      </c>
      <c r="Q27">
        <v>21.9</v>
      </c>
      <c r="R27">
        <v>17.100000000000001</v>
      </c>
      <c r="S27">
        <v>31.2</v>
      </c>
      <c r="T27">
        <v>19.8</v>
      </c>
      <c r="U27">
        <v>17.600000000000001</v>
      </c>
      <c r="V27">
        <v>16</v>
      </c>
      <c r="W27">
        <v>19.3</v>
      </c>
      <c r="X27">
        <v>23.1</v>
      </c>
      <c r="Y27">
        <v>24.8</v>
      </c>
      <c r="Z27">
        <v>19</v>
      </c>
      <c r="AA27">
        <v>21.3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27.6</v>
      </c>
      <c r="E28">
        <v>35.9</v>
      </c>
      <c r="F28">
        <v>29.6</v>
      </c>
      <c r="G28">
        <v>38.4</v>
      </c>
      <c r="H28">
        <v>31.4</v>
      </c>
      <c r="I28">
        <v>29.3</v>
      </c>
      <c r="J28">
        <v>18.600000000000001</v>
      </c>
      <c r="K28">
        <v>7.4</v>
      </c>
      <c r="L28">
        <v>13.3</v>
      </c>
      <c r="M28">
        <v>12.6</v>
      </c>
      <c r="N28">
        <v>14.9</v>
      </c>
      <c r="O28">
        <v>17.5</v>
      </c>
      <c r="P28">
        <v>33.6</v>
      </c>
      <c r="Q28">
        <v>21.9</v>
      </c>
      <c r="R28">
        <v>22.1</v>
      </c>
      <c r="S28">
        <v>29.4</v>
      </c>
      <c r="T28">
        <v>21.7</v>
      </c>
      <c r="U28">
        <v>10.8</v>
      </c>
      <c r="V28">
        <v>19</v>
      </c>
      <c r="W28">
        <v>17.8</v>
      </c>
      <c r="X28">
        <v>24.3</v>
      </c>
      <c r="Y28">
        <v>22.7</v>
      </c>
      <c r="Z28">
        <v>22.8</v>
      </c>
      <c r="AA28">
        <v>21.2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29.4</v>
      </c>
      <c r="E29">
        <v>34.700000000000003</v>
      </c>
      <c r="F29">
        <v>35.1</v>
      </c>
      <c r="G29">
        <v>35.9</v>
      </c>
      <c r="H29">
        <v>32.5</v>
      </c>
      <c r="I29">
        <v>29.2</v>
      </c>
      <c r="J29">
        <v>24.1</v>
      </c>
      <c r="K29">
        <v>8.9</v>
      </c>
      <c r="L29">
        <v>11</v>
      </c>
      <c r="M29">
        <v>12.6</v>
      </c>
      <c r="N29">
        <v>18.2</v>
      </c>
      <c r="O29">
        <v>20.8</v>
      </c>
      <c r="P29">
        <v>13.5</v>
      </c>
      <c r="Q29">
        <v>16.399999999999999</v>
      </c>
      <c r="R29">
        <v>19.7</v>
      </c>
      <c r="S29">
        <v>23.7</v>
      </c>
      <c r="T29">
        <v>16.100000000000001</v>
      </c>
      <c r="U29">
        <v>19.2</v>
      </c>
      <c r="V29">
        <v>17.100000000000001</v>
      </c>
      <c r="W29">
        <v>18</v>
      </c>
      <c r="X29">
        <v>18.7</v>
      </c>
      <c r="Z29">
        <v>24</v>
      </c>
      <c r="AA29">
        <v>22.4</v>
      </c>
    </row>
    <row r="31" spans="1:27" x14ac:dyDescent="0.25">
      <c r="C31">
        <v>1</v>
      </c>
      <c r="D31">
        <f t="array" ref="D31">MEDIAN(IF($C$3:$C$29=$C31,D$3:D$29,""))</f>
        <v>28</v>
      </c>
      <c r="E31">
        <f t="array" ref="E31">MEDIAN(IF($C$3:$C$29=$C31,E$3:E$29,""))</f>
        <v>30.6</v>
      </c>
      <c r="F31">
        <f t="array" ref="F31">MEDIAN(IF($C$3:$C$29=$C31,F$3:F$29,""))</f>
        <v>28.8</v>
      </c>
      <c r="G31">
        <f t="array" ref="G31">MEDIAN(IF($C$3:$C$29=$C31,G$3:G$29,""))</f>
        <v>32.4</v>
      </c>
      <c r="H31">
        <f t="array" ref="H31">MEDIAN(IF($C$3:$C$29=$C31,H$3:H$29,""))</f>
        <v>31.1</v>
      </c>
      <c r="I31">
        <f t="array" ref="I31">MEDIAN(IF($C$3:$C$29=$C31,I$3:I$29,""))</f>
        <v>27.35</v>
      </c>
      <c r="J31">
        <f t="array" ref="J31">MEDIAN(IF($C$3:$C$29=$C31,J$3:J$29,""))</f>
        <v>25.85</v>
      </c>
      <c r="K31">
        <f t="array" ref="K31">MEDIAN(IF($C$3:$C$29=$C31,K$3:K$29,""))</f>
        <v>25.299999999999997</v>
      </c>
      <c r="L31">
        <f t="array" ref="L31">MEDIAN(IF($C$3:$C$29=$C31,L$3:L$29,""))</f>
        <v>26.85</v>
      </c>
      <c r="M31">
        <f t="array" ref="M31">MEDIAN(IF($C$3:$C$29=$C31,M$3:M$29,""))</f>
        <v>25.8</v>
      </c>
      <c r="N31">
        <f t="array" ref="N31">MEDIAN(IF($C$3:$C$29=$C31,N$3:N$29,""))</f>
        <v>21.85</v>
      </c>
      <c r="O31">
        <f t="array" ref="O31">MEDIAN(IF($C$3:$C$29=$C31,O$3:O$29,""))</f>
        <v>21.549999999999997</v>
      </c>
      <c r="P31">
        <f t="array" ref="P31">MEDIAN(IF($C$3:$C$29=$C31,P$3:P$29,""))</f>
        <v>22.700000000000003</v>
      </c>
      <c r="Q31">
        <f t="array" ref="Q31">MEDIAN(IF($C$3:$C$29=$C31,Q$3:Q$29,""))</f>
        <v>21.7</v>
      </c>
      <c r="R31">
        <f t="array" ref="R31">MEDIAN(IF($C$3:$C$29=$C31,R$3:R$29,""))</f>
        <v>21.7</v>
      </c>
      <c r="S31">
        <f t="array" ref="S31">MEDIAN(IF($C$3:$C$29=$C31,S$3:S$29,""))</f>
        <v>17.299999999999997</v>
      </c>
      <c r="T31">
        <f t="array" ref="T31">MEDIAN(IF($C$3:$C$29=$C31,T$3:T$29,""))</f>
        <v>27.35</v>
      </c>
      <c r="U31">
        <f t="array" ref="U31">MEDIAN(IF($C$3:$C$29=$C31,U$3:U$29,""))</f>
        <v>18.95</v>
      </c>
      <c r="V31">
        <f t="array" ref="V31">MEDIAN(IF($C$3:$C$29=$C31,V$3:V$29,""))</f>
        <v>19.600000000000001</v>
      </c>
      <c r="W31">
        <f t="array" ref="W31">MEDIAN(IF($C$3:$C$29=$C31,W$3:W$29,""))</f>
        <v>19.5</v>
      </c>
      <c r="X31">
        <f t="array" ref="X31">MEDIAN(IF($C$3:$C$29=$C31,X$3:X$29,""))</f>
        <v>21.55</v>
      </c>
      <c r="Y31">
        <f t="array" ref="Y31">MEDIAN(IF($C$3:$C$29=$C31,Y$3:Y$29,""))</f>
        <v>21.1</v>
      </c>
      <c r="Z31">
        <f t="array" ref="Z31">MEDIAN(IF($C$3:$C$29=$C31,Z$3:Z$29,""))</f>
        <v>23.9</v>
      </c>
      <c r="AA31">
        <f t="array" ref="AA31">MEDIAN(IF($C$3:$C$29=$C31,AA$3:AA$29,""))</f>
        <v>26.4</v>
      </c>
    </row>
    <row r="32" spans="1:27" x14ac:dyDescent="0.25">
      <c r="C32">
        <v>2</v>
      </c>
      <c r="D32">
        <f t="array" ref="D32">MEDIAN(IF($C$3:$C$29=$C32,D$3:D$29,""))</f>
        <v>25.75</v>
      </c>
      <c r="E32">
        <f t="array" ref="E32">MEDIAN(IF($C$3:$C$29=$C32,E$3:E$29,""))</f>
        <v>32.6</v>
      </c>
      <c r="F32">
        <f t="array" ref="F32">MEDIAN(IF($C$3:$C$29=$C32,F$3:F$29,""))</f>
        <v>29.4</v>
      </c>
      <c r="G32">
        <f t="array" ref="G32">MEDIAN(IF($C$3:$C$29=$C32,G$3:G$29,""))</f>
        <v>30.45</v>
      </c>
      <c r="H32">
        <f t="array" ref="H32">MEDIAN(IF($C$3:$C$29=$C32,H$3:H$29,""))</f>
        <v>31.2</v>
      </c>
      <c r="I32">
        <f t="array" ref="I32">MEDIAN(IF($C$3:$C$29=$C32,I$3:I$29,""))</f>
        <v>28.15</v>
      </c>
      <c r="J32">
        <f t="array" ref="J32">MEDIAN(IF($C$3:$C$29=$C32,J$3:J$29,""))</f>
        <v>27.450000000000003</v>
      </c>
      <c r="K32">
        <f t="array" ref="K32">MEDIAN(IF($C$3:$C$29=$C32,K$3:K$29,""))</f>
        <v>21.5</v>
      </c>
      <c r="L32">
        <f t="array" ref="L32">MEDIAN(IF($C$3:$C$29=$C32,L$3:L$29,""))</f>
        <v>24.25</v>
      </c>
      <c r="M32">
        <f t="array" ref="M32">MEDIAN(IF($C$3:$C$29=$C32,M$3:M$29,""))</f>
        <v>20.85</v>
      </c>
      <c r="N32">
        <f t="array" ref="N32">MEDIAN(IF($C$3:$C$29=$C32,N$3:N$29,""))</f>
        <v>21.2</v>
      </c>
      <c r="O32">
        <f t="array" ref="O32">MEDIAN(IF($C$3:$C$29=$C32,O$3:O$29,""))</f>
        <v>17.5</v>
      </c>
      <c r="P32">
        <f t="array" ref="P32">MEDIAN(IF($C$3:$C$29=$C32,P$3:P$29,""))</f>
        <v>20.350000000000001</v>
      </c>
      <c r="Q32">
        <f t="array" ref="Q32">MEDIAN(IF($C$3:$C$29=$C32,Q$3:Q$29,""))</f>
        <v>18.75</v>
      </c>
      <c r="R32">
        <f t="array" ref="R32">MEDIAN(IF($C$3:$C$29=$C32,R$3:R$29,""))</f>
        <v>20.65</v>
      </c>
      <c r="S32">
        <f t="array" ref="S32">MEDIAN(IF($C$3:$C$29=$C32,S$3:S$29,""))</f>
        <v>24.35</v>
      </c>
      <c r="T32">
        <f t="array" ref="T32">MEDIAN(IF($C$3:$C$29=$C32,T$3:T$29,""))</f>
        <v>24.1</v>
      </c>
      <c r="U32">
        <f t="array" ref="U32">MEDIAN(IF($C$3:$C$29=$C32,U$3:U$29,""))</f>
        <v>16.399999999999999</v>
      </c>
      <c r="V32">
        <f t="array" ref="V32">MEDIAN(IF($C$3:$C$29=$C32,V$3:V$29,""))</f>
        <v>19.600000000000001</v>
      </c>
      <c r="W32">
        <f t="array" ref="W32">MEDIAN(IF($C$3:$C$29=$C32,W$3:W$29,""))</f>
        <v>17.95</v>
      </c>
      <c r="X32">
        <f t="array" ref="X32">MEDIAN(IF($C$3:$C$29=$C32,X$3:X$29,""))</f>
        <v>20.399999999999999</v>
      </c>
      <c r="Y32">
        <f t="array" ref="Y32">MEDIAN(IF($C$3:$C$29=$C32,Y$3:Y$29,""))</f>
        <v>18.049999999999997</v>
      </c>
      <c r="Z32">
        <f t="array" ref="Z32">MEDIAN(IF($C$3:$C$29=$C32,Z$3:Z$29,""))</f>
        <v>20.100000000000001</v>
      </c>
      <c r="AA32">
        <f t="array" ref="AA32">MEDIAN(IF($C$3:$C$29=$C32,AA$3:AA$29,""))</f>
        <v>27.549999999999997</v>
      </c>
    </row>
    <row r="33" spans="3:27" x14ac:dyDescent="0.25">
      <c r="C33">
        <v>3</v>
      </c>
      <c r="D33">
        <f t="array" ref="D33">MEDIAN(IF($C$3:$C$29=$C33,D$3:D$29,""))</f>
        <v>29.049999999999997</v>
      </c>
      <c r="E33">
        <f t="array" ref="E33">MEDIAN(IF($C$3:$C$29=$C33,E$3:E$29,""))</f>
        <v>36</v>
      </c>
      <c r="F33">
        <f t="array" ref="F33">MEDIAN(IF($C$3:$C$29=$C33,F$3:F$29,""))</f>
        <v>32.450000000000003</v>
      </c>
      <c r="G33">
        <f t="array" ref="G33">MEDIAN(IF($C$3:$C$29=$C33,G$3:G$29,""))</f>
        <v>33.5</v>
      </c>
      <c r="H33">
        <f t="array" ref="H33">MEDIAN(IF($C$3:$C$29=$C33,H$3:H$29,""))</f>
        <v>29.4</v>
      </c>
      <c r="I33">
        <f t="array" ref="I33">MEDIAN(IF($C$3:$C$29=$C33,I$3:I$29,""))</f>
        <v>27.45</v>
      </c>
      <c r="J33">
        <f t="array" ref="J33">MEDIAN(IF($C$3:$C$29=$C33,J$3:J$29,""))</f>
        <v>20.299999999999997</v>
      </c>
      <c r="K33">
        <f t="array" ref="K33">MEDIAN(IF($C$3:$C$29=$C33,K$3:K$29,""))</f>
        <v>16.25</v>
      </c>
      <c r="L33">
        <f t="array" ref="L33">MEDIAN(IF($C$3:$C$29=$C33,L$3:L$29,""))</f>
        <v>10.8</v>
      </c>
      <c r="M33">
        <f t="array" ref="M33">MEDIAN(IF($C$3:$C$29=$C33,M$3:M$29,""))</f>
        <v>17.8</v>
      </c>
      <c r="N33">
        <f t="array" ref="N33">MEDIAN(IF($C$3:$C$29=$C33,N$3:N$29,""))</f>
        <v>19.5</v>
      </c>
      <c r="O33">
        <f t="array" ref="O33">MEDIAN(IF($C$3:$C$29=$C33,O$3:O$29,""))</f>
        <v>19.45</v>
      </c>
      <c r="P33">
        <f t="array" ref="P33">MEDIAN(IF($C$3:$C$29=$C33,P$3:P$29,""))</f>
        <v>20.95</v>
      </c>
      <c r="Q33">
        <f t="array" ref="Q33">MEDIAN(IF($C$3:$C$29=$C33,Q$3:Q$29,""))</f>
        <v>22.9</v>
      </c>
      <c r="R33">
        <f t="array" ref="R33">MEDIAN(IF($C$3:$C$29=$C33,R$3:R$29,""))</f>
        <v>19.850000000000001</v>
      </c>
      <c r="S33">
        <f t="array" ref="S33">MEDIAN(IF($C$3:$C$29=$C33,S$3:S$29,""))</f>
        <v>18.75</v>
      </c>
      <c r="T33">
        <f t="array" ref="T33">MEDIAN(IF($C$3:$C$29=$C33,T$3:T$29,""))</f>
        <v>23</v>
      </c>
      <c r="U33">
        <f t="array" ref="U33">MEDIAN(IF($C$3:$C$29=$C33,U$3:U$29,""))</f>
        <v>17.100000000000001</v>
      </c>
      <c r="V33">
        <f t="array" ref="V33">MEDIAN(IF($C$3:$C$29=$C33,V$3:V$29,""))</f>
        <v>15.75</v>
      </c>
      <c r="W33">
        <f t="array" ref="W33">MEDIAN(IF($C$3:$C$29=$C33,W$3:W$29,""))</f>
        <v>20.399999999999999</v>
      </c>
      <c r="X33">
        <f t="array" ref="X33">MEDIAN(IF($C$3:$C$29=$C33,X$3:X$29,""))</f>
        <v>18.25</v>
      </c>
      <c r="Y33">
        <f t="array" ref="Y33">MEDIAN(IF($C$3:$C$29=$C33,Y$3:Y$29,""))</f>
        <v>23.85</v>
      </c>
      <c r="Z33">
        <f t="array" ref="Z33">MEDIAN(IF($C$3:$C$29=$C33,Z$3:Z$29,""))</f>
        <v>23</v>
      </c>
      <c r="AA33">
        <f t="array" ref="AA33">MEDIAN(IF($C$3:$C$29=$C33,AA$3:AA$29,""))</f>
        <v>23.35</v>
      </c>
    </row>
    <row r="34" spans="3:27" x14ac:dyDescent="0.25">
      <c r="C34">
        <v>4</v>
      </c>
      <c r="D34">
        <f t="array" ref="D34">MEDIAN(IF($C$3:$C$29=$C34,D$3:D$29,""))</f>
        <v>27.3</v>
      </c>
      <c r="E34">
        <f t="array" ref="E34">MEDIAN(IF($C$3:$C$29=$C34,E$3:E$29,""))</f>
        <v>32.9</v>
      </c>
      <c r="F34">
        <f t="array" ref="F34">MEDIAN(IF($C$3:$C$29=$C34,F$3:F$29,""))</f>
        <v>30.35</v>
      </c>
      <c r="G34">
        <f t="array" ref="G34">MEDIAN(IF($C$3:$C$29=$C34,G$3:G$29,""))</f>
        <v>34.4</v>
      </c>
      <c r="H34">
        <f t="array" ref="H34">MEDIAN(IF($C$3:$C$29=$C34,H$3:H$29,""))</f>
        <v>30.299999999999997</v>
      </c>
      <c r="I34">
        <f t="array" ref="I34">MEDIAN(IF($C$3:$C$29=$C34,I$3:I$29,""))</f>
        <v>28.450000000000003</v>
      </c>
      <c r="J34">
        <f t="array" ref="J34">MEDIAN(IF($C$3:$C$29=$C34,J$3:J$29,""))</f>
        <v>18.899999999999999</v>
      </c>
      <c r="K34">
        <f t="array" ref="K34">MEDIAN(IF($C$3:$C$29=$C34,K$3:K$29,""))</f>
        <v>14.7</v>
      </c>
      <c r="L34">
        <f t="array" ref="L34">MEDIAN(IF($C$3:$C$29=$C34,L$3:L$29,""))</f>
        <v>13.65</v>
      </c>
      <c r="M34">
        <f t="array" ref="M34">MEDIAN(IF($C$3:$C$29=$C34,M$3:M$29,""))</f>
        <v>14.05</v>
      </c>
      <c r="N34">
        <f t="array" ref="N34">MEDIAN(IF($C$3:$C$29=$C34,N$3:N$29,""))</f>
        <v>15.85</v>
      </c>
      <c r="O34">
        <f t="array" ref="O34">MEDIAN(IF($C$3:$C$29=$C34,O$3:O$29,""))</f>
        <v>21.299999999999997</v>
      </c>
      <c r="P34">
        <f t="array" ref="P34">MEDIAN(IF($C$3:$C$29=$C34,P$3:P$29,""))</f>
        <v>20.9</v>
      </c>
      <c r="Q34">
        <f t="array" ref="Q34">MEDIAN(IF($C$3:$C$29=$C34,Q$3:Q$29,""))</f>
        <v>19.399999999999999</v>
      </c>
      <c r="R34">
        <f t="array" ref="R34">MEDIAN(IF($C$3:$C$29=$C34,R$3:R$29,""))</f>
        <v>20</v>
      </c>
      <c r="S34">
        <f t="array" ref="S34">MEDIAN(IF($C$3:$C$29=$C34,S$3:S$29,""))</f>
        <v>20.399999999999999</v>
      </c>
      <c r="T34">
        <f t="array" ref="T34">MEDIAN(IF($C$3:$C$29=$C34,T$3:T$29,""))</f>
        <v>19.950000000000003</v>
      </c>
      <c r="U34">
        <f t="array" ref="U34">MEDIAN(IF($C$3:$C$29=$C34,U$3:U$29,""))</f>
        <v>17.649999999999999</v>
      </c>
      <c r="V34">
        <f t="array" ref="V34">MEDIAN(IF($C$3:$C$29=$C34,V$3:V$29,""))</f>
        <v>16.7</v>
      </c>
      <c r="W34">
        <f t="array" ref="W34">MEDIAN(IF($C$3:$C$29=$C34,W$3:W$29,""))</f>
        <v>17.700000000000003</v>
      </c>
      <c r="X34">
        <f t="array" ref="X34">MEDIAN(IF($C$3:$C$29=$C34,X$3:X$29,""))</f>
        <v>24.65</v>
      </c>
      <c r="Y34">
        <f t="array" ref="Y34">MEDIAN(IF($C$3:$C$29=$C34,Y$3:Y$29,""))</f>
        <v>22.2</v>
      </c>
      <c r="Z34">
        <f t="array" ref="Z34">MEDIAN(IF($C$3:$C$29=$C34,Z$3:Z$29,""))</f>
        <v>22.9</v>
      </c>
      <c r="AA34">
        <f t="array" ref="AA34">MEDIAN(IF($C$3:$C$29=$C34,AA$3:AA$29,""))</f>
        <v>26.85</v>
      </c>
    </row>
    <row r="35" spans="3:27" x14ac:dyDescent="0.25">
      <c r="C35">
        <v>5</v>
      </c>
      <c r="D35">
        <f t="array" ref="D35">MEDIAN(IF($C$3:$C$29=$C35,D$3:D$29,""))</f>
        <v>29.15</v>
      </c>
      <c r="E35">
        <f t="array" ref="E35">MEDIAN(IF($C$3:$C$29=$C35,E$3:E$29,""))</f>
        <v>35.25</v>
      </c>
      <c r="F35">
        <f t="array" ref="F35">MEDIAN(IF($C$3:$C$29=$C35,F$3:F$29,""))</f>
        <v>34.450000000000003</v>
      </c>
      <c r="G35">
        <f t="array" ref="G35">MEDIAN(IF($C$3:$C$29=$C35,G$3:G$29,""))</f>
        <v>35.950000000000003</v>
      </c>
      <c r="H35">
        <f t="array" ref="H35">MEDIAN(IF($C$3:$C$29=$C35,H$3:H$29,""))</f>
        <v>30.5</v>
      </c>
      <c r="I35">
        <f t="array" ref="I35">MEDIAN(IF($C$3:$C$29=$C35,I$3:I$29,""))</f>
        <v>27.4</v>
      </c>
      <c r="J35">
        <f t="array" ref="J35">MEDIAN(IF($C$3:$C$29=$C35,J$3:J$29,""))</f>
        <v>24.65</v>
      </c>
      <c r="K35">
        <f t="array" ref="K35">MEDIAN(IF($C$3:$C$29=$C35,K$3:K$29,""))</f>
        <v>11</v>
      </c>
      <c r="L35">
        <f t="array" ref="L35">MEDIAN(IF($C$3:$C$29=$C35,L$3:L$29,""))</f>
        <v>13.05</v>
      </c>
      <c r="M35">
        <f t="array" ref="M35">MEDIAN(IF($C$3:$C$29=$C35,M$3:M$29,""))</f>
        <v>15.6</v>
      </c>
      <c r="N35">
        <f t="array" ref="N35">MEDIAN(IF($C$3:$C$29=$C35,N$3:N$29,""))</f>
        <v>20.100000000000001</v>
      </c>
      <c r="O35">
        <f t="array" ref="O35">MEDIAN(IF($C$3:$C$29=$C35,O$3:O$29,""))</f>
        <v>18.450000000000003</v>
      </c>
      <c r="P35">
        <f t="array" ref="P35">MEDIAN(IF($C$3:$C$29=$C35,P$3:P$29,""))</f>
        <v>14.3</v>
      </c>
      <c r="Q35">
        <f t="array" ref="Q35">MEDIAN(IF($C$3:$C$29=$C35,Q$3:Q$29,""))</f>
        <v>18.100000000000001</v>
      </c>
      <c r="R35">
        <f t="array" ref="R35">MEDIAN(IF($C$3:$C$29=$C35,R$3:R$29,""))</f>
        <v>19.049999999999997</v>
      </c>
      <c r="S35">
        <f t="array" ref="S35">MEDIAN(IF($C$3:$C$29=$C35,S$3:S$29,""))</f>
        <v>21.1</v>
      </c>
      <c r="T35">
        <f t="array" ref="T35">MEDIAN(IF($C$3:$C$29=$C35,T$3:T$29,""))</f>
        <v>18.600000000000001</v>
      </c>
      <c r="U35">
        <f t="array" ref="U35">MEDIAN(IF($C$3:$C$29=$C35,U$3:U$29,""))</f>
        <v>18.450000000000003</v>
      </c>
      <c r="V35">
        <f t="array" ref="V35">MEDIAN(IF($C$3:$C$29=$C35,V$3:V$29,""))</f>
        <v>15.850000000000001</v>
      </c>
      <c r="W35">
        <f t="array" ref="W35">MEDIAN(IF($C$3:$C$29=$C35,W$3:W$29,""))</f>
        <v>17.100000000000001</v>
      </c>
      <c r="X35">
        <f t="array" ref="X35">MEDIAN(IF($C$3:$C$29=$C35,X$3:X$29,""))</f>
        <v>17.5</v>
      </c>
      <c r="Y35">
        <f t="array" ref="Y35">MEDIAN(IF($C$3:$C$29=$C35,Y$3:Y$29,""))</f>
        <v>22</v>
      </c>
      <c r="Z35">
        <f t="array" ref="Z35">MEDIAN(IF($C$3:$C$29=$C35,Z$3:Z$29,""))</f>
        <v>25.05</v>
      </c>
      <c r="AA35">
        <f t="array" ref="AA35">MEDIAN(IF($C$3:$C$29=$C35,AA$3:AA$29,""))</f>
        <v>24.700000000000003</v>
      </c>
    </row>
    <row r="36" spans="3:27" x14ac:dyDescent="0.25">
      <c r="C36">
        <v>6</v>
      </c>
      <c r="D36">
        <f t="array" ref="D36">MEDIAN(IF($C$3:$C$29=$C36,D$3:D$29,""))</f>
        <v>28.1</v>
      </c>
      <c r="E36">
        <f t="array" ref="E36">MEDIAN(IF($C$3:$C$29=$C36,E$3:E$29,""))</f>
        <v>31.4</v>
      </c>
      <c r="F36">
        <f t="array" ref="F36">MEDIAN(IF($C$3:$C$29=$C36,F$3:F$29,""))</f>
        <v>35.299999999999997</v>
      </c>
      <c r="G36">
        <f t="array" ref="G36">MEDIAN(IF($C$3:$C$29=$C36,G$3:G$29,""))</f>
        <v>36.1</v>
      </c>
      <c r="H36">
        <f t="array" ref="H36">MEDIAN(IF($C$3:$C$29=$C36,H$3:H$29,""))</f>
        <v>28.9</v>
      </c>
      <c r="I36">
        <f t="array" ref="I36">MEDIAN(IF($C$3:$C$29=$C36,I$3:I$29,""))</f>
        <v>29.4</v>
      </c>
      <c r="J36">
        <f t="array" ref="J36">MEDIAN(IF($C$3:$C$29=$C36,J$3:J$29,""))</f>
        <v>22.7</v>
      </c>
      <c r="K36">
        <f t="array" ref="K36">MEDIAN(IF($C$3:$C$29=$C36,K$3:K$29,""))</f>
        <v>12.6</v>
      </c>
      <c r="L36">
        <f t="array" ref="L36">MEDIAN(IF($C$3:$C$29=$C36,L$3:L$29,""))</f>
        <v>11</v>
      </c>
      <c r="M36">
        <f t="array" ref="M36">MEDIAN(IF($C$3:$C$29=$C36,M$3:M$29,""))</f>
        <v>18</v>
      </c>
      <c r="N36">
        <f t="array" ref="N36">MEDIAN(IF($C$3:$C$29=$C36,N$3:N$29,""))</f>
        <v>21.4</v>
      </c>
      <c r="O36">
        <f t="array" ref="O36">MEDIAN(IF($C$3:$C$29=$C36,O$3:O$29,""))</f>
        <v>20.6</v>
      </c>
      <c r="P36">
        <f t="array" ref="P36">MEDIAN(IF($C$3:$C$29=$C36,P$3:P$29,""))</f>
        <v>23.5</v>
      </c>
      <c r="Q36">
        <f t="array" ref="Q36">MEDIAN(IF($C$3:$C$29=$C36,Q$3:Q$29,""))</f>
        <v>18.8</v>
      </c>
      <c r="R36">
        <f t="array" ref="R36">MEDIAN(IF($C$3:$C$29=$C36,R$3:R$29,""))</f>
        <v>20.399999999999999</v>
      </c>
      <c r="S36">
        <f t="array" ref="S36">MEDIAN(IF($C$3:$C$29=$C36,S$3:S$29,""))</f>
        <v>22.2</v>
      </c>
      <c r="T36">
        <f t="array" ref="T36">MEDIAN(IF($C$3:$C$29=$C36,T$3:T$29,""))</f>
        <v>19.3</v>
      </c>
      <c r="U36">
        <f t="array" ref="U36">MEDIAN(IF($C$3:$C$29=$C36,U$3:U$29,""))</f>
        <v>20.6</v>
      </c>
      <c r="V36">
        <f t="array" ref="V36">MEDIAN(IF($C$3:$C$29=$C36,V$3:V$29,""))</f>
        <v>16.7</v>
      </c>
      <c r="W36">
        <f t="array" ref="W36">MEDIAN(IF($C$3:$C$29=$C36,W$3:W$29,""))</f>
        <v>17.100000000000001</v>
      </c>
      <c r="X36">
        <f t="array" ref="X36">MEDIAN(IF($C$3:$C$29=$C36,X$3:X$29,""))</f>
        <v>21.7</v>
      </c>
      <c r="Y36">
        <f t="array" ref="Y36">MEDIAN(IF($C$3:$C$29=$C36,Y$3:Y$29,""))</f>
        <v>22.6</v>
      </c>
      <c r="Z36">
        <f t="array" ref="Z36">MEDIAN(IF($C$3:$C$29=$C36,Z$3:Z$29,""))</f>
        <v>23.3</v>
      </c>
      <c r="AA36">
        <f t="array" ref="AA36">MEDIAN(IF($C$3:$C$29=$C36,AA$3:AA$29,""))</f>
        <v>23.1</v>
      </c>
    </row>
    <row r="37" spans="3:27" x14ac:dyDescent="0.25">
      <c r="C37">
        <v>7</v>
      </c>
      <c r="D37">
        <f t="array" ref="D37">MEDIAN(IF($C$3:$C$29=$C37,D$3:D$29,""))</f>
        <v>30.200000000000003</v>
      </c>
      <c r="E37">
        <f t="array" ref="E37">MEDIAN(IF($C$3:$C$29=$C37,E$3:E$29,""))</f>
        <v>32.85</v>
      </c>
      <c r="F37">
        <f t="array" ref="F37">MEDIAN(IF($C$3:$C$29=$C37,F$3:F$29,""))</f>
        <v>36.799999999999997</v>
      </c>
      <c r="G37">
        <f t="array" ref="G37">MEDIAN(IF($C$3:$C$29=$C37,G$3:G$29,""))</f>
        <v>29.8</v>
      </c>
      <c r="H37">
        <f t="array" ref="H37">MEDIAN(IF($C$3:$C$29=$C37,H$3:H$29,""))</f>
        <v>29.6</v>
      </c>
      <c r="I37">
        <f t="array" ref="I37">MEDIAN(IF($C$3:$C$29=$C37,I$3:I$29,""))</f>
        <v>28.95</v>
      </c>
      <c r="J37">
        <f t="array" ref="J37">MEDIAN(IF($C$3:$C$29=$C37,J$3:J$29,""))</f>
        <v>25.200000000000003</v>
      </c>
      <c r="K37">
        <f t="array" ref="K37">MEDIAN(IF($C$3:$C$29=$C37,K$3:K$29,""))</f>
        <v>14.55</v>
      </c>
      <c r="L37">
        <f t="array" ref="L37">MEDIAN(IF($C$3:$C$29=$C37,L$3:L$29,""))</f>
        <v>12.05</v>
      </c>
      <c r="M37">
        <f t="array" ref="M37">MEDIAN(IF($C$3:$C$29=$C37,M$3:M$29,""))</f>
        <v>18.2</v>
      </c>
      <c r="N37">
        <f t="array" ref="N37">MEDIAN(IF($C$3:$C$29=$C37,N$3:N$29,""))</f>
        <v>19.799999999999997</v>
      </c>
      <c r="O37">
        <f t="array" ref="O37">MEDIAN(IF($C$3:$C$29=$C37,O$3:O$29,""))</f>
        <v>19.5</v>
      </c>
      <c r="P37">
        <f t="array" ref="P37">MEDIAN(IF($C$3:$C$29=$C37,P$3:P$29,""))</f>
        <v>20.100000000000001</v>
      </c>
      <c r="Q37">
        <f t="array" ref="Q37">MEDIAN(IF($C$3:$C$29=$C37,Q$3:Q$29,""))</f>
        <v>19.3</v>
      </c>
      <c r="R37">
        <f t="array" ref="R37">MEDIAN(IF($C$3:$C$29=$C37,R$3:R$29,""))</f>
        <v>22.35</v>
      </c>
      <c r="S37">
        <f t="array" ref="S37">MEDIAN(IF($C$3:$C$29=$C37,S$3:S$29,""))</f>
        <v>22.8</v>
      </c>
      <c r="T37">
        <f t="array" ref="T37">MEDIAN(IF($C$3:$C$29=$C37,T$3:T$29,""))</f>
        <v>18.8</v>
      </c>
      <c r="U37">
        <f t="array" ref="U37">MEDIAN(IF($C$3:$C$29=$C37,U$3:U$29,""))</f>
        <v>17.899999999999999</v>
      </c>
      <c r="V37">
        <f t="array" ref="V37">MEDIAN(IF($C$3:$C$29=$C37,V$3:V$29,""))</f>
        <v>14.45</v>
      </c>
      <c r="W37">
        <f t="array" ref="W37">MEDIAN(IF($C$3:$C$29=$C37,W$3:W$29,""))</f>
        <v>16.100000000000001</v>
      </c>
      <c r="X37">
        <f t="array" ref="X37">MEDIAN(IF($C$3:$C$29=$C37,X$3:X$29,""))</f>
        <v>19.8</v>
      </c>
      <c r="Y37">
        <f t="array" ref="Y37">MEDIAN(IF($C$3:$C$29=$C37,Y$3:Y$29,""))</f>
        <v>20.2</v>
      </c>
      <c r="Z37">
        <f t="array" ref="Z37">MEDIAN(IF($C$3:$C$29=$C37,Z$3:Z$29,""))</f>
        <v>21.1</v>
      </c>
      <c r="AA37">
        <f t="array" ref="AA37">MEDIAN(IF($C$3:$C$29=$C37,AA$3:AA$29,""))</f>
        <v>24.25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8"/>
  <dimension ref="A1:AA37"/>
  <sheetViews>
    <sheetView workbookViewId="0">
      <selection activeCell="G31" sqref="G31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27.5</v>
      </c>
      <c r="E3">
        <v>20.399999999999999</v>
      </c>
      <c r="F3">
        <v>30.7</v>
      </c>
      <c r="G3">
        <v>23.1</v>
      </c>
      <c r="H3">
        <v>25.6</v>
      </c>
      <c r="I3">
        <v>26.4</v>
      </c>
      <c r="J3">
        <v>15.8</v>
      </c>
      <c r="K3">
        <v>10.5</v>
      </c>
      <c r="L3">
        <v>7.7</v>
      </c>
      <c r="M3">
        <v>11.8</v>
      </c>
      <c r="N3">
        <v>8.8000000000000007</v>
      </c>
      <c r="O3">
        <v>12.6</v>
      </c>
      <c r="P3">
        <v>15.1</v>
      </c>
      <c r="Q3">
        <v>10.4</v>
      </c>
      <c r="R3">
        <v>15.2</v>
      </c>
      <c r="S3">
        <v>16.399999999999999</v>
      </c>
      <c r="T3">
        <v>14</v>
      </c>
      <c r="U3">
        <v>12.1</v>
      </c>
      <c r="V3">
        <v>12.7</v>
      </c>
      <c r="W3">
        <v>12</v>
      </c>
      <c r="X3">
        <v>13</v>
      </c>
      <c r="Y3">
        <v>11.6</v>
      </c>
      <c r="Z3">
        <v>23.7</v>
      </c>
      <c r="AA3">
        <v>22.7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23</v>
      </c>
      <c r="E4">
        <v>24.8</v>
      </c>
      <c r="F4">
        <v>32.5</v>
      </c>
      <c r="G4">
        <v>28.3</v>
      </c>
      <c r="H4">
        <v>24.3</v>
      </c>
      <c r="I4">
        <v>21.1</v>
      </c>
      <c r="J4">
        <v>16.600000000000001</v>
      </c>
      <c r="K4">
        <v>16.2</v>
      </c>
      <c r="L4">
        <v>18</v>
      </c>
      <c r="M4">
        <v>15.4</v>
      </c>
      <c r="N4">
        <v>16.3</v>
      </c>
      <c r="O4">
        <v>9.6</v>
      </c>
      <c r="P4">
        <v>14.6</v>
      </c>
      <c r="Q4">
        <v>13.3</v>
      </c>
      <c r="R4">
        <v>14.6</v>
      </c>
      <c r="S4">
        <v>19.600000000000001</v>
      </c>
      <c r="T4">
        <v>18</v>
      </c>
      <c r="U4">
        <v>13.2</v>
      </c>
      <c r="V4">
        <v>19.399999999999999</v>
      </c>
      <c r="W4">
        <v>11.6</v>
      </c>
      <c r="X4">
        <v>18.7</v>
      </c>
      <c r="Y4">
        <v>14.3</v>
      </c>
      <c r="Z4">
        <v>20.8</v>
      </c>
      <c r="AA4">
        <v>20.7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21.8</v>
      </c>
      <c r="E5">
        <v>26.2</v>
      </c>
      <c r="F5">
        <v>24.7</v>
      </c>
      <c r="G5">
        <v>23.6</v>
      </c>
      <c r="H5">
        <v>29.2</v>
      </c>
      <c r="I5">
        <v>23.3</v>
      </c>
      <c r="J5">
        <v>19.2</v>
      </c>
      <c r="K5">
        <v>20.6</v>
      </c>
      <c r="L5">
        <v>18.100000000000001</v>
      </c>
      <c r="M5">
        <v>21.6</v>
      </c>
      <c r="N5">
        <v>17.100000000000001</v>
      </c>
      <c r="O5">
        <v>19.3</v>
      </c>
      <c r="P5">
        <v>14.2</v>
      </c>
      <c r="Q5">
        <v>15.6</v>
      </c>
      <c r="R5">
        <v>14.6</v>
      </c>
      <c r="S5">
        <v>15.4</v>
      </c>
      <c r="T5">
        <v>18.7</v>
      </c>
      <c r="U5">
        <v>13.8</v>
      </c>
      <c r="V5">
        <v>17.399999999999999</v>
      </c>
      <c r="W5">
        <v>14.9</v>
      </c>
      <c r="X5">
        <v>17.5</v>
      </c>
      <c r="Y5">
        <v>17.399999999999999</v>
      </c>
      <c r="Z5">
        <v>18.600000000000001</v>
      </c>
      <c r="AA5">
        <v>20.100000000000001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22.6</v>
      </c>
      <c r="E6">
        <v>32.5</v>
      </c>
      <c r="F6">
        <v>30.8</v>
      </c>
      <c r="G6">
        <v>31.2</v>
      </c>
      <c r="H6">
        <v>34.200000000000003</v>
      </c>
      <c r="I6">
        <v>23</v>
      </c>
      <c r="J6">
        <v>15.3</v>
      </c>
      <c r="K6">
        <v>15.2</v>
      </c>
      <c r="L6">
        <v>7.9</v>
      </c>
      <c r="M6">
        <v>9.1</v>
      </c>
      <c r="N6">
        <v>14.8</v>
      </c>
      <c r="O6">
        <v>14</v>
      </c>
      <c r="P6">
        <v>11.4</v>
      </c>
      <c r="Q6">
        <v>19</v>
      </c>
      <c r="R6">
        <v>15.9</v>
      </c>
      <c r="S6">
        <v>12.9</v>
      </c>
      <c r="T6">
        <v>10.7</v>
      </c>
      <c r="U6">
        <v>12.6</v>
      </c>
      <c r="V6">
        <v>11.1</v>
      </c>
      <c r="W6">
        <v>12.6</v>
      </c>
      <c r="X6">
        <v>11.9</v>
      </c>
      <c r="Y6">
        <v>16.600000000000001</v>
      </c>
      <c r="Z6">
        <v>19.2</v>
      </c>
      <c r="AA6">
        <v>23.5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24.3</v>
      </c>
      <c r="E7">
        <v>19.7</v>
      </c>
      <c r="F7">
        <v>19.7</v>
      </c>
      <c r="G7">
        <v>25.7</v>
      </c>
      <c r="H7">
        <v>29.2</v>
      </c>
      <c r="I7">
        <v>21.8</v>
      </c>
      <c r="J7">
        <v>16.3</v>
      </c>
      <c r="K7">
        <v>9.5</v>
      </c>
      <c r="L7">
        <v>10.6</v>
      </c>
      <c r="M7">
        <v>6.8</v>
      </c>
      <c r="N7">
        <v>10.9</v>
      </c>
      <c r="O7">
        <v>15.2</v>
      </c>
      <c r="P7">
        <v>12.1</v>
      </c>
      <c r="Q7">
        <v>10.7</v>
      </c>
      <c r="R7">
        <v>10</v>
      </c>
      <c r="S7">
        <v>12.4</v>
      </c>
      <c r="T7">
        <v>20.2</v>
      </c>
      <c r="U7">
        <v>10.3</v>
      </c>
      <c r="V7">
        <v>12.9</v>
      </c>
      <c r="W7">
        <v>17.8</v>
      </c>
      <c r="X7">
        <v>17.899999999999999</v>
      </c>
      <c r="Y7">
        <v>16.600000000000001</v>
      </c>
      <c r="Z7">
        <v>19.100000000000001</v>
      </c>
      <c r="AA7">
        <v>18.100000000000001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22.8</v>
      </c>
      <c r="E8">
        <v>22</v>
      </c>
      <c r="F8">
        <v>21.4</v>
      </c>
      <c r="G8">
        <v>24.9</v>
      </c>
      <c r="H8">
        <v>26.7</v>
      </c>
      <c r="I8">
        <v>22</v>
      </c>
      <c r="J8">
        <v>13.5</v>
      </c>
      <c r="K8">
        <v>8.1999999999999993</v>
      </c>
      <c r="L8">
        <v>9</v>
      </c>
      <c r="M8">
        <v>8.6999999999999993</v>
      </c>
      <c r="N8">
        <v>13.7</v>
      </c>
      <c r="O8">
        <v>11.4</v>
      </c>
      <c r="P8">
        <v>13.3</v>
      </c>
      <c r="Q8">
        <v>13.2</v>
      </c>
      <c r="R8">
        <v>15.3</v>
      </c>
      <c r="S8">
        <v>12.4</v>
      </c>
      <c r="T8">
        <v>16.600000000000001</v>
      </c>
      <c r="U8">
        <v>14.5</v>
      </c>
      <c r="V8">
        <v>14.8</v>
      </c>
      <c r="W8">
        <v>9.4</v>
      </c>
      <c r="X8">
        <v>15.1</v>
      </c>
      <c r="Y8">
        <v>20.3</v>
      </c>
      <c r="Z8">
        <v>17.399999999999999</v>
      </c>
      <c r="AA8">
        <v>18.8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24.2</v>
      </c>
      <c r="E9">
        <v>32.1</v>
      </c>
      <c r="F9">
        <v>33.200000000000003</v>
      </c>
      <c r="G9">
        <v>36.1</v>
      </c>
      <c r="H9">
        <v>28.5</v>
      </c>
      <c r="I9">
        <v>19.5</v>
      </c>
      <c r="J9">
        <v>15.4</v>
      </c>
      <c r="K9">
        <v>9.3000000000000007</v>
      </c>
      <c r="L9">
        <v>10.199999999999999</v>
      </c>
      <c r="M9">
        <v>10.7</v>
      </c>
      <c r="N9">
        <v>13.1</v>
      </c>
      <c r="O9">
        <v>11.5</v>
      </c>
      <c r="P9">
        <v>13.8</v>
      </c>
      <c r="Q9">
        <v>11.9</v>
      </c>
      <c r="R9">
        <v>15.4</v>
      </c>
      <c r="S9">
        <v>10.9</v>
      </c>
      <c r="T9">
        <v>10.5</v>
      </c>
      <c r="U9">
        <v>14.7</v>
      </c>
      <c r="V9">
        <v>10.3</v>
      </c>
      <c r="W9">
        <v>14.7</v>
      </c>
      <c r="X9">
        <v>13.4</v>
      </c>
      <c r="Y9">
        <v>19.2</v>
      </c>
      <c r="Z9">
        <v>19.2</v>
      </c>
      <c r="AA9">
        <v>24.4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21.6</v>
      </c>
      <c r="E10">
        <v>25.7</v>
      </c>
      <c r="F10">
        <v>22.4</v>
      </c>
      <c r="G10">
        <v>25.4</v>
      </c>
      <c r="H10">
        <v>36.5</v>
      </c>
      <c r="I10">
        <v>20.9</v>
      </c>
      <c r="J10">
        <v>18.399999999999999</v>
      </c>
      <c r="K10">
        <v>10.1</v>
      </c>
      <c r="L10">
        <v>7.9</v>
      </c>
      <c r="M10">
        <v>9.6999999999999993</v>
      </c>
      <c r="N10">
        <v>14.3</v>
      </c>
      <c r="O10">
        <v>15</v>
      </c>
      <c r="P10">
        <v>9.6</v>
      </c>
      <c r="Q10">
        <v>9.4</v>
      </c>
      <c r="R10">
        <v>10.3</v>
      </c>
      <c r="S10">
        <v>9.9</v>
      </c>
      <c r="T10">
        <v>15.7</v>
      </c>
      <c r="U10">
        <v>7.9</v>
      </c>
      <c r="V10">
        <v>8.6999999999999993</v>
      </c>
      <c r="W10">
        <v>11.9</v>
      </c>
      <c r="X10">
        <v>16.2</v>
      </c>
      <c r="Y10">
        <v>14.6</v>
      </c>
      <c r="Z10">
        <v>17.3</v>
      </c>
      <c r="AA10">
        <v>19.899999999999999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19.3</v>
      </c>
      <c r="E11">
        <v>29</v>
      </c>
      <c r="F11">
        <v>25.2</v>
      </c>
      <c r="G11">
        <v>30.6</v>
      </c>
      <c r="H11">
        <v>36.700000000000003</v>
      </c>
      <c r="I11">
        <v>18.7</v>
      </c>
      <c r="J11">
        <v>22.5</v>
      </c>
      <c r="K11">
        <v>18.7</v>
      </c>
      <c r="L11">
        <v>19.2</v>
      </c>
      <c r="M11">
        <v>13.7</v>
      </c>
      <c r="N11">
        <v>13.5</v>
      </c>
      <c r="O11">
        <v>12.9</v>
      </c>
      <c r="P11">
        <v>11.9</v>
      </c>
      <c r="Q11">
        <v>12.2</v>
      </c>
      <c r="R11">
        <v>15.5</v>
      </c>
      <c r="S11">
        <v>12.8</v>
      </c>
      <c r="T11">
        <v>17.7</v>
      </c>
      <c r="U11">
        <v>14.5</v>
      </c>
      <c r="V11">
        <v>17.3</v>
      </c>
      <c r="W11">
        <v>21.9</v>
      </c>
      <c r="X11">
        <v>12.6</v>
      </c>
      <c r="Y11">
        <v>23.1</v>
      </c>
      <c r="Z11">
        <v>19.600000000000001</v>
      </c>
      <c r="AA11">
        <v>18.8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19.7</v>
      </c>
      <c r="E12">
        <v>21.5</v>
      </c>
      <c r="F12">
        <v>19.5</v>
      </c>
      <c r="G12">
        <v>19.899999999999999</v>
      </c>
      <c r="H12">
        <v>28.5</v>
      </c>
      <c r="I12">
        <v>23</v>
      </c>
      <c r="J12">
        <v>22.4</v>
      </c>
      <c r="K12">
        <v>19.100000000000001</v>
      </c>
      <c r="L12">
        <v>21.2</v>
      </c>
      <c r="M12">
        <v>20.9</v>
      </c>
      <c r="N12">
        <v>17.3</v>
      </c>
      <c r="O12">
        <v>20</v>
      </c>
      <c r="P12">
        <v>16.399999999999999</v>
      </c>
      <c r="Q12">
        <v>19.100000000000001</v>
      </c>
      <c r="R12">
        <v>18.100000000000001</v>
      </c>
      <c r="S12">
        <v>21.7</v>
      </c>
      <c r="T12">
        <v>18.7</v>
      </c>
      <c r="U12">
        <v>13.4</v>
      </c>
      <c r="V12">
        <v>13.3</v>
      </c>
      <c r="W12">
        <v>13.9</v>
      </c>
      <c r="X12">
        <v>15.1</v>
      </c>
      <c r="Y12">
        <v>18</v>
      </c>
      <c r="Z12">
        <v>19.100000000000001</v>
      </c>
      <c r="AA12">
        <v>19.7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28.3</v>
      </c>
      <c r="E13">
        <v>32.5</v>
      </c>
      <c r="F13">
        <v>20.3</v>
      </c>
      <c r="G13">
        <v>30.1</v>
      </c>
      <c r="H13">
        <v>21.4</v>
      </c>
      <c r="I13">
        <v>18.5</v>
      </c>
      <c r="J13">
        <v>14.8</v>
      </c>
      <c r="K13">
        <v>8.8000000000000007</v>
      </c>
      <c r="L13">
        <v>10.1</v>
      </c>
      <c r="M13">
        <v>10.199999999999999</v>
      </c>
      <c r="N13">
        <v>12.2</v>
      </c>
      <c r="O13">
        <v>14.1</v>
      </c>
      <c r="P13">
        <v>11.5</v>
      </c>
      <c r="Q13">
        <v>12.8</v>
      </c>
      <c r="R13">
        <v>14.1</v>
      </c>
      <c r="S13">
        <v>11.1</v>
      </c>
      <c r="T13">
        <v>13.1</v>
      </c>
      <c r="U13">
        <v>11</v>
      </c>
      <c r="V13">
        <v>14</v>
      </c>
      <c r="W13">
        <v>13.9</v>
      </c>
      <c r="X13">
        <v>11.2</v>
      </c>
      <c r="Y13">
        <v>14.4</v>
      </c>
      <c r="Z13">
        <v>22.5</v>
      </c>
      <c r="AA13">
        <v>20.7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22.9</v>
      </c>
      <c r="E14">
        <v>23.6</v>
      </c>
      <c r="F14">
        <v>29.6</v>
      </c>
      <c r="G14">
        <v>28.1</v>
      </c>
      <c r="H14">
        <v>24</v>
      </c>
      <c r="I14">
        <v>22.7</v>
      </c>
      <c r="J14">
        <v>17.3</v>
      </c>
      <c r="K14">
        <v>10</v>
      </c>
      <c r="L14">
        <v>8.8000000000000007</v>
      </c>
      <c r="M14">
        <v>10.9</v>
      </c>
      <c r="N14">
        <v>16.100000000000001</v>
      </c>
      <c r="O14">
        <v>13.8</v>
      </c>
      <c r="P14">
        <v>11.1</v>
      </c>
      <c r="Q14">
        <v>9.8000000000000007</v>
      </c>
      <c r="R14">
        <v>11.6</v>
      </c>
      <c r="S14">
        <v>12</v>
      </c>
      <c r="T14">
        <v>12.2</v>
      </c>
      <c r="U14">
        <v>14</v>
      </c>
      <c r="V14">
        <v>9.9</v>
      </c>
      <c r="W14">
        <v>12.2</v>
      </c>
      <c r="X14">
        <v>14.7</v>
      </c>
      <c r="Y14">
        <v>16.3</v>
      </c>
      <c r="Z14">
        <v>21.7</v>
      </c>
      <c r="AA14">
        <v>18.3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24</v>
      </c>
      <c r="E15">
        <v>35.200000000000003</v>
      </c>
      <c r="F15">
        <v>34.299999999999997</v>
      </c>
      <c r="G15">
        <v>26.9</v>
      </c>
      <c r="H15">
        <v>23.8</v>
      </c>
      <c r="I15">
        <v>22.8</v>
      </c>
      <c r="J15">
        <v>16.7</v>
      </c>
      <c r="K15">
        <v>9.6</v>
      </c>
      <c r="L15">
        <v>5.8</v>
      </c>
      <c r="M15">
        <v>11.9</v>
      </c>
      <c r="N15">
        <v>12</v>
      </c>
      <c r="O15">
        <v>12.5</v>
      </c>
      <c r="P15">
        <v>11.4</v>
      </c>
      <c r="Q15">
        <v>8.8000000000000007</v>
      </c>
      <c r="R15">
        <v>9.6</v>
      </c>
      <c r="S15">
        <v>6.8</v>
      </c>
      <c r="T15">
        <v>8.3000000000000007</v>
      </c>
      <c r="U15">
        <v>9.4</v>
      </c>
      <c r="V15">
        <v>8.8000000000000007</v>
      </c>
      <c r="W15">
        <v>12.9</v>
      </c>
      <c r="X15">
        <v>12.7</v>
      </c>
      <c r="Y15">
        <v>16.899999999999999</v>
      </c>
      <c r="Z15">
        <v>24.2</v>
      </c>
      <c r="AA15">
        <v>21.6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23.1</v>
      </c>
      <c r="E16">
        <v>22.1</v>
      </c>
      <c r="F16">
        <v>31.4</v>
      </c>
      <c r="G16">
        <v>37.299999999999997</v>
      </c>
      <c r="H16">
        <v>27.8</v>
      </c>
      <c r="I16">
        <v>24.1</v>
      </c>
      <c r="J16">
        <v>17.2</v>
      </c>
      <c r="K16">
        <v>9.4</v>
      </c>
      <c r="L16">
        <v>9.4</v>
      </c>
      <c r="M16">
        <v>11.4</v>
      </c>
      <c r="N16">
        <v>11.5</v>
      </c>
      <c r="O16">
        <v>12.9</v>
      </c>
      <c r="P16">
        <v>13.1</v>
      </c>
      <c r="Q16">
        <v>10.1</v>
      </c>
      <c r="R16">
        <v>14.8</v>
      </c>
      <c r="S16">
        <v>9.8000000000000007</v>
      </c>
      <c r="T16">
        <v>11.1</v>
      </c>
      <c r="U16">
        <v>9.1999999999999993</v>
      </c>
      <c r="V16">
        <v>12.3</v>
      </c>
      <c r="W16">
        <v>13.4</v>
      </c>
      <c r="X16">
        <v>16.8</v>
      </c>
      <c r="Y16">
        <v>16.3</v>
      </c>
      <c r="Z16">
        <v>15.1</v>
      </c>
      <c r="AA16">
        <v>20.7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22.6</v>
      </c>
      <c r="E17">
        <v>22.7</v>
      </c>
      <c r="F17">
        <v>28.3</v>
      </c>
      <c r="G17">
        <v>28.3</v>
      </c>
      <c r="H17">
        <v>35.299999999999997</v>
      </c>
      <c r="I17">
        <v>26.7</v>
      </c>
      <c r="J17">
        <v>16</v>
      </c>
      <c r="K17">
        <v>6.9</v>
      </c>
      <c r="L17">
        <v>7.2</v>
      </c>
      <c r="M17">
        <v>9.6999999999999993</v>
      </c>
      <c r="N17">
        <v>14.1</v>
      </c>
      <c r="O17">
        <v>10.7</v>
      </c>
      <c r="P17">
        <v>9.4</v>
      </c>
      <c r="Q17">
        <v>7</v>
      </c>
      <c r="R17">
        <v>10</v>
      </c>
      <c r="S17">
        <v>7.6</v>
      </c>
      <c r="T17">
        <v>7.5</v>
      </c>
      <c r="U17">
        <v>8.1999999999999993</v>
      </c>
      <c r="V17">
        <v>9.1</v>
      </c>
      <c r="W17">
        <v>10.5</v>
      </c>
      <c r="X17">
        <v>16.2</v>
      </c>
      <c r="Y17">
        <v>7.1</v>
      </c>
      <c r="Z17">
        <v>19.899999999999999</v>
      </c>
      <c r="AA17">
        <v>23.1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20.399999999999999</v>
      </c>
      <c r="E18">
        <v>22.4</v>
      </c>
      <c r="F18">
        <v>29</v>
      </c>
      <c r="G18">
        <v>28.3</v>
      </c>
      <c r="H18">
        <v>22.4</v>
      </c>
      <c r="I18">
        <v>23.2</v>
      </c>
      <c r="J18">
        <v>10.9</v>
      </c>
      <c r="K18">
        <v>16.600000000000001</v>
      </c>
      <c r="L18">
        <v>16.600000000000001</v>
      </c>
      <c r="M18">
        <v>13.3</v>
      </c>
      <c r="N18">
        <v>13</v>
      </c>
      <c r="O18">
        <v>12.9</v>
      </c>
      <c r="P18">
        <v>17.3</v>
      </c>
      <c r="Q18">
        <v>17.3</v>
      </c>
      <c r="R18">
        <v>19.100000000000001</v>
      </c>
      <c r="S18">
        <v>18</v>
      </c>
      <c r="T18">
        <v>15.8</v>
      </c>
      <c r="U18">
        <v>19</v>
      </c>
      <c r="V18">
        <v>13.9</v>
      </c>
      <c r="W18">
        <v>15.9</v>
      </c>
      <c r="X18">
        <v>15.4</v>
      </c>
      <c r="Y18">
        <v>18.100000000000001</v>
      </c>
      <c r="Z18">
        <v>17.2</v>
      </c>
      <c r="AA18">
        <v>25.4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15</v>
      </c>
      <c r="E19">
        <v>23.2</v>
      </c>
      <c r="F19">
        <v>21.3</v>
      </c>
      <c r="G19">
        <v>31.4</v>
      </c>
      <c r="H19">
        <v>25.7</v>
      </c>
      <c r="I19">
        <v>27.6</v>
      </c>
      <c r="J19">
        <v>24.7</v>
      </c>
      <c r="K19">
        <v>20.100000000000001</v>
      </c>
      <c r="L19">
        <v>21.2</v>
      </c>
      <c r="M19">
        <v>22.2</v>
      </c>
      <c r="N19">
        <v>19.2</v>
      </c>
      <c r="O19">
        <v>20.399999999999999</v>
      </c>
      <c r="P19">
        <v>21.5</v>
      </c>
      <c r="Q19">
        <v>18.5</v>
      </c>
      <c r="R19">
        <v>18.399999999999999</v>
      </c>
      <c r="S19">
        <v>16.7</v>
      </c>
      <c r="T19">
        <v>20.3</v>
      </c>
      <c r="U19">
        <v>16.2</v>
      </c>
      <c r="V19">
        <v>16.3</v>
      </c>
      <c r="W19">
        <v>16.7</v>
      </c>
      <c r="X19">
        <v>20.3</v>
      </c>
      <c r="Y19">
        <v>18</v>
      </c>
      <c r="Z19">
        <v>19.399999999999999</v>
      </c>
      <c r="AA19">
        <v>17.899999999999999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25.2</v>
      </c>
      <c r="E20">
        <v>35.200000000000003</v>
      </c>
      <c r="F20">
        <v>24.1</v>
      </c>
      <c r="G20">
        <v>26.7</v>
      </c>
      <c r="H20">
        <v>21.8</v>
      </c>
      <c r="I20">
        <v>23.4</v>
      </c>
      <c r="J20">
        <v>13</v>
      </c>
      <c r="K20">
        <v>8.9</v>
      </c>
      <c r="L20">
        <v>8.5</v>
      </c>
      <c r="M20">
        <v>11.2</v>
      </c>
      <c r="N20">
        <v>12.2</v>
      </c>
      <c r="O20">
        <v>13.5</v>
      </c>
      <c r="P20">
        <v>15.7</v>
      </c>
      <c r="Q20">
        <v>11.1</v>
      </c>
      <c r="R20">
        <v>16.7</v>
      </c>
      <c r="S20">
        <v>12.5</v>
      </c>
      <c r="T20">
        <v>10</v>
      </c>
      <c r="U20">
        <v>10.199999999999999</v>
      </c>
      <c r="V20">
        <v>16.2</v>
      </c>
      <c r="W20">
        <v>10.7</v>
      </c>
      <c r="X20">
        <v>16.100000000000001</v>
      </c>
      <c r="Y20">
        <v>13.8</v>
      </c>
      <c r="Z20">
        <v>18.899999999999999</v>
      </c>
      <c r="AA20">
        <v>23.6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23.4</v>
      </c>
      <c r="E21">
        <v>37.5</v>
      </c>
      <c r="F21">
        <v>12.3</v>
      </c>
      <c r="G21">
        <v>18.3</v>
      </c>
      <c r="H21">
        <v>24.7</v>
      </c>
      <c r="I21">
        <v>18.399999999999999</v>
      </c>
      <c r="J21">
        <v>9.4</v>
      </c>
      <c r="K21">
        <v>7.4</v>
      </c>
      <c r="L21">
        <v>9.4</v>
      </c>
      <c r="M21">
        <v>13.9</v>
      </c>
      <c r="N21">
        <v>9.3000000000000007</v>
      </c>
      <c r="O21">
        <v>12.9</v>
      </c>
      <c r="P21">
        <v>12.8</v>
      </c>
      <c r="Q21">
        <v>13.4</v>
      </c>
      <c r="R21">
        <v>11.2</v>
      </c>
      <c r="S21">
        <v>10.4</v>
      </c>
      <c r="T21">
        <v>12.9</v>
      </c>
      <c r="U21">
        <v>12.3</v>
      </c>
      <c r="V21">
        <v>14</v>
      </c>
      <c r="W21">
        <v>15.6</v>
      </c>
      <c r="X21">
        <v>19.600000000000001</v>
      </c>
      <c r="Y21">
        <v>13.2</v>
      </c>
      <c r="Z21">
        <v>19.8</v>
      </c>
      <c r="AA21">
        <v>21.9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28.2</v>
      </c>
      <c r="E22">
        <v>28.2</v>
      </c>
      <c r="F22">
        <v>31.8</v>
      </c>
      <c r="G22">
        <v>24.7</v>
      </c>
      <c r="H22">
        <v>25.7</v>
      </c>
      <c r="I22">
        <v>20.6</v>
      </c>
      <c r="J22">
        <v>13.1</v>
      </c>
      <c r="K22">
        <v>6.1</v>
      </c>
      <c r="L22">
        <v>9.8000000000000007</v>
      </c>
      <c r="M22">
        <v>11.8</v>
      </c>
      <c r="N22">
        <v>15.5</v>
      </c>
      <c r="O22">
        <v>14</v>
      </c>
      <c r="P22">
        <v>10.1</v>
      </c>
      <c r="Q22">
        <v>8.1999999999999993</v>
      </c>
      <c r="R22">
        <v>13.3</v>
      </c>
      <c r="S22">
        <v>11.7</v>
      </c>
      <c r="T22">
        <v>12.4</v>
      </c>
      <c r="U22">
        <v>9.8000000000000007</v>
      </c>
      <c r="V22">
        <v>10.4</v>
      </c>
      <c r="W22">
        <v>15.2</v>
      </c>
      <c r="X22">
        <v>9.6</v>
      </c>
      <c r="Y22">
        <v>16</v>
      </c>
      <c r="Z22">
        <v>20.8</v>
      </c>
      <c r="AA22">
        <v>24.6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17.600000000000001</v>
      </c>
      <c r="E23">
        <v>33.799999999999997</v>
      </c>
      <c r="F23">
        <v>23.3</v>
      </c>
      <c r="G23">
        <v>36.5</v>
      </c>
      <c r="H23">
        <v>19.899999999999999</v>
      </c>
      <c r="I23">
        <v>22.6</v>
      </c>
      <c r="J23">
        <v>13.4</v>
      </c>
      <c r="K23">
        <v>6.4</v>
      </c>
      <c r="L23">
        <v>7.3</v>
      </c>
      <c r="M23">
        <v>10.9</v>
      </c>
      <c r="N23">
        <v>11.4</v>
      </c>
      <c r="O23">
        <v>13.8</v>
      </c>
      <c r="P23">
        <v>9.1</v>
      </c>
      <c r="Q23">
        <v>6.9</v>
      </c>
      <c r="R23">
        <v>13.1</v>
      </c>
      <c r="S23">
        <v>13.4</v>
      </c>
      <c r="T23">
        <v>12.6</v>
      </c>
      <c r="U23">
        <v>14.4</v>
      </c>
      <c r="V23">
        <v>17.100000000000001</v>
      </c>
      <c r="W23">
        <v>11.4</v>
      </c>
      <c r="X23">
        <v>13.7</v>
      </c>
      <c r="Y23">
        <v>22</v>
      </c>
      <c r="Z23">
        <v>19.5</v>
      </c>
      <c r="AA23">
        <v>20.7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26.6</v>
      </c>
      <c r="E24">
        <v>30.5</v>
      </c>
      <c r="F24">
        <v>33.4</v>
      </c>
      <c r="G24">
        <v>30.1</v>
      </c>
      <c r="H24">
        <v>14.4</v>
      </c>
      <c r="I24">
        <v>32.5</v>
      </c>
      <c r="J24">
        <v>13</v>
      </c>
      <c r="K24">
        <v>8</v>
      </c>
      <c r="L24">
        <v>5.7</v>
      </c>
      <c r="M24">
        <v>14.3</v>
      </c>
      <c r="N24">
        <v>10</v>
      </c>
      <c r="O24">
        <v>12.7</v>
      </c>
      <c r="P24">
        <v>10.7</v>
      </c>
      <c r="Q24">
        <v>12.8</v>
      </c>
      <c r="R24">
        <v>9.4</v>
      </c>
      <c r="S24">
        <v>10.1</v>
      </c>
      <c r="T24">
        <v>8.4</v>
      </c>
      <c r="U24">
        <v>7.9</v>
      </c>
      <c r="V24">
        <v>9.1999999999999993</v>
      </c>
      <c r="W24">
        <v>8.8000000000000007</v>
      </c>
      <c r="X24">
        <v>18.399999999999999</v>
      </c>
      <c r="Y24">
        <v>15.6</v>
      </c>
      <c r="Z24">
        <v>17.7</v>
      </c>
      <c r="AA24">
        <v>22.8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23.4</v>
      </c>
      <c r="E25">
        <v>23.5</v>
      </c>
      <c r="F25">
        <v>24</v>
      </c>
      <c r="G25">
        <v>23.4</v>
      </c>
      <c r="H25">
        <v>25.5</v>
      </c>
      <c r="I25">
        <v>22.1</v>
      </c>
      <c r="J25">
        <v>16</v>
      </c>
      <c r="K25">
        <v>16.5</v>
      </c>
      <c r="L25">
        <v>18.100000000000001</v>
      </c>
      <c r="M25">
        <v>9.3000000000000007</v>
      </c>
      <c r="N25">
        <v>11.1</v>
      </c>
      <c r="O25">
        <v>14.1</v>
      </c>
      <c r="P25">
        <v>12.8</v>
      </c>
      <c r="Q25">
        <v>11.1</v>
      </c>
      <c r="R25">
        <v>15.8</v>
      </c>
      <c r="S25">
        <v>7.9</v>
      </c>
      <c r="T25">
        <v>8.9</v>
      </c>
      <c r="U25">
        <v>15.6</v>
      </c>
      <c r="V25">
        <v>10.7</v>
      </c>
      <c r="W25">
        <v>16.100000000000001</v>
      </c>
      <c r="X25">
        <v>22.5</v>
      </c>
      <c r="Y25">
        <v>17.5</v>
      </c>
      <c r="Z25">
        <v>14.8</v>
      </c>
      <c r="AA25">
        <v>18.3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22.4</v>
      </c>
      <c r="E26">
        <v>25.6</v>
      </c>
      <c r="F26">
        <v>20.2</v>
      </c>
      <c r="G26">
        <v>24.3</v>
      </c>
      <c r="H26">
        <v>33.200000000000003</v>
      </c>
      <c r="I26">
        <v>22.2</v>
      </c>
      <c r="J26">
        <v>21.3</v>
      </c>
      <c r="K26">
        <v>17.5</v>
      </c>
      <c r="L26">
        <v>19.100000000000001</v>
      </c>
      <c r="M26">
        <v>20.399999999999999</v>
      </c>
      <c r="N26">
        <v>20</v>
      </c>
      <c r="O26">
        <v>15.2</v>
      </c>
      <c r="P26">
        <v>17.100000000000001</v>
      </c>
      <c r="Q26">
        <v>19.600000000000001</v>
      </c>
      <c r="R26">
        <v>18.8</v>
      </c>
      <c r="S26">
        <v>14</v>
      </c>
      <c r="T26">
        <v>15.9</v>
      </c>
      <c r="U26">
        <v>14.8</v>
      </c>
      <c r="V26">
        <v>18.8</v>
      </c>
      <c r="W26">
        <v>16.100000000000001</v>
      </c>
      <c r="X26">
        <v>18.3</v>
      </c>
      <c r="Y26">
        <v>15.6</v>
      </c>
      <c r="Z26">
        <v>22</v>
      </c>
      <c r="AA26">
        <v>16.100000000000001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29.2</v>
      </c>
      <c r="E27">
        <v>26.7</v>
      </c>
      <c r="F27">
        <v>20.8</v>
      </c>
      <c r="G27">
        <v>24.6</v>
      </c>
      <c r="H27">
        <v>23.8</v>
      </c>
      <c r="I27">
        <v>23.2</v>
      </c>
      <c r="J27">
        <v>12.6</v>
      </c>
      <c r="K27">
        <v>9.1</v>
      </c>
      <c r="L27">
        <v>8</v>
      </c>
      <c r="M27">
        <v>13.7</v>
      </c>
      <c r="N27">
        <v>12.1</v>
      </c>
      <c r="O27">
        <v>14.1</v>
      </c>
      <c r="P27">
        <v>8.1999999999999993</v>
      </c>
      <c r="Q27">
        <v>17.7</v>
      </c>
      <c r="R27">
        <v>13.2</v>
      </c>
      <c r="S27">
        <v>13.6</v>
      </c>
      <c r="T27">
        <v>10.3</v>
      </c>
      <c r="U27">
        <v>9</v>
      </c>
      <c r="V27">
        <v>9.8000000000000007</v>
      </c>
      <c r="W27">
        <v>17.5</v>
      </c>
      <c r="X27">
        <v>15.9</v>
      </c>
      <c r="Y27">
        <v>15.4</v>
      </c>
      <c r="Z27">
        <v>17.600000000000001</v>
      </c>
      <c r="AA27">
        <v>19.100000000000001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22.6</v>
      </c>
      <c r="E28">
        <v>22.4</v>
      </c>
      <c r="F28">
        <v>23.9</v>
      </c>
      <c r="G28">
        <v>23.2</v>
      </c>
      <c r="H28">
        <v>31.5</v>
      </c>
      <c r="I28">
        <v>19.8</v>
      </c>
      <c r="J28">
        <v>10.6</v>
      </c>
      <c r="K28">
        <v>7.3</v>
      </c>
      <c r="L28">
        <v>9.4</v>
      </c>
      <c r="M28">
        <v>7</v>
      </c>
      <c r="N28">
        <v>13.8</v>
      </c>
      <c r="O28">
        <v>12.4</v>
      </c>
      <c r="P28">
        <v>10.5</v>
      </c>
      <c r="Q28">
        <v>8.6</v>
      </c>
      <c r="R28">
        <v>10.7</v>
      </c>
      <c r="S28">
        <v>18.100000000000001</v>
      </c>
      <c r="T28">
        <v>14</v>
      </c>
      <c r="U28">
        <v>12.5</v>
      </c>
      <c r="V28">
        <v>11.8</v>
      </c>
      <c r="W28">
        <v>11.8</v>
      </c>
      <c r="X28">
        <v>15.9</v>
      </c>
      <c r="Y28">
        <v>18.3</v>
      </c>
      <c r="Z28">
        <v>16.5</v>
      </c>
      <c r="AA28">
        <v>16.3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24.9</v>
      </c>
      <c r="E29">
        <v>33</v>
      </c>
      <c r="F29">
        <v>35.6</v>
      </c>
      <c r="G29">
        <v>21.5</v>
      </c>
      <c r="H29">
        <v>21.5</v>
      </c>
      <c r="I29">
        <v>21.9</v>
      </c>
      <c r="J29">
        <v>15.6</v>
      </c>
      <c r="K29">
        <v>8.4</v>
      </c>
      <c r="L29">
        <v>9.6999999999999993</v>
      </c>
      <c r="M29">
        <v>9.6</v>
      </c>
      <c r="N29">
        <v>14.3</v>
      </c>
      <c r="O29">
        <v>14</v>
      </c>
      <c r="P29">
        <v>11</v>
      </c>
      <c r="Q29">
        <v>8.4</v>
      </c>
      <c r="R29">
        <v>13.2</v>
      </c>
      <c r="S29">
        <v>11.7</v>
      </c>
      <c r="T29">
        <v>9.5</v>
      </c>
      <c r="U29">
        <v>10.4</v>
      </c>
      <c r="V29">
        <v>11</v>
      </c>
      <c r="W29">
        <v>11.6</v>
      </c>
      <c r="X29">
        <v>14.1</v>
      </c>
      <c r="Y29">
        <v>15.4</v>
      </c>
      <c r="Z29">
        <v>21.4</v>
      </c>
      <c r="AA29">
        <v>21.2</v>
      </c>
    </row>
    <row r="31" spans="1:27" x14ac:dyDescent="0.25">
      <c r="C31">
        <v>1</v>
      </c>
      <c r="D31">
        <f t="array" ref="D31">MEDIAN(IF($C$3:$C$29=$C31,D$3:D$29,""))</f>
        <v>20.75</v>
      </c>
      <c r="E31">
        <f t="array" ref="E31">MEDIAN(IF($C$3:$C$29=$C31,E$3:E$29,""))</f>
        <v>24.4</v>
      </c>
      <c r="F31">
        <f t="array" ref="F31">MEDIAN(IF($C$3:$C$29=$C31,F$3:F$29,""))</f>
        <v>20.75</v>
      </c>
      <c r="G31">
        <f t="array" ref="G31">MEDIAN(IF($C$3:$C$29=$C31,G$3:G$29,""))</f>
        <v>23.950000000000003</v>
      </c>
      <c r="H31">
        <f t="array" ref="H31">MEDIAN(IF($C$3:$C$29=$C31,H$3:H$29,""))</f>
        <v>28.85</v>
      </c>
      <c r="I31">
        <f t="array" ref="I31">MEDIAN(IF($C$3:$C$29=$C31,I$3:I$29,""))</f>
        <v>23.15</v>
      </c>
      <c r="J31">
        <f t="array" ref="J31">MEDIAN(IF($C$3:$C$29=$C31,J$3:J$29,""))</f>
        <v>21.85</v>
      </c>
      <c r="K31">
        <f t="array" ref="K31">MEDIAN(IF($C$3:$C$29=$C31,K$3:K$29,""))</f>
        <v>19.600000000000001</v>
      </c>
      <c r="L31">
        <f t="array" ref="L31">MEDIAN(IF($C$3:$C$29=$C31,L$3:L$29,""))</f>
        <v>20.149999999999999</v>
      </c>
      <c r="M31">
        <f t="array" ref="M31">MEDIAN(IF($C$3:$C$29=$C31,M$3:M$29,""))</f>
        <v>21.25</v>
      </c>
      <c r="N31">
        <f t="array" ref="N31">MEDIAN(IF($C$3:$C$29=$C31,N$3:N$29,""))</f>
        <v>18.25</v>
      </c>
      <c r="O31">
        <f t="array" ref="O31">MEDIAN(IF($C$3:$C$29=$C31,O$3:O$29,""))</f>
        <v>19.649999999999999</v>
      </c>
      <c r="P31">
        <f t="array" ref="P31">MEDIAN(IF($C$3:$C$29=$C31,P$3:P$29,""))</f>
        <v>16.75</v>
      </c>
      <c r="Q31">
        <f t="array" ref="Q31">MEDIAN(IF($C$3:$C$29=$C31,Q$3:Q$29,""))</f>
        <v>18.8</v>
      </c>
      <c r="R31">
        <f t="array" ref="R31">MEDIAN(IF($C$3:$C$29=$C31,R$3:R$29,""))</f>
        <v>18.25</v>
      </c>
      <c r="S31">
        <f t="array" ref="S31">MEDIAN(IF($C$3:$C$29=$C31,S$3:S$29,""))</f>
        <v>16.05</v>
      </c>
      <c r="T31">
        <f t="array" ref="T31">MEDIAN(IF($C$3:$C$29=$C31,T$3:T$29,""))</f>
        <v>18.7</v>
      </c>
      <c r="U31">
        <f t="array" ref="U31">MEDIAN(IF($C$3:$C$29=$C31,U$3:U$29,""))</f>
        <v>14.3</v>
      </c>
      <c r="V31">
        <f t="array" ref="V31">MEDIAN(IF($C$3:$C$29=$C31,V$3:V$29,""))</f>
        <v>16.850000000000001</v>
      </c>
      <c r="W31">
        <f t="array" ref="W31">MEDIAN(IF($C$3:$C$29=$C31,W$3:W$29,""))</f>
        <v>15.5</v>
      </c>
      <c r="X31">
        <f t="array" ref="X31">MEDIAN(IF($C$3:$C$29=$C31,X$3:X$29,""))</f>
        <v>17.899999999999999</v>
      </c>
      <c r="Y31">
        <f t="array" ref="Y31">MEDIAN(IF($C$3:$C$29=$C31,Y$3:Y$29,""))</f>
        <v>17.7</v>
      </c>
      <c r="Z31">
        <f t="array" ref="Z31">MEDIAN(IF($C$3:$C$29=$C31,Z$3:Z$29,""))</f>
        <v>19.25</v>
      </c>
      <c r="AA31">
        <f t="array" ref="AA31">MEDIAN(IF($C$3:$C$29=$C31,AA$3:AA$29,""))</f>
        <v>18.799999999999997</v>
      </c>
    </row>
    <row r="32" spans="1:27" x14ac:dyDescent="0.25">
      <c r="C32">
        <v>2</v>
      </c>
      <c r="D32">
        <f t="array" ref="D32">MEDIAN(IF($C$3:$C$29=$C32,D$3:D$29,""))</f>
        <v>21.7</v>
      </c>
      <c r="E32">
        <f t="array" ref="E32">MEDIAN(IF($C$3:$C$29=$C32,E$3:E$29,""))</f>
        <v>24.15</v>
      </c>
      <c r="F32">
        <f t="array" ref="F32">MEDIAN(IF($C$3:$C$29=$C32,F$3:F$29,""))</f>
        <v>27.1</v>
      </c>
      <c r="G32">
        <f t="array" ref="G32">MEDIAN(IF($C$3:$C$29=$C32,G$3:G$29,""))</f>
        <v>28.3</v>
      </c>
      <c r="H32">
        <f t="array" ref="H32">MEDIAN(IF($C$3:$C$29=$C32,H$3:H$29,""))</f>
        <v>24.9</v>
      </c>
      <c r="I32">
        <f t="array" ref="I32">MEDIAN(IF($C$3:$C$29=$C32,I$3:I$29,""))</f>
        <v>21.6</v>
      </c>
      <c r="J32">
        <f t="array" ref="J32">MEDIAN(IF($C$3:$C$29=$C32,J$3:J$29,""))</f>
        <v>16.3</v>
      </c>
      <c r="K32">
        <f t="array" ref="K32">MEDIAN(IF($C$3:$C$29=$C32,K$3:K$29,""))</f>
        <v>16.55</v>
      </c>
      <c r="L32">
        <f t="array" ref="L32">MEDIAN(IF($C$3:$C$29=$C32,L$3:L$29,""))</f>
        <v>18.05</v>
      </c>
      <c r="M32">
        <f t="array" ref="M32">MEDIAN(IF($C$3:$C$29=$C32,M$3:M$29,""))</f>
        <v>13.5</v>
      </c>
      <c r="N32">
        <f t="array" ref="N32">MEDIAN(IF($C$3:$C$29=$C32,N$3:N$29,""))</f>
        <v>13.25</v>
      </c>
      <c r="O32">
        <f t="array" ref="O32">MEDIAN(IF($C$3:$C$29=$C32,O$3:O$29,""))</f>
        <v>12.9</v>
      </c>
      <c r="P32">
        <f t="array" ref="P32">MEDIAN(IF($C$3:$C$29=$C32,P$3:P$29,""))</f>
        <v>13.7</v>
      </c>
      <c r="Q32">
        <f t="array" ref="Q32">MEDIAN(IF($C$3:$C$29=$C32,Q$3:Q$29,""))</f>
        <v>12.75</v>
      </c>
      <c r="R32">
        <f t="array" ref="R32">MEDIAN(IF($C$3:$C$29=$C32,R$3:R$29,""))</f>
        <v>15.65</v>
      </c>
      <c r="S32">
        <f t="array" ref="S32">MEDIAN(IF($C$3:$C$29=$C32,S$3:S$29,""))</f>
        <v>15.4</v>
      </c>
      <c r="T32">
        <f t="array" ref="T32">MEDIAN(IF($C$3:$C$29=$C32,T$3:T$29,""))</f>
        <v>16.75</v>
      </c>
      <c r="U32">
        <f t="array" ref="U32">MEDIAN(IF($C$3:$C$29=$C32,U$3:U$29,""))</f>
        <v>15.05</v>
      </c>
      <c r="V32">
        <f t="array" ref="V32">MEDIAN(IF($C$3:$C$29=$C32,V$3:V$29,""))</f>
        <v>15.600000000000001</v>
      </c>
      <c r="W32">
        <f t="array" ref="W32">MEDIAN(IF($C$3:$C$29=$C32,W$3:W$29,""))</f>
        <v>16</v>
      </c>
      <c r="X32">
        <f t="array" ref="X32">MEDIAN(IF($C$3:$C$29=$C32,X$3:X$29,""))</f>
        <v>17.05</v>
      </c>
      <c r="Y32">
        <f t="array" ref="Y32">MEDIAN(IF($C$3:$C$29=$C32,Y$3:Y$29,""))</f>
        <v>17.8</v>
      </c>
      <c r="Z32">
        <f t="array" ref="Z32">MEDIAN(IF($C$3:$C$29=$C32,Z$3:Z$29,""))</f>
        <v>18.399999999999999</v>
      </c>
      <c r="AA32">
        <f t="array" ref="AA32">MEDIAN(IF($C$3:$C$29=$C32,AA$3:AA$29,""))</f>
        <v>19.75</v>
      </c>
    </row>
    <row r="33" spans="3:27" x14ac:dyDescent="0.25">
      <c r="C33">
        <v>3</v>
      </c>
      <c r="D33">
        <f t="array" ref="D33">MEDIAN(IF($C$3:$C$29=$C33,D$3:D$29,""))</f>
        <v>26.75</v>
      </c>
      <c r="E33">
        <f t="array" ref="E33">MEDIAN(IF($C$3:$C$29=$C33,E$3:E$29,""))</f>
        <v>32.5</v>
      </c>
      <c r="F33">
        <f t="array" ref="F33">MEDIAN(IF($C$3:$C$29=$C33,F$3:F$29,""))</f>
        <v>22.450000000000003</v>
      </c>
      <c r="G33">
        <f t="array" ref="G33">MEDIAN(IF($C$3:$C$29=$C33,G$3:G$29,""))</f>
        <v>28.4</v>
      </c>
      <c r="H33">
        <f t="array" ref="H33">MEDIAN(IF($C$3:$C$29=$C33,H$3:H$29,""))</f>
        <v>22.8</v>
      </c>
      <c r="I33">
        <f t="array" ref="I33">MEDIAN(IF($C$3:$C$29=$C33,I$3:I$29,""))</f>
        <v>23.1</v>
      </c>
      <c r="J33">
        <f t="array" ref="J33">MEDIAN(IF($C$3:$C$29=$C33,J$3:J$29,""))</f>
        <v>13.9</v>
      </c>
      <c r="K33">
        <f t="array" ref="K33">MEDIAN(IF($C$3:$C$29=$C33,K$3:K$29,""))</f>
        <v>9</v>
      </c>
      <c r="L33">
        <f t="array" ref="L33">MEDIAN(IF($C$3:$C$29=$C33,L$3:L$29,""))</f>
        <v>8.25</v>
      </c>
      <c r="M33">
        <f t="array" ref="M33">MEDIAN(IF($C$3:$C$29=$C33,M$3:M$29,""))</f>
        <v>10.7</v>
      </c>
      <c r="N33">
        <f t="array" ref="N33">MEDIAN(IF($C$3:$C$29=$C33,N$3:N$29,""))</f>
        <v>12.2</v>
      </c>
      <c r="O33">
        <f t="array" ref="O33">MEDIAN(IF($C$3:$C$29=$C33,O$3:O$29,""))</f>
        <v>14.05</v>
      </c>
      <c r="P33">
        <f t="array" ref="P33">MEDIAN(IF($C$3:$C$29=$C33,P$3:P$29,""))</f>
        <v>11.45</v>
      </c>
      <c r="Q33">
        <f t="array" ref="Q33">MEDIAN(IF($C$3:$C$29=$C33,Q$3:Q$29,""))</f>
        <v>15.25</v>
      </c>
      <c r="R33">
        <f t="array" ref="R33">MEDIAN(IF($C$3:$C$29=$C33,R$3:R$29,""))</f>
        <v>15</v>
      </c>
      <c r="S33">
        <f t="array" ref="S33">MEDIAN(IF($C$3:$C$29=$C33,S$3:S$29,""))</f>
        <v>12.7</v>
      </c>
      <c r="T33">
        <f t="array" ref="T33">MEDIAN(IF($C$3:$C$29=$C33,T$3:T$29,""))</f>
        <v>10.5</v>
      </c>
      <c r="U33">
        <f t="array" ref="U33">MEDIAN(IF($C$3:$C$29=$C33,U$3:U$29,""))</f>
        <v>10.6</v>
      </c>
      <c r="V33">
        <f t="array" ref="V33">MEDIAN(IF($C$3:$C$29=$C33,V$3:V$29,""))</f>
        <v>12.55</v>
      </c>
      <c r="W33">
        <f t="array" ref="W33">MEDIAN(IF($C$3:$C$29=$C33,W$3:W$29,""))</f>
        <v>13.25</v>
      </c>
      <c r="X33">
        <f t="array" ref="X33">MEDIAN(IF($C$3:$C$29=$C33,X$3:X$29,""))</f>
        <v>13.9</v>
      </c>
      <c r="Y33">
        <f t="array" ref="Y33">MEDIAN(IF($C$3:$C$29=$C33,Y$3:Y$29,""))</f>
        <v>14.9</v>
      </c>
      <c r="Z33">
        <f t="array" ref="Z33">MEDIAN(IF($C$3:$C$29=$C33,Z$3:Z$29,""))</f>
        <v>19.049999999999997</v>
      </c>
      <c r="AA33">
        <f t="array" ref="AA33">MEDIAN(IF($C$3:$C$29=$C33,AA$3:AA$29,""))</f>
        <v>22.1</v>
      </c>
    </row>
    <row r="34" spans="3:27" x14ac:dyDescent="0.25">
      <c r="C34">
        <v>4</v>
      </c>
      <c r="D34">
        <f t="array" ref="D34">MEDIAN(IF($C$3:$C$29=$C34,D$3:D$29,""))</f>
        <v>23.15</v>
      </c>
      <c r="E34">
        <f t="array" ref="E34">MEDIAN(IF($C$3:$C$29=$C34,E$3:E$29,""))</f>
        <v>23</v>
      </c>
      <c r="F34">
        <f t="array" ref="F34">MEDIAN(IF($C$3:$C$29=$C34,F$3:F$29,""))</f>
        <v>21.799999999999997</v>
      </c>
      <c r="G34">
        <f t="array" ref="G34">MEDIAN(IF($C$3:$C$29=$C34,G$3:G$29,""))</f>
        <v>24.45</v>
      </c>
      <c r="H34">
        <f t="array" ref="H34">MEDIAN(IF($C$3:$C$29=$C34,H$3:H$29,""))</f>
        <v>26.95</v>
      </c>
      <c r="I34">
        <f t="array" ref="I34">MEDIAN(IF($C$3:$C$29=$C34,I$3:I$29,""))</f>
        <v>20.8</v>
      </c>
      <c r="J34">
        <f t="array" ref="J34">MEDIAN(IF($C$3:$C$29=$C34,J$3:J$29,""))</f>
        <v>13.45</v>
      </c>
      <c r="K34">
        <f t="array" ref="K34">MEDIAN(IF($C$3:$C$29=$C34,K$3:K$29,""))</f>
        <v>8.4499999999999993</v>
      </c>
      <c r="L34">
        <f t="array" ref="L34">MEDIAN(IF($C$3:$C$29=$C34,L$3:L$29,""))</f>
        <v>9.4</v>
      </c>
      <c r="M34">
        <f t="array" ref="M34">MEDIAN(IF($C$3:$C$29=$C34,M$3:M$29,""))</f>
        <v>8.9499999999999993</v>
      </c>
      <c r="N34">
        <f t="array" ref="N34">MEDIAN(IF($C$3:$C$29=$C34,N$3:N$29,""))</f>
        <v>12.350000000000001</v>
      </c>
      <c r="O34">
        <f t="array" ref="O34">MEDIAN(IF($C$3:$C$29=$C34,O$3:O$29,""))</f>
        <v>13.350000000000001</v>
      </c>
      <c r="P34">
        <f t="array" ref="P34">MEDIAN(IF($C$3:$C$29=$C34,P$3:P$29,""))</f>
        <v>11.6</v>
      </c>
      <c r="Q34">
        <f t="array" ref="Q34">MEDIAN(IF($C$3:$C$29=$C34,Q$3:Q$29,""))</f>
        <v>10.25</v>
      </c>
      <c r="R34">
        <f t="array" ref="R34">MEDIAN(IF($C$3:$C$29=$C34,R$3:R$29,""))</f>
        <v>10.95</v>
      </c>
      <c r="S34">
        <f t="array" ref="S34">MEDIAN(IF($C$3:$C$29=$C34,S$3:S$29,""))</f>
        <v>12.2</v>
      </c>
      <c r="T34">
        <f t="array" ref="T34">MEDIAN(IF($C$3:$C$29=$C34,T$3:T$29,""))</f>
        <v>13.45</v>
      </c>
      <c r="U34">
        <f t="array" ref="U34">MEDIAN(IF($C$3:$C$29=$C34,U$3:U$29,""))</f>
        <v>12.4</v>
      </c>
      <c r="V34">
        <f t="array" ref="V34">MEDIAN(IF($C$3:$C$29=$C34,V$3:V$29,""))</f>
        <v>12.350000000000001</v>
      </c>
      <c r="W34">
        <f t="array" ref="W34">MEDIAN(IF($C$3:$C$29=$C34,W$3:W$29,""))</f>
        <v>13.899999999999999</v>
      </c>
      <c r="X34">
        <f t="array" ref="X34">MEDIAN(IF($C$3:$C$29=$C34,X$3:X$29,""))</f>
        <v>16.899999999999999</v>
      </c>
      <c r="Y34">
        <f t="array" ref="Y34">MEDIAN(IF($C$3:$C$29=$C34,Y$3:Y$29,""))</f>
        <v>16.450000000000003</v>
      </c>
      <c r="Z34">
        <f t="array" ref="Z34">MEDIAN(IF($C$3:$C$29=$C34,Z$3:Z$29,""))</f>
        <v>19.450000000000003</v>
      </c>
      <c r="AA34">
        <f t="array" ref="AA34">MEDIAN(IF($C$3:$C$29=$C34,AA$3:AA$29,""))</f>
        <v>18.200000000000003</v>
      </c>
    </row>
    <row r="35" spans="3:27" x14ac:dyDescent="0.25">
      <c r="C35">
        <v>5</v>
      </c>
      <c r="D35">
        <f t="array" ref="D35">MEDIAN(IF($C$3:$C$29=$C35,D$3:D$29,""))</f>
        <v>24.45</v>
      </c>
      <c r="E35">
        <f t="array" ref="E35">MEDIAN(IF($C$3:$C$29=$C35,E$3:E$29,""))</f>
        <v>30.6</v>
      </c>
      <c r="F35">
        <f t="array" ref="F35">MEDIAN(IF($C$3:$C$29=$C35,F$3:F$29,""))</f>
        <v>33.049999999999997</v>
      </c>
      <c r="G35">
        <f t="array" ref="G35">MEDIAN(IF($C$3:$C$29=$C35,G$3:G$29,""))</f>
        <v>24.799999999999997</v>
      </c>
      <c r="H35">
        <f t="array" ref="H35">MEDIAN(IF($C$3:$C$29=$C35,H$3:H$29,""))</f>
        <v>24.75</v>
      </c>
      <c r="I35">
        <f t="array" ref="I35">MEDIAN(IF($C$3:$C$29=$C35,I$3:I$29,""))</f>
        <v>21.95</v>
      </c>
      <c r="J35">
        <f t="array" ref="J35">MEDIAN(IF($C$3:$C$29=$C35,J$3:J$29,""))</f>
        <v>14.55</v>
      </c>
      <c r="K35">
        <f t="array" ref="K35">MEDIAN(IF($C$3:$C$29=$C35,K$3:K$29,""))</f>
        <v>8.3000000000000007</v>
      </c>
      <c r="L35">
        <f t="array" ref="L35">MEDIAN(IF($C$3:$C$29=$C35,L$3:L$29,""))</f>
        <v>9.35</v>
      </c>
      <c r="M35">
        <f t="array" ref="M35">MEDIAN(IF($C$3:$C$29=$C35,M$3:M$29,""))</f>
        <v>10.7</v>
      </c>
      <c r="N35">
        <f t="array" ref="N35">MEDIAN(IF($C$3:$C$29=$C35,N$3:N$29,""))</f>
        <v>14</v>
      </c>
      <c r="O35">
        <f t="array" ref="O35">MEDIAN(IF($C$3:$C$29=$C35,O$3:O$29,""))</f>
        <v>13.25</v>
      </c>
      <c r="P35">
        <f t="array" ref="P35">MEDIAN(IF($C$3:$C$29=$C35,P$3:P$29,""))</f>
        <v>11.2</v>
      </c>
      <c r="Q35">
        <f t="array" ref="Q35">MEDIAN(IF($C$3:$C$29=$C35,Q$3:Q$29,""))</f>
        <v>8.6000000000000014</v>
      </c>
      <c r="R35">
        <f t="array" ref="R35">MEDIAN(IF($C$3:$C$29=$C35,R$3:R$29,""))</f>
        <v>13.25</v>
      </c>
      <c r="S35">
        <f t="array" ref="S35">MEDIAN(IF($C$3:$C$29=$C35,S$3:S$29,""))</f>
        <v>11.7</v>
      </c>
      <c r="T35">
        <f t="array" ref="T35">MEDIAN(IF($C$3:$C$29=$C35,T$3:T$29,""))</f>
        <v>10.95</v>
      </c>
      <c r="U35">
        <f t="array" ref="U35">MEDIAN(IF($C$3:$C$29=$C35,U$3:U$29,""))</f>
        <v>10.100000000000001</v>
      </c>
      <c r="V35">
        <f t="array" ref="V35">MEDIAN(IF($C$3:$C$29=$C35,V$3:V$29,""))</f>
        <v>10.7</v>
      </c>
      <c r="W35">
        <f t="array" ref="W35">MEDIAN(IF($C$3:$C$29=$C35,W$3:W$29,""))</f>
        <v>12.25</v>
      </c>
      <c r="X35">
        <f t="array" ref="X35">MEDIAN(IF($C$3:$C$29=$C35,X$3:X$29,""))</f>
        <v>13.399999999999999</v>
      </c>
      <c r="Y35">
        <f t="array" ref="Y35">MEDIAN(IF($C$3:$C$29=$C35,Y$3:Y$29,""))</f>
        <v>16.45</v>
      </c>
      <c r="Z35">
        <f t="array" ref="Z35">MEDIAN(IF($C$3:$C$29=$C35,Z$3:Z$29,""))</f>
        <v>21.1</v>
      </c>
      <c r="AA35">
        <f t="array" ref="AA35">MEDIAN(IF($C$3:$C$29=$C35,AA$3:AA$29,""))</f>
        <v>21.4</v>
      </c>
    </row>
    <row r="36" spans="3:27" x14ac:dyDescent="0.25">
      <c r="C36">
        <v>6</v>
      </c>
      <c r="D36">
        <f t="array" ref="D36">MEDIAN(IF($C$3:$C$29=$C36,D$3:D$29,""))</f>
        <v>23.1</v>
      </c>
      <c r="E36">
        <f t="array" ref="E36">MEDIAN(IF($C$3:$C$29=$C36,E$3:E$29,""))</f>
        <v>32.1</v>
      </c>
      <c r="F36">
        <f t="array" ref="F36">MEDIAN(IF($C$3:$C$29=$C36,F$3:F$29,""))</f>
        <v>31.4</v>
      </c>
      <c r="G36">
        <f t="array" ref="G36">MEDIAN(IF($C$3:$C$29=$C36,G$3:G$29,""))</f>
        <v>36.5</v>
      </c>
      <c r="H36">
        <f t="array" ref="H36">MEDIAN(IF($C$3:$C$29=$C36,H$3:H$29,""))</f>
        <v>27.8</v>
      </c>
      <c r="I36">
        <f t="array" ref="I36">MEDIAN(IF($C$3:$C$29=$C36,I$3:I$29,""))</f>
        <v>22.6</v>
      </c>
      <c r="J36">
        <f t="array" ref="J36">MEDIAN(IF($C$3:$C$29=$C36,J$3:J$29,""))</f>
        <v>15.4</v>
      </c>
      <c r="K36">
        <f t="array" ref="K36">MEDIAN(IF($C$3:$C$29=$C36,K$3:K$29,""))</f>
        <v>9.3000000000000007</v>
      </c>
      <c r="L36">
        <f t="array" ref="L36">MEDIAN(IF($C$3:$C$29=$C36,L$3:L$29,""))</f>
        <v>9.4</v>
      </c>
      <c r="M36">
        <f t="array" ref="M36">MEDIAN(IF($C$3:$C$29=$C36,M$3:M$29,""))</f>
        <v>10.9</v>
      </c>
      <c r="N36">
        <f t="array" ref="N36">MEDIAN(IF($C$3:$C$29=$C36,N$3:N$29,""))</f>
        <v>11.5</v>
      </c>
      <c r="O36">
        <f t="array" ref="O36">MEDIAN(IF($C$3:$C$29=$C36,O$3:O$29,""))</f>
        <v>12.9</v>
      </c>
      <c r="P36">
        <f t="array" ref="P36">MEDIAN(IF($C$3:$C$29=$C36,P$3:P$29,""))</f>
        <v>13.1</v>
      </c>
      <c r="Q36">
        <f t="array" ref="Q36">MEDIAN(IF($C$3:$C$29=$C36,Q$3:Q$29,""))</f>
        <v>10.1</v>
      </c>
      <c r="R36">
        <f t="array" ref="R36">MEDIAN(IF($C$3:$C$29=$C36,R$3:R$29,""))</f>
        <v>14.8</v>
      </c>
      <c r="S36">
        <f t="array" ref="S36">MEDIAN(IF($C$3:$C$29=$C36,S$3:S$29,""))</f>
        <v>10.9</v>
      </c>
      <c r="T36">
        <f t="array" ref="T36">MEDIAN(IF($C$3:$C$29=$C36,T$3:T$29,""))</f>
        <v>11.1</v>
      </c>
      <c r="U36">
        <f t="array" ref="U36">MEDIAN(IF($C$3:$C$29=$C36,U$3:U$29,""))</f>
        <v>14.4</v>
      </c>
      <c r="V36">
        <f t="array" ref="V36">MEDIAN(IF($C$3:$C$29=$C36,V$3:V$29,""))</f>
        <v>12.3</v>
      </c>
      <c r="W36">
        <f t="array" ref="W36">MEDIAN(IF($C$3:$C$29=$C36,W$3:W$29,""))</f>
        <v>13.4</v>
      </c>
      <c r="X36">
        <f t="array" ref="X36">MEDIAN(IF($C$3:$C$29=$C36,X$3:X$29,""))</f>
        <v>13.7</v>
      </c>
      <c r="Y36">
        <f t="array" ref="Y36">MEDIAN(IF($C$3:$C$29=$C36,Y$3:Y$29,""))</f>
        <v>19.2</v>
      </c>
      <c r="Z36">
        <f t="array" ref="Z36">MEDIAN(IF($C$3:$C$29=$C36,Z$3:Z$29,""))</f>
        <v>19.2</v>
      </c>
      <c r="AA36">
        <f t="array" ref="AA36">MEDIAN(IF($C$3:$C$29=$C36,AA$3:AA$29,""))</f>
        <v>20.7</v>
      </c>
    </row>
    <row r="37" spans="3:27" x14ac:dyDescent="0.25">
      <c r="C37">
        <v>7</v>
      </c>
      <c r="D37">
        <f t="array" ref="D37">MEDIAN(IF($C$3:$C$29=$C37,D$3:D$29,""))</f>
        <v>24.6</v>
      </c>
      <c r="E37">
        <f t="array" ref="E37">MEDIAN(IF($C$3:$C$29=$C37,E$3:E$29,""))</f>
        <v>24.2</v>
      </c>
      <c r="F37">
        <f t="array" ref="F37">MEDIAN(IF($C$3:$C$29=$C37,F$3:F$29,""))</f>
        <v>29.5</v>
      </c>
      <c r="G37">
        <f t="array" ref="G37">MEDIAN(IF($C$3:$C$29=$C37,G$3:G$29,""))</f>
        <v>26.85</v>
      </c>
      <c r="H37">
        <f t="array" ref="H37">MEDIAN(IF($C$3:$C$29=$C37,H$3:H$29,""))</f>
        <v>30.45</v>
      </c>
      <c r="I37">
        <f t="array" ref="I37">MEDIAN(IF($C$3:$C$29=$C37,I$3:I$29,""))</f>
        <v>26.549999999999997</v>
      </c>
      <c r="J37">
        <f t="array" ref="J37">MEDIAN(IF($C$3:$C$29=$C37,J$3:J$29,""))</f>
        <v>15.9</v>
      </c>
      <c r="K37">
        <f t="array" ref="K37">MEDIAN(IF($C$3:$C$29=$C37,K$3:K$29,""))</f>
        <v>9.0500000000000007</v>
      </c>
      <c r="L37">
        <f t="array" ref="L37">MEDIAN(IF($C$3:$C$29=$C37,L$3:L$29,""))</f>
        <v>7.45</v>
      </c>
      <c r="M37">
        <f t="array" ref="M37">MEDIAN(IF($C$3:$C$29=$C37,M$3:M$29,""))</f>
        <v>10.75</v>
      </c>
      <c r="N37">
        <f t="array" ref="N37">MEDIAN(IF($C$3:$C$29=$C37,N$3:N$29,""))</f>
        <v>12.05</v>
      </c>
      <c r="O37">
        <f t="array" ref="O37">MEDIAN(IF($C$3:$C$29=$C37,O$3:O$29,""))</f>
        <v>12.649999999999999</v>
      </c>
      <c r="P37">
        <f t="array" ref="P37">MEDIAN(IF($C$3:$C$29=$C37,P$3:P$29,""))</f>
        <v>10.149999999999999</v>
      </c>
      <c r="Q37">
        <f t="array" ref="Q37">MEDIAN(IF($C$3:$C$29=$C37,Q$3:Q$29,""))</f>
        <v>9.9</v>
      </c>
      <c r="R37">
        <f t="array" ref="R37">MEDIAN(IF($C$3:$C$29=$C37,R$3:R$29,""))</f>
        <v>10.15</v>
      </c>
      <c r="S37">
        <f t="array" ref="S37">MEDIAN(IF($C$3:$C$29=$C37,S$3:S$29,""))</f>
        <v>10</v>
      </c>
      <c r="T37">
        <f t="array" ref="T37">MEDIAN(IF($C$3:$C$29=$C37,T$3:T$29,""))</f>
        <v>11.2</v>
      </c>
      <c r="U37">
        <f t="array" ref="U37">MEDIAN(IF($C$3:$C$29=$C37,U$3:U$29,""))</f>
        <v>8.0500000000000007</v>
      </c>
      <c r="V37">
        <f t="array" ref="V37">MEDIAN(IF($C$3:$C$29=$C37,V$3:V$29,""))</f>
        <v>9.1499999999999986</v>
      </c>
      <c r="W37">
        <f t="array" ref="W37">MEDIAN(IF($C$3:$C$29=$C37,W$3:W$29,""))</f>
        <v>11.2</v>
      </c>
      <c r="X37">
        <f t="array" ref="X37">MEDIAN(IF($C$3:$C$29=$C37,X$3:X$29,""))</f>
        <v>16.2</v>
      </c>
      <c r="Y37">
        <f t="array" ref="Y37">MEDIAN(IF($C$3:$C$29=$C37,Y$3:Y$29,""))</f>
        <v>13.1</v>
      </c>
      <c r="Z37">
        <f t="array" ref="Z37">MEDIAN(IF($C$3:$C$29=$C37,Z$3:Z$29,""))</f>
        <v>18.799999999999997</v>
      </c>
      <c r="AA37">
        <f t="array" ref="AA37">MEDIAN(IF($C$3:$C$29=$C37,AA$3:AA$29,""))</f>
        <v>22.75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9"/>
  <dimension ref="A1:AA37"/>
  <sheetViews>
    <sheetView workbookViewId="0">
      <selection activeCell="G31" sqref="G31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21.6</v>
      </c>
      <c r="E3">
        <v>24.2</v>
      </c>
      <c r="F3">
        <v>26.5</v>
      </c>
      <c r="G3">
        <v>22</v>
      </c>
      <c r="H3">
        <v>26.5</v>
      </c>
      <c r="I3">
        <v>18.8</v>
      </c>
      <c r="J3">
        <v>8.8000000000000007</v>
      </c>
      <c r="K3">
        <v>8.4</v>
      </c>
      <c r="L3">
        <v>6.3</v>
      </c>
      <c r="M3">
        <v>7.6</v>
      </c>
      <c r="N3">
        <v>7.4</v>
      </c>
      <c r="O3">
        <v>10.7</v>
      </c>
      <c r="P3">
        <v>11.8</v>
      </c>
      <c r="Q3">
        <v>7.7</v>
      </c>
      <c r="R3">
        <v>11.4</v>
      </c>
      <c r="S3">
        <v>15.9</v>
      </c>
      <c r="T3">
        <v>11.4</v>
      </c>
      <c r="U3">
        <v>7.9</v>
      </c>
      <c r="V3">
        <v>8.3000000000000007</v>
      </c>
      <c r="W3">
        <v>9.6</v>
      </c>
      <c r="X3">
        <v>12.9</v>
      </c>
      <c r="Y3">
        <v>12</v>
      </c>
      <c r="Z3">
        <v>21.9</v>
      </c>
      <c r="AA3">
        <v>18.600000000000001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20.9</v>
      </c>
      <c r="E4">
        <v>24.3</v>
      </c>
      <c r="F4">
        <v>31.9</v>
      </c>
      <c r="G4">
        <v>23.1</v>
      </c>
      <c r="H4">
        <v>25.3</v>
      </c>
      <c r="I4">
        <v>12.1</v>
      </c>
      <c r="J4">
        <v>13.4</v>
      </c>
      <c r="K4">
        <v>11.8</v>
      </c>
      <c r="L4">
        <v>11.9</v>
      </c>
      <c r="M4">
        <v>11</v>
      </c>
      <c r="N4">
        <v>8.8000000000000007</v>
      </c>
      <c r="O4">
        <v>6.8</v>
      </c>
      <c r="P4">
        <v>10.199999999999999</v>
      </c>
      <c r="Q4">
        <v>10.199999999999999</v>
      </c>
      <c r="R4">
        <v>13.7</v>
      </c>
      <c r="S4">
        <v>17.600000000000001</v>
      </c>
      <c r="T4">
        <v>13.4</v>
      </c>
      <c r="U4">
        <v>5.9</v>
      </c>
      <c r="V4">
        <v>15.5</v>
      </c>
      <c r="W4">
        <v>10.199999999999999</v>
      </c>
      <c r="Y4">
        <v>15.8</v>
      </c>
      <c r="Z4">
        <v>14.3</v>
      </c>
      <c r="AA4">
        <v>17.600000000000001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16.8</v>
      </c>
      <c r="E5">
        <v>27.3</v>
      </c>
      <c r="F5">
        <v>27.7</v>
      </c>
      <c r="G5">
        <v>23.2</v>
      </c>
      <c r="H5">
        <v>24.5</v>
      </c>
      <c r="I5">
        <v>14.4</v>
      </c>
      <c r="J5">
        <v>14.2</v>
      </c>
      <c r="K5">
        <v>19.5</v>
      </c>
      <c r="L5">
        <v>20.6</v>
      </c>
      <c r="M5">
        <v>17.600000000000001</v>
      </c>
      <c r="N5">
        <v>14.1</v>
      </c>
      <c r="O5">
        <v>23.8</v>
      </c>
      <c r="P5">
        <v>9.4</v>
      </c>
      <c r="Q5">
        <v>8.1999999999999993</v>
      </c>
      <c r="R5">
        <v>9.1</v>
      </c>
      <c r="S5">
        <v>12.5</v>
      </c>
      <c r="T5">
        <v>21.5</v>
      </c>
      <c r="U5">
        <v>14.5</v>
      </c>
      <c r="V5">
        <v>15.4</v>
      </c>
      <c r="W5">
        <v>9.1</v>
      </c>
      <c r="X5">
        <v>19.399999999999999</v>
      </c>
      <c r="Y5">
        <v>12.4</v>
      </c>
      <c r="Z5">
        <v>17.399999999999999</v>
      </c>
      <c r="AA5">
        <v>23.6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22.4</v>
      </c>
      <c r="E6">
        <v>29</v>
      </c>
      <c r="F6">
        <v>25.3</v>
      </c>
      <c r="G6">
        <v>25.6</v>
      </c>
      <c r="H6">
        <v>35.1</v>
      </c>
      <c r="I6">
        <v>18.899999999999999</v>
      </c>
      <c r="J6">
        <v>12.9</v>
      </c>
      <c r="K6">
        <v>8.5</v>
      </c>
      <c r="L6">
        <v>7.3</v>
      </c>
      <c r="M6">
        <v>6.9</v>
      </c>
      <c r="N6">
        <v>23.8</v>
      </c>
      <c r="O6">
        <v>7.1</v>
      </c>
      <c r="P6">
        <v>9.8000000000000007</v>
      </c>
      <c r="Q6">
        <v>14.6</v>
      </c>
      <c r="R6">
        <v>9.8000000000000007</v>
      </c>
      <c r="S6">
        <v>7.7</v>
      </c>
      <c r="T6">
        <v>7.7</v>
      </c>
      <c r="U6">
        <v>10.9</v>
      </c>
      <c r="V6">
        <v>7.9</v>
      </c>
      <c r="W6">
        <v>10.6</v>
      </c>
      <c r="X6">
        <v>7</v>
      </c>
      <c r="Y6">
        <v>11.9</v>
      </c>
      <c r="Z6">
        <v>15.5</v>
      </c>
      <c r="AA6">
        <v>21.5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19.399999999999999</v>
      </c>
      <c r="E7">
        <v>19.5</v>
      </c>
      <c r="F7">
        <v>18.899999999999999</v>
      </c>
      <c r="G7">
        <v>26.1</v>
      </c>
      <c r="H7">
        <v>25.6</v>
      </c>
      <c r="I7">
        <v>18</v>
      </c>
      <c r="J7">
        <v>11.4</v>
      </c>
      <c r="K7">
        <v>8.1999999999999993</v>
      </c>
      <c r="L7">
        <v>7.5</v>
      </c>
      <c r="M7">
        <v>7.2</v>
      </c>
      <c r="N7">
        <v>5.4</v>
      </c>
      <c r="O7">
        <v>11.6</v>
      </c>
      <c r="P7">
        <v>10.4</v>
      </c>
      <c r="Q7">
        <v>12.7</v>
      </c>
      <c r="R7">
        <v>7.3</v>
      </c>
      <c r="S7">
        <v>9.6</v>
      </c>
      <c r="U7">
        <v>8.1</v>
      </c>
      <c r="V7">
        <v>10.6</v>
      </c>
      <c r="W7">
        <v>16.399999999999999</v>
      </c>
      <c r="X7">
        <v>12.1</v>
      </c>
      <c r="Y7">
        <v>13.3</v>
      </c>
      <c r="Z7">
        <v>12.9</v>
      </c>
      <c r="AA7">
        <v>19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24</v>
      </c>
      <c r="E8">
        <v>17.7</v>
      </c>
      <c r="F8">
        <v>22.4</v>
      </c>
      <c r="G8">
        <v>19.8</v>
      </c>
      <c r="H8">
        <v>23.4</v>
      </c>
      <c r="I8">
        <v>16</v>
      </c>
      <c r="J8">
        <v>9.6</v>
      </c>
      <c r="K8">
        <v>4.8</v>
      </c>
      <c r="L8">
        <v>6.6</v>
      </c>
      <c r="M8">
        <v>10</v>
      </c>
      <c r="N8">
        <v>14.2</v>
      </c>
      <c r="O8">
        <v>12.1</v>
      </c>
      <c r="Q8">
        <v>9.1999999999999993</v>
      </c>
      <c r="R8">
        <v>9.9</v>
      </c>
      <c r="S8">
        <v>6.4</v>
      </c>
      <c r="T8">
        <v>14.1</v>
      </c>
      <c r="U8">
        <v>18.100000000000001</v>
      </c>
      <c r="V8">
        <v>21.4</v>
      </c>
      <c r="W8">
        <v>7.2</v>
      </c>
      <c r="X8">
        <v>14</v>
      </c>
      <c r="Y8">
        <v>8.1</v>
      </c>
      <c r="Z8">
        <v>13.4</v>
      </c>
      <c r="AA8">
        <v>13.9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25.8</v>
      </c>
      <c r="E9">
        <v>22.2</v>
      </c>
      <c r="F9">
        <v>30.9</v>
      </c>
      <c r="G9">
        <v>34.5</v>
      </c>
      <c r="H9">
        <v>21.1</v>
      </c>
      <c r="I9">
        <v>14.4</v>
      </c>
      <c r="J9">
        <v>12.5</v>
      </c>
      <c r="K9">
        <v>10.5</v>
      </c>
      <c r="L9">
        <v>9.1999999999999993</v>
      </c>
      <c r="M9">
        <v>7.4</v>
      </c>
      <c r="N9">
        <v>7.6</v>
      </c>
      <c r="O9">
        <v>8</v>
      </c>
      <c r="P9">
        <v>11.6</v>
      </c>
      <c r="Q9">
        <v>7.2</v>
      </c>
      <c r="R9">
        <v>11</v>
      </c>
      <c r="S9">
        <v>8.1999999999999993</v>
      </c>
      <c r="T9">
        <v>5.6</v>
      </c>
      <c r="U9">
        <v>14.5</v>
      </c>
      <c r="V9">
        <v>3.6</v>
      </c>
      <c r="W9">
        <v>16.3</v>
      </c>
      <c r="Y9">
        <v>7.9</v>
      </c>
      <c r="Z9">
        <v>15.3</v>
      </c>
      <c r="AA9">
        <v>21.6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19.100000000000001</v>
      </c>
      <c r="E10">
        <v>25.2</v>
      </c>
      <c r="F10">
        <v>20.8</v>
      </c>
      <c r="G10">
        <v>22.4</v>
      </c>
      <c r="H10">
        <v>36</v>
      </c>
      <c r="I10">
        <v>17.100000000000001</v>
      </c>
      <c r="J10">
        <v>13.7</v>
      </c>
      <c r="K10">
        <v>7.2</v>
      </c>
      <c r="L10">
        <v>8.8000000000000007</v>
      </c>
      <c r="M10">
        <v>7.4</v>
      </c>
      <c r="N10">
        <v>10.199999999999999</v>
      </c>
      <c r="O10">
        <v>6.9</v>
      </c>
      <c r="P10">
        <v>5.4</v>
      </c>
      <c r="Q10">
        <v>8.6</v>
      </c>
      <c r="R10">
        <v>6</v>
      </c>
      <c r="T10">
        <v>6.7</v>
      </c>
      <c r="U10">
        <v>8</v>
      </c>
      <c r="V10">
        <v>4.7</v>
      </c>
      <c r="W10">
        <v>5</v>
      </c>
      <c r="X10">
        <v>15</v>
      </c>
      <c r="Y10">
        <v>9.6999999999999993</v>
      </c>
      <c r="Z10">
        <v>14.8</v>
      </c>
      <c r="AA10">
        <v>17.5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20.5</v>
      </c>
      <c r="E11">
        <v>22.9</v>
      </c>
      <c r="F11">
        <v>24</v>
      </c>
      <c r="G11">
        <v>24.9</v>
      </c>
      <c r="H11">
        <v>31.6</v>
      </c>
      <c r="I11">
        <v>16.899999999999999</v>
      </c>
      <c r="J11">
        <v>14.1</v>
      </c>
      <c r="K11">
        <v>15.4</v>
      </c>
      <c r="L11">
        <v>12</v>
      </c>
      <c r="M11">
        <v>12</v>
      </c>
      <c r="N11">
        <v>9.1</v>
      </c>
      <c r="O11">
        <v>11.1</v>
      </c>
      <c r="P11">
        <v>10.6</v>
      </c>
      <c r="Q11">
        <v>11.9</v>
      </c>
      <c r="R11">
        <v>12.3</v>
      </c>
      <c r="S11">
        <v>8.9</v>
      </c>
      <c r="T11">
        <v>15.3</v>
      </c>
      <c r="U11">
        <v>9.8000000000000007</v>
      </c>
      <c r="V11">
        <v>13.8</v>
      </c>
      <c r="W11">
        <v>16.3</v>
      </c>
      <c r="X11">
        <v>10.4</v>
      </c>
      <c r="Y11">
        <v>24.2</v>
      </c>
      <c r="Z11">
        <v>16.899999999999999</v>
      </c>
      <c r="AA11">
        <v>12.7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15.3</v>
      </c>
      <c r="E12">
        <v>23.3</v>
      </c>
      <c r="F12">
        <v>24.3</v>
      </c>
      <c r="G12">
        <v>19.100000000000001</v>
      </c>
      <c r="H12">
        <v>24.2</v>
      </c>
      <c r="I12">
        <v>16.5</v>
      </c>
      <c r="J12">
        <v>16</v>
      </c>
      <c r="K12">
        <v>18.2</v>
      </c>
      <c r="L12">
        <v>16.5</v>
      </c>
      <c r="M12">
        <v>9.8000000000000007</v>
      </c>
      <c r="N12">
        <v>14</v>
      </c>
      <c r="O12">
        <v>11.6</v>
      </c>
      <c r="P12">
        <v>10.1</v>
      </c>
      <c r="Q12">
        <v>13.7</v>
      </c>
      <c r="R12">
        <v>9.4</v>
      </c>
      <c r="S12">
        <v>22.2</v>
      </c>
      <c r="T12">
        <v>18.8</v>
      </c>
      <c r="U12">
        <v>7.8</v>
      </c>
      <c r="V12">
        <v>11.1</v>
      </c>
      <c r="W12">
        <v>10.1</v>
      </c>
      <c r="Y12">
        <v>18.399999999999999</v>
      </c>
      <c r="Z12">
        <v>9.9</v>
      </c>
      <c r="AA12">
        <v>15.3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21</v>
      </c>
      <c r="E13">
        <v>23.5</v>
      </c>
      <c r="F13">
        <v>20.3</v>
      </c>
      <c r="G13">
        <v>24.5</v>
      </c>
      <c r="H13">
        <v>15.7</v>
      </c>
      <c r="I13">
        <v>15.5</v>
      </c>
      <c r="J13">
        <v>12.5</v>
      </c>
      <c r="K13">
        <v>7.6</v>
      </c>
      <c r="L13">
        <v>12.1</v>
      </c>
      <c r="M13">
        <v>5.5</v>
      </c>
      <c r="N13">
        <v>12.5</v>
      </c>
      <c r="O13">
        <v>15.7</v>
      </c>
      <c r="P13">
        <v>5.4</v>
      </c>
      <c r="Q13">
        <v>10.199999999999999</v>
      </c>
      <c r="R13">
        <v>6</v>
      </c>
      <c r="S13">
        <v>10.3</v>
      </c>
      <c r="U13">
        <v>4.2</v>
      </c>
      <c r="V13">
        <v>19.3</v>
      </c>
      <c r="W13">
        <v>14.3</v>
      </c>
      <c r="X13">
        <v>9.5</v>
      </c>
      <c r="Y13">
        <v>9.9</v>
      </c>
      <c r="Z13">
        <v>22.1</v>
      </c>
      <c r="AA13">
        <v>24.5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16.7</v>
      </c>
      <c r="E14">
        <v>22.8</v>
      </c>
      <c r="F14">
        <v>25.2</v>
      </c>
      <c r="G14">
        <v>20.100000000000001</v>
      </c>
      <c r="H14">
        <v>20</v>
      </c>
      <c r="I14">
        <v>17.100000000000001</v>
      </c>
      <c r="J14">
        <v>12.1</v>
      </c>
      <c r="K14">
        <v>8.5</v>
      </c>
      <c r="L14">
        <v>7.4</v>
      </c>
      <c r="M14">
        <v>10.199999999999999</v>
      </c>
      <c r="N14">
        <v>7.7</v>
      </c>
      <c r="O14">
        <v>14.5</v>
      </c>
      <c r="P14">
        <v>7</v>
      </c>
      <c r="Q14">
        <v>6.8</v>
      </c>
      <c r="R14">
        <v>7.2</v>
      </c>
      <c r="S14">
        <v>12</v>
      </c>
      <c r="T14">
        <v>8.8000000000000007</v>
      </c>
      <c r="U14">
        <v>7.9</v>
      </c>
      <c r="V14">
        <v>12.4</v>
      </c>
      <c r="W14">
        <v>11.8</v>
      </c>
      <c r="X14">
        <v>7.7</v>
      </c>
      <c r="Y14">
        <v>10.6</v>
      </c>
      <c r="Z14">
        <v>17.899999999999999</v>
      </c>
      <c r="AA14">
        <v>17.100000000000001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18.899999999999999</v>
      </c>
      <c r="E15">
        <v>38.9</v>
      </c>
      <c r="F15">
        <v>22.5</v>
      </c>
      <c r="G15">
        <v>22.6</v>
      </c>
      <c r="H15">
        <v>22.8</v>
      </c>
      <c r="I15">
        <v>20.5</v>
      </c>
      <c r="J15">
        <v>9.3000000000000007</v>
      </c>
      <c r="K15">
        <v>9.6</v>
      </c>
      <c r="L15">
        <v>5.9</v>
      </c>
      <c r="M15">
        <v>13</v>
      </c>
      <c r="N15">
        <v>8.1999999999999993</v>
      </c>
      <c r="O15">
        <v>10</v>
      </c>
      <c r="P15">
        <v>7.9</v>
      </c>
      <c r="Q15">
        <v>4.2</v>
      </c>
      <c r="R15">
        <v>4.9000000000000004</v>
      </c>
      <c r="S15">
        <v>5.9</v>
      </c>
      <c r="T15">
        <v>7.2</v>
      </c>
      <c r="U15">
        <v>11.5</v>
      </c>
      <c r="V15">
        <v>4.4000000000000004</v>
      </c>
      <c r="W15">
        <v>9.4</v>
      </c>
      <c r="X15">
        <v>9.1</v>
      </c>
      <c r="Y15">
        <v>13.1</v>
      </c>
      <c r="Z15">
        <v>21.2</v>
      </c>
      <c r="AA15">
        <v>17.7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21.6</v>
      </c>
      <c r="E16">
        <v>20.8</v>
      </c>
      <c r="F16">
        <v>26.5</v>
      </c>
      <c r="G16">
        <v>28.2</v>
      </c>
      <c r="H16">
        <v>32.700000000000003</v>
      </c>
      <c r="I16">
        <v>21.2</v>
      </c>
      <c r="J16">
        <v>12.1</v>
      </c>
      <c r="K16">
        <v>7.5</v>
      </c>
      <c r="L16">
        <v>7.2</v>
      </c>
      <c r="M16">
        <v>7.6</v>
      </c>
      <c r="N16">
        <v>7.1</v>
      </c>
      <c r="O16">
        <v>13.6</v>
      </c>
      <c r="P16">
        <v>8.4</v>
      </c>
      <c r="Q16">
        <v>6.5</v>
      </c>
      <c r="R16">
        <v>11.2</v>
      </c>
      <c r="S16">
        <v>6.8</v>
      </c>
      <c r="T16">
        <v>12.3</v>
      </c>
      <c r="U16">
        <v>6.3</v>
      </c>
      <c r="V16">
        <v>25.8</v>
      </c>
      <c r="W16">
        <v>8.1</v>
      </c>
      <c r="X16">
        <v>12.4</v>
      </c>
      <c r="Y16">
        <v>11.2</v>
      </c>
      <c r="Z16">
        <v>11.4</v>
      </c>
      <c r="AA16">
        <v>24.7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22.1</v>
      </c>
      <c r="E17">
        <v>21.5</v>
      </c>
      <c r="F17">
        <v>27.5</v>
      </c>
      <c r="G17">
        <v>25</v>
      </c>
      <c r="H17">
        <v>27.9</v>
      </c>
      <c r="I17">
        <v>26.5</v>
      </c>
      <c r="J17">
        <v>12.2</v>
      </c>
      <c r="K17">
        <v>7</v>
      </c>
      <c r="L17">
        <v>8.1</v>
      </c>
      <c r="M17">
        <v>5.8</v>
      </c>
      <c r="N17">
        <v>8.3000000000000007</v>
      </c>
      <c r="O17">
        <v>7</v>
      </c>
      <c r="P17">
        <v>16.2</v>
      </c>
      <c r="Q17">
        <v>5.6</v>
      </c>
      <c r="R17">
        <v>10.7</v>
      </c>
      <c r="S17">
        <v>8.3000000000000007</v>
      </c>
      <c r="T17">
        <v>5.6</v>
      </c>
      <c r="U17">
        <v>5.3</v>
      </c>
      <c r="V17">
        <v>8.5</v>
      </c>
      <c r="W17">
        <v>8.4</v>
      </c>
      <c r="X17">
        <v>10.7</v>
      </c>
      <c r="Y17">
        <v>3</v>
      </c>
      <c r="Z17">
        <v>21.7</v>
      </c>
      <c r="AA17">
        <v>21.8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20.7</v>
      </c>
      <c r="E18">
        <v>20.399999999999999</v>
      </c>
      <c r="F18">
        <v>31.6</v>
      </c>
      <c r="G18">
        <v>26.6</v>
      </c>
      <c r="H18">
        <v>18.5</v>
      </c>
      <c r="I18">
        <v>19.7</v>
      </c>
      <c r="J18">
        <v>9.1</v>
      </c>
      <c r="K18">
        <v>16.2</v>
      </c>
      <c r="L18">
        <v>13.5</v>
      </c>
      <c r="M18">
        <v>8.6999999999999993</v>
      </c>
      <c r="N18">
        <v>6.8</v>
      </c>
      <c r="O18">
        <v>8.8000000000000007</v>
      </c>
      <c r="P18">
        <v>15.6</v>
      </c>
      <c r="Q18">
        <v>13.2</v>
      </c>
      <c r="S18">
        <v>8.6</v>
      </c>
      <c r="T18">
        <v>12.5</v>
      </c>
      <c r="U18">
        <v>14.8</v>
      </c>
      <c r="V18">
        <v>11.4</v>
      </c>
      <c r="W18">
        <v>3.8</v>
      </c>
      <c r="X18">
        <v>26.2</v>
      </c>
      <c r="Y18">
        <v>14.5</v>
      </c>
      <c r="Z18">
        <v>13.4</v>
      </c>
      <c r="AA18">
        <v>25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20.8</v>
      </c>
      <c r="E19">
        <v>25.3</v>
      </c>
      <c r="F19">
        <v>17</v>
      </c>
      <c r="G19">
        <v>29.4</v>
      </c>
      <c r="H19">
        <v>18.8</v>
      </c>
      <c r="I19">
        <v>19.399999999999999</v>
      </c>
      <c r="J19">
        <v>25.1</v>
      </c>
      <c r="K19">
        <v>17.2</v>
      </c>
      <c r="L19">
        <v>26.4</v>
      </c>
      <c r="M19">
        <v>21.5</v>
      </c>
      <c r="N19">
        <v>21.4</v>
      </c>
      <c r="O19">
        <v>26.7</v>
      </c>
      <c r="P19">
        <v>20</v>
      </c>
      <c r="Q19">
        <v>11.9</v>
      </c>
      <c r="R19">
        <v>17.600000000000001</v>
      </c>
      <c r="S19">
        <v>13.3</v>
      </c>
      <c r="T19">
        <v>15.8</v>
      </c>
      <c r="U19">
        <v>10.8</v>
      </c>
      <c r="V19">
        <v>7.9</v>
      </c>
      <c r="W19">
        <v>17.100000000000001</v>
      </c>
      <c r="X19">
        <v>14.9</v>
      </c>
      <c r="Y19">
        <v>18.600000000000001</v>
      </c>
      <c r="Z19">
        <v>11.2</v>
      </c>
      <c r="AA19">
        <v>12.1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20.5</v>
      </c>
      <c r="E20">
        <v>34.6</v>
      </c>
      <c r="F20">
        <v>21.9</v>
      </c>
      <c r="G20">
        <v>25.5</v>
      </c>
      <c r="H20">
        <v>22.2</v>
      </c>
      <c r="I20">
        <v>19.3</v>
      </c>
      <c r="J20">
        <v>7.7</v>
      </c>
      <c r="K20">
        <v>8</v>
      </c>
      <c r="L20">
        <v>7.4</v>
      </c>
      <c r="N20">
        <v>11.6</v>
      </c>
      <c r="O20">
        <v>13.3</v>
      </c>
      <c r="P20">
        <v>14.4</v>
      </c>
      <c r="Q20">
        <v>6.4</v>
      </c>
      <c r="R20">
        <v>9.3000000000000007</v>
      </c>
      <c r="S20">
        <v>14.5</v>
      </c>
      <c r="T20">
        <v>10</v>
      </c>
      <c r="U20">
        <v>8.1999999999999993</v>
      </c>
      <c r="V20">
        <v>13.4</v>
      </c>
      <c r="W20">
        <v>7.7</v>
      </c>
      <c r="Y20">
        <v>10.7</v>
      </c>
      <c r="Z20">
        <v>13.4</v>
      </c>
      <c r="AA20">
        <v>23.6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19.7</v>
      </c>
      <c r="E21">
        <v>36.4</v>
      </c>
      <c r="F21">
        <v>12.5</v>
      </c>
      <c r="G21">
        <v>21.7</v>
      </c>
      <c r="H21">
        <v>22.6</v>
      </c>
      <c r="I21">
        <v>15.7</v>
      </c>
      <c r="J21">
        <v>6.4</v>
      </c>
      <c r="K21">
        <v>7.4</v>
      </c>
      <c r="L21">
        <v>12.8</v>
      </c>
      <c r="M21">
        <v>9.3000000000000007</v>
      </c>
      <c r="N21">
        <v>7.1</v>
      </c>
      <c r="O21">
        <v>17.5</v>
      </c>
      <c r="P21">
        <v>11</v>
      </c>
      <c r="Q21">
        <v>13.6</v>
      </c>
      <c r="R21">
        <v>6.7</v>
      </c>
      <c r="S21">
        <v>7</v>
      </c>
      <c r="T21">
        <v>14</v>
      </c>
      <c r="U21">
        <v>8.6999999999999993</v>
      </c>
      <c r="V21">
        <v>12.3</v>
      </c>
      <c r="W21">
        <v>14.1</v>
      </c>
      <c r="X21">
        <v>18.600000000000001</v>
      </c>
      <c r="Y21">
        <v>10.3</v>
      </c>
      <c r="Z21">
        <v>18</v>
      </c>
      <c r="AA21">
        <v>19.600000000000001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25.2</v>
      </c>
      <c r="E22">
        <v>24.8</v>
      </c>
      <c r="F22">
        <v>27.1</v>
      </c>
      <c r="G22">
        <v>22.7</v>
      </c>
      <c r="H22">
        <v>29.2</v>
      </c>
      <c r="I22">
        <v>17.399999999999999</v>
      </c>
      <c r="J22">
        <v>8.4</v>
      </c>
      <c r="K22">
        <v>6.3</v>
      </c>
      <c r="L22">
        <v>6.6</v>
      </c>
      <c r="M22">
        <v>12.8</v>
      </c>
      <c r="N22">
        <v>15.9</v>
      </c>
      <c r="O22">
        <v>17.5</v>
      </c>
      <c r="P22">
        <v>3.5</v>
      </c>
      <c r="Q22">
        <v>13.2</v>
      </c>
      <c r="R22">
        <v>10.3</v>
      </c>
      <c r="S22">
        <v>13.4</v>
      </c>
      <c r="T22">
        <v>6.8</v>
      </c>
      <c r="U22">
        <v>8.5</v>
      </c>
      <c r="V22">
        <v>11.5</v>
      </c>
      <c r="W22">
        <v>13.1</v>
      </c>
      <c r="X22">
        <v>8.5</v>
      </c>
      <c r="Y22">
        <v>8.9</v>
      </c>
      <c r="Z22">
        <v>14.3</v>
      </c>
      <c r="AA22">
        <v>19.600000000000001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17.399999999999999</v>
      </c>
      <c r="E23">
        <v>33.5</v>
      </c>
      <c r="F23">
        <v>17.7</v>
      </c>
      <c r="G23">
        <v>34.5</v>
      </c>
      <c r="H23">
        <v>20.7</v>
      </c>
      <c r="I23">
        <v>19.5</v>
      </c>
      <c r="J23">
        <v>8.6999999999999993</v>
      </c>
      <c r="K23">
        <v>5.2</v>
      </c>
      <c r="L23">
        <v>7.4</v>
      </c>
      <c r="M23">
        <v>7.1</v>
      </c>
      <c r="N23">
        <v>7.6</v>
      </c>
      <c r="O23">
        <v>11.4</v>
      </c>
      <c r="P23">
        <v>6.3</v>
      </c>
      <c r="Q23">
        <v>4.3</v>
      </c>
      <c r="R23">
        <v>6.6</v>
      </c>
      <c r="S23">
        <v>12.3</v>
      </c>
      <c r="T23">
        <v>11.8</v>
      </c>
      <c r="U23">
        <v>12.2</v>
      </c>
      <c r="W23">
        <v>12.1</v>
      </c>
      <c r="X23">
        <v>8.9</v>
      </c>
      <c r="Y23">
        <v>16.5</v>
      </c>
      <c r="Z23">
        <v>14.6</v>
      </c>
      <c r="AA23">
        <v>12.9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23</v>
      </c>
      <c r="E24">
        <v>22.6</v>
      </c>
      <c r="F24">
        <v>33.5</v>
      </c>
      <c r="G24">
        <v>31.1</v>
      </c>
      <c r="H24">
        <v>18.3</v>
      </c>
      <c r="I24">
        <v>37.200000000000003</v>
      </c>
      <c r="J24">
        <v>9.1999999999999993</v>
      </c>
      <c r="K24">
        <v>7.4</v>
      </c>
      <c r="L24">
        <v>5</v>
      </c>
      <c r="M24">
        <v>11.4</v>
      </c>
      <c r="N24">
        <v>6</v>
      </c>
      <c r="O24">
        <v>9.1999999999999993</v>
      </c>
      <c r="P24">
        <v>9.6999999999999993</v>
      </c>
      <c r="Q24">
        <v>7.5</v>
      </c>
      <c r="R24">
        <v>4.5999999999999996</v>
      </c>
      <c r="S24">
        <v>7.2</v>
      </c>
      <c r="T24">
        <v>5.3</v>
      </c>
      <c r="U24">
        <v>5.7</v>
      </c>
      <c r="V24">
        <v>9.6999999999999993</v>
      </c>
      <c r="W24">
        <v>13.9</v>
      </c>
      <c r="X24">
        <v>13.2</v>
      </c>
      <c r="Y24">
        <v>10.8</v>
      </c>
      <c r="Z24">
        <v>16.2</v>
      </c>
      <c r="AA24">
        <v>16.3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23</v>
      </c>
      <c r="E25">
        <v>22.5</v>
      </c>
      <c r="F25">
        <v>28.9</v>
      </c>
      <c r="G25">
        <v>23.8</v>
      </c>
      <c r="H25">
        <v>20.7</v>
      </c>
      <c r="I25">
        <v>15.7</v>
      </c>
      <c r="J25">
        <v>12.5</v>
      </c>
      <c r="K25">
        <v>14.4</v>
      </c>
      <c r="L25">
        <v>22.4</v>
      </c>
      <c r="M25">
        <v>7.6</v>
      </c>
      <c r="N25">
        <v>8.5</v>
      </c>
      <c r="O25">
        <v>12.9</v>
      </c>
      <c r="Q25">
        <v>5.8</v>
      </c>
      <c r="S25">
        <v>6</v>
      </c>
      <c r="T25">
        <v>5</v>
      </c>
      <c r="V25">
        <v>8.1</v>
      </c>
      <c r="Z25">
        <v>10.199999999999999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18.100000000000001</v>
      </c>
      <c r="E26">
        <v>20.6</v>
      </c>
      <c r="F26">
        <v>17.8</v>
      </c>
      <c r="G26">
        <v>24.1</v>
      </c>
      <c r="H26">
        <v>24.9</v>
      </c>
      <c r="I26">
        <v>19.3</v>
      </c>
      <c r="J26">
        <v>15.9</v>
      </c>
      <c r="K26">
        <v>12.7</v>
      </c>
      <c r="L26">
        <v>15.6</v>
      </c>
      <c r="M26">
        <v>13.8</v>
      </c>
      <c r="O26">
        <v>12.3</v>
      </c>
      <c r="P26">
        <v>8.6</v>
      </c>
      <c r="Q26">
        <v>16.5</v>
      </c>
      <c r="R26">
        <v>12.6</v>
      </c>
      <c r="S26">
        <v>11.3</v>
      </c>
      <c r="T26">
        <v>9.6</v>
      </c>
      <c r="U26">
        <v>12.1</v>
      </c>
      <c r="V26">
        <v>13.4</v>
      </c>
      <c r="W26">
        <v>14.1</v>
      </c>
      <c r="X26">
        <v>28.3</v>
      </c>
      <c r="Y26">
        <v>15.5</v>
      </c>
      <c r="Z26">
        <v>13.5</v>
      </c>
      <c r="AA26">
        <v>10.199999999999999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22.8</v>
      </c>
      <c r="E27">
        <v>26.5</v>
      </c>
      <c r="F27">
        <v>22.8</v>
      </c>
      <c r="G27">
        <v>25.9</v>
      </c>
      <c r="H27">
        <v>17.100000000000001</v>
      </c>
      <c r="I27">
        <v>20.6</v>
      </c>
      <c r="J27">
        <v>7.2</v>
      </c>
      <c r="K27">
        <v>7.5</v>
      </c>
      <c r="L27">
        <v>8</v>
      </c>
      <c r="M27">
        <v>9.6999999999999993</v>
      </c>
      <c r="N27">
        <v>8.5</v>
      </c>
      <c r="O27">
        <v>11.7</v>
      </c>
      <c r="P27">
        <v>10.8</v>
      </c>
      <c r="Q27">
        <v>9.6</v>
      </c>
      <c r="R27">
        <v>11.2</v>
      </c>
      <c r="S27">
        <v>14.1</v>
      </c>
      <c r="T27">
        <v>7.1</v>
      </c>
      <c r="U27">
        <v>5.8</v>
      </c>
      <c r="V27">
        <v>8</v>
      </c>
      <c r="W27">
        <v>10.6</v>
      </c>
      <c r="Y27">
        <v>16.399999999999999</v>
      </c>
      <c r="Z27">
        <v>14.5</v>
      </c>
      <c r="AA27">
        <v>21.8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20.5</v>
      </c>
      <c r="E28">
        <v>22.6</v>
      </c>
      <c r="F28">
        <v>22</v>
      </c>
      <c r="G28">
        <v>21.2</v>
      </c>
      <c r="H28">
        <v>35.4</v>
      </c>
      <c r="I28">
        <v>13.3</v>
      </c>
      <c r="J28">
        <v>9.3000000000000007</v>
      </c>
      <c r="K28">
        <v>7.2</v>
      </c>
      <c r="L28">
        <v>8.3000000000000007</v>
      </c>
      <c r="M28">
        <v>6.2</v>
      </c>
      <c r="N28">
        <v>12.4</v>
      </c>
      <c r="O28">
        <v>14.9</v>
      </c>
      <c r="Q28">
        <v>5.4</v>
      </c>
      <c r="R28">
        <v>6.5</v>
      </c>
      <c r="S28">
        <v>6.4</v>
      </c>
      <c r="T28">
        <v>14.5</v>
      </c>
      <c r="U28">
        <v>13.2</v>
      </c>
      <c r="V28">
        <v>11.4</v>
      </c>
      <c r="W28">
        <v>8.1</v>
      </c>
      <c r="X28">
        <v>13.4</v>
      </c>
      <c r="Y28">
        <v>14.3</v>
      </c>
      <c r="Z28">
        <v>10.4</v>
      </c>
      <c r="AA28">
        <v>8.5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22.5</v>
      </c>
      <c r="E29">
        <v>29.2</v>
      </c>
      <c r="F29">
        <v>30.1</v>
      </c>
      <c r="G29">
        <v>17.5</v>
      </c>
      <c r="H29">
        <v>17</v>
      </c>
      <c r="I29">
        <v>17.7</v>
      </c>
      <c r="J29">
        <v>9.6999999999999993</v>
      </c>
      <c r="K29">
        <v>8.5</v>
      </c>
      <c r="L29">
        <v>5.8</v>
      </c>
      <c r="M29">
        <v>7.2</v>
      </c>
      <c r="N29">
        <v>14.3</v>
      </c>
      <c r="O29">
        <v>8.9</v>
      </c>
      <c r="P29">
        <v>6.7</v>
      </c>
      <c r="Q29">
        <v>5.9</v>
      </c>
      <c r="R29">
        <v>8</v>
      </c>
      <c r="S29">
        <v>3.3</v>
      </c>
      <c r="T29">
        <v>7.4</v>
      </c>
      <c r="U29">
        <v>8</v>
      </c>
      <c r="V29">
        <v>7.4</v>
      </c>
      <c r="W29">
        <v>9.5</v>
      </c>
      <c r="X29">
        <v>16.3</v>
      </c>
      <c r="Z29">
        <v>20</v>
      </c>
      <c r="AA29">
        <v>29.6</v>
      </c>
    </row>
    <row r="31" spans="1:27" x14ac:dyDescent="0.25">
      <c r="C31">
        <v>1</v>
      </c>
      <c r="D31">
        <f t="array" ref="D31">MEDIAN(IF($C$3:$C$29=$C31,D$3:D$29,""))</f>
        <v>17.450000000000003</v>
      </c>
      <c r="E31">
        <f t="array" ref="E31">MEDIAN(IF($C$3:$C$29=$C31,E$3:E$29,""))</f>
        <v>24.3</v>
      </c>
      <c r="F31">
        <f t="array" ref="F31">MEDIAN(IF($C$3:$C$29=$C31,F$3:F$29,""))</f>
        <v>21.05</v>
      </c>
      <c r="G31">
        <f t="array" ref="G31">MEDIAN(IF($C$3:$C$29=$C31,G$3:G$29,""))</f>
        <v>23.65</v>
      </c>
      <c r="H31">
        <f t="array" ref="H31">MEDIAN(IF($C$3:$C$29=$C31,H$3:H$29,""))</f>
        <v>24.35</v>
      </c>
      <c r="I31">
        <f t="array" ref="I31">MEDIAN(IF($C$3:$C$29=$C31,I$3:I$29,""))</f>
        <v>17.899999999999999</v>
      </c>
      <c r="J31">
        <f t="array" ref="J31">MEDIAN(IF($C$3:$C$29=$C31,J$3:J$29,""))</f>
        <v>15.95</v>
      </c>
      <c r="K31">
        <f t="array" ref="K31">MEDIAN(IF($C$3:$C$29=$C31,K$3:K$29,""))</f>
        <v>17.7</v>
      </c>
      <c r="L31">
        <f t="array" ref="L31">MEDIAN(IF($C$3:$C$29=$C31,L$3:L$29,""))</f>
        <v>18.55</v>
      </c>
      <c r="M31">
        <f t="array" ref="M31">MEDIAN(IF($C$3:$C$29=$C31,M$3:M$29,""))</f>
        <v>15.700000000000001</v>
      </c>
      <c r="N31">
        <f t="array" ref="N31">MEDIAN(IF($C$3:$C$29=$C31,N$3:N$29,""))</f>
        <v>14.05</v>
      </c>
      <c r="O31">
        <f t="array" ref="O31">MEDIAN(IF($C$3:$C$29=$C31,O$3:O$29,""))</f>
        <v>18.05</v>
      </c>
      <c r="P31">
        <f t="array" ref="P31">MEDIAN(IF($C$3:$C$29=$C31,P$3:P$29,""))</f>
        <v>9.75</v>
      </c>
      <c r="Q31">
        <f t="array" ref="Q31">MEDIAN(IF($C$3:$C$29=$C31,Q$3:Q$29,""))</f>
        <v>12.8</v>
      </c>
      <c r="R31">
        <f t="array" ref="R31">MEDIAN(IF($C$3:$C$29=$C31,R$3:R$29,""))</f>
        <v>11</v>
      </c>
      <c r="S31">
        <f t="array" ref="S31">MEDIAN(IF($C$3:$C$29=$C31,S$3:S$29,""))</f>
        <v>12.9</v>
      </c>
      <c r="T31">
        <f t="array" ref="T31">MEDIAN(IF($C$3:$C$29=$C31,T$3:T$29,""))</f>
        <v>17.3</v>
      </c>
      <c r="U31">
        <f t="array" ref="U31">MEDIAN(IF($C$3:$C$29=$C31,U$3:U$29,""))</f>
        <v>11.45</v>
      </c>
      <c r="V31">
        <f t="array" ref="V31">MEDIAN(IF($C$3:$C$29=$C31,V$3:V$29,""))</f>
        <v>12.25</v>
      </c>
      <c r="W31">
        <f t="array" ref="W31">MEDIAN(IF($C$3:$C$29=$C31,W$3:W$29,""))</f>
        <v>12.1</v>
      </c>
      <c r="X31">
        <f t="array" ref="X31">MEDIAN(IF($C$3:$C$29=$C31,X$3:X$29,""))</f>
        <v>17.149999999999999</v>
      </c>
      <c r="Y31">
        <f t="array" ref="Y31">MEDIAN(IF($C$3:$C$29=$C31,Y$3:Y$29,""))</f>
        <v>16.95</v>
      </c>
      <c r="Z31">
        <f t="array" ref="Z31">MEDIAN(IF($C$3:$C$29=$C31,Z$3:Z$29,""))</f>
        <v>12.35</v>
      </c>
      <c r="AA31">
        <f t="array" ref="AA31">MEDIAN(IF($C$3:$C$29=$C31,AA$3:AA$29,""))</f>
        <v>13.7</v>
      </c>
    </row>
    <row r="32" spans="1:27" x14ac:dyDescent="0.25">
      <c r="C32">
        <v>2</v>
      </c>
      <c r="D32">
        <f t="array" ref="D32">MEDIAN(IF($C$3:$C$29=$C32,D$3:D$29,""))</f>
        <v>20.799999999999997</v>
      </c>
      <c r="E32">
        <f t="array" ref="E32">MEDIAN(IF($C$3:$C$29=$C32,E$3:E$29,""))</f>
        <v>22.7</v>
      </c>
      <c r="F32">
        <f t="array" ref="F32">MEDIAN(IF($C$3:$C$29=$C32,F$3:F$29,""))</f>
        <v>30.25</v>
      </c>
      <c r="G32">
        <f t="array" ref="G32">MEDIAN(IF($C$3:$C$29=$C32,G$3:G$29,""))</f>
        <v>24.35</v>
      </c>
      <c r="H32">
        <f t="array" ref="H32">MEDIAN(IF($C$3:$C$29=$C32,H$3:H$29,""))</f>
        <v>23</v>
      </c>
      <c r="I32">
        <f t="array" ref="I32">MEDIAN(IF($C$3:$C$29=$C32,I$3:I$29,""))</f>
        <v>16.299999999999997</v>
      </c>
      <c r="J32">
        <f t="array" ref="J32">MEDIAN(IF($C$3:$C$29=$C32,J$3:J$29,""))</f>
        <v>12.95</v>
      </c>
      <c r="K32">
        <f t="array" ref="K32">MEDIAN(IF($C$3:$C$29=$C32,K$3:K$29,""))</f>
        <v>14.9</v>
      </c>
      <c r="L32">
        <f t="array" ref="L32">MEDIAN(IF($C$3:$C$29=$C32,L$3:L$29,""))</f>
        <v>12.75</v>
      </c>
      <c r="M32">
        <f t="array" ref="M32">MEDIAN(IF($C$3:$C$29=$C32,M$3:M$29,""))</f>
        <v>9.85</v>
      </c>
      <c r="N32">
        <f t="array" ref="N32">MEDIAN(IF($C$3:$C$29=$C32,N$3:N$29,""))</f>
        <v>8.65</v>
      </c>
      <c r="O32">
        <f t="array" ref="O32">MEDIAN(IF($C$3:$C$29=$C32,O$3:O$29,""))</f>
        <v>9.9499999999999993</v>
      </c>
      <c r="P32">
        <f t="array" ref="P32">MEDIAN(IF($C$3:$C$29=$C32,P$3:P$29,""))</f>
        <v>10.399999999999999</v>
      </c>
      <c r="Q32">
        <f t="array" ref="Q32">MEDIAN(IF($C$3:$C$29=$C32,Q$3:Q$29,""))</f>
        <v>11.05</v>
      </c>
      <c r="R32">
        <f t="array" ref="R32">MEDIAN(IF($C$3:$C$29=$C32,R$3:R$29,""))</f>
        <v>6.15</v>
      </c>
      <c r="S32">
        <f t="array" ref="S32">MEDIAN(IF($C$3:$C$29=$C32,S$3:S$29,""))</f>
        <v>8.75</v>
      </c>
      <c r="T32">
        <f t="array" ref="T32">MEDIAN(IF($C$3:$C$29=$C32,T$3:T$29,""))</f>
        <v>12.95</v>
      </c>
      <c r="U32">
        <f t="array" ref="U32">MEDIAN(IF($C$3:$C$29=$C32,U$3:U$29,""))</f>
        <v>7.8500000000000005</v>
      </c>
      <c r="V32">
        <f t="array" ref="V32">MEDIAN(IF($C$3:$C$29=$C32,V$3:V$29,""))</f>
        <v>12.600000000000001</v>
      </c>
      <c r="W32">
        <f t="array" ref="W32">MEDIAN(IF($C$3:$C$29=$C32,W$3:W$29,""))</f>
        <v>7</v>
      </c>
      <c r="X32">
        <f t="array" ref="X32">MEDIAN(IF($C$3:$C$29=$C32,X$3:X$29,""))</f>
        <v>5.2</v>
      </c>
      <c r="Y32">
        <f t="array" ref="Y32">MEDIAN(IF($C$3:$C$29=$C32,Y$3:Y$29,""))</f>
        <v>15.15</v>
      </c>
      <c r="Z32">
        <f t="array" ref="Z32">MEDIAN(IF($C$3:$C$29=$C32,Z$3:Z$29,""))</f>
        <v>13.850000000000001</v>
      </c>
      <c r="AA32">
        <f t="array" ref="AA32">MEDIAN(IF($C$3:$C$29=$C32,AA$3:AA$29,""))</f>
        <v>15.15</v>
      </c>
    </row>
    <row r="33" spans="3:27" x14ac:dyDescent="0.25">
      <c r="C33">
        <v>3</v>
      </c>
      <c r="D33">
        <f t="array" ref="D33">MEDIAN(IF($C$3:$C$29=$C33,D$3:D$29,""))</f>
        <v>21.7</v>
      </c>
      <c r="E33">
        <f t="array" ref="E33">MEDIAN(IF($C$3:$C$29=$C33,E$3:E$29,""))</f>
        <v>27.75</v>
      </c>
      <c r="F33">
        <f t="array" ref="F33">MEDIAN(IF($C$3:$C$29=$C33,F$3:F$29,""))</f>
        <v>22.35</v>
      </c>
      <c r="G33">
        <f t="array" ref="G33">MEDIAN(IF($C$3:$C$29=$C33,G$3:G$29,""))</f>
        <v>25.55</v>
      </c>
      <c r="H33">
        <f t="array" ref="H33">MEDIAN(IF($C$3:$C$29=$C33,H$3:H$29,""))</f>
        <v>19.649999999999999</v>
      </c>
      <c r="I33">
        <f t="array" ref="I33">MEDIAN(IF($C$3:$C$29=$C33,I$3:I$29,""))</f>
        <v>19.100000000000001</v>
      </c>
      <c r="J33">
        <f t="array" ref="J33">MEDIAN(IF($C$3:$C$29=$C33,J$3:J$29,""))</f>
        <v>10.1</v>
      </c>
      <c r="K33">
        <f t="array" ref="K33">MEDIAN(IF($C$3:$C$29=$C33,K$3:K$29,""))</f>
        <v>7.8</v>
      </c>
      <c r="L33">
        <f t="array" ref="L33">MEDIAN(IF($C$3:$C$29=$C33,L$3:L$29,""))</f>
        <v>7.7</v>
      </c>
      <c r="M33">
        <f t="array" ref="M33">MEDIAN(IF($C$3:$C$29=$C33,M$3:M$29,""))</f>
        <v>6.2</v>
      </c>
      <c r="N33">
        <f t="array" ref="N33">MEDIAN(IF($C$3:$C$29=$C33,N$3:N$29,""))</f>
        <v>12.05</v>
      </c>
      <c r="O33">
        <f t="array" ref="O33">MEDIAN(IF($C$3:$C$29=$C33,O$3:O$29,""))</f>
        <v>12.5</v>
      </c>
      <c r="P33">
        <f t="array" ref="P33">MEDIAN(IF($C$3:$C$29=$C33,P$3:P$29,""))</f>
        <v>10.3</v>
      </c>
      <c r="Q33">
        <f t="array" ref="Q33">MEDIAN(IF($C$3:$C$29=$C33,Q$3:Q$29,""))</f>
        <v>9.8999999999999986</v>
      </c>
      <c r="R33">
        <f t="array" ref="R33">MEDIAN(IF($C$3:$C$29=$C33,R$3:R$29,""))</f>
        <v>9.5500000000000007</v>
      </c>
      <c r="S33">
        <f t="array" ref="S33">MEDIAN(IF($C$3:$C$29=$C33,S$3:S$29,""))</f>
        <v>12.2</v>
      </c>
      <c r="T33">
        <f t="array" ref="T33">MEDIAN(IF($C$3:$C$29=$C33,T$3:T$29,""))</f>
        <v>7.4</v>
      </c>
      <c r="U33">
        <f t="array" ref="U33">MEDIAN(IF($C$3:$C$29=$C33,U$3:U$29,""))</f>
        <v>7</v>
      </c>
      <c r="V33">
        <f t="array" ref="V33">MEDIAN(IF($C$3:$C$29=$C33,V$3:V$29,""))</f>
        <v>10.7</v>
      </c>
      <c r="W33">
        <f t="array" ref="W33">MEDIAN(IF($C$3:$C$29=$C33,W$3:W$29,""))</f>
        <v>10.6</v>
      </c>
      <c r="X33">
        <f t="array" ref="X33">MEDIAN(IF($C$3:$C$29=$C33,X$3:X$29,""))</f>
        <v>3.5</v>
      </c>
      <c r="Y33">
        <f t="array" ref="Y33">MEDIAN(IF($C$3:$C$29=$C33,Y$3:Y$29,""))</f>
        <v>11.3</v>
      </c>
      <c r="Z33">
        <f t="array" ref="Z33">MEDIAN(IF($C$3:$C$29=$C33,Z$3:Z$29,""))</f>
        <v>15</v>
      </c>
      <c r="AA33">
        <f t="array" ref="AA33">MEDIAN(IF($C$3:$C$29=$C33,AA$3:AA$29,""))</f>
        <v>22.700000000000003</v>
      </c>
    </row>
    <row r="34" spans="3:27" x14ac:dyDescent="0.25">
      <c r="C34">
        <v>4</v>
      </c>
      <c r="D34">
        <f t="array" ref="D34">MEDIAN(IF($C$3:$C$29=$C34,D$3:D$29,""))</f>
        <v>19.549999999999997</v>
      </c>
      <c r="E34">
        <f t="array" ref="E34">MEDIAN(IF($C$3:$C$29=$C34,E$3:E$29,""))</f>
        <v>22.700000000000003</v>
      </c>
      <c r="F34">
        <f t="array" ref="F34">MEDIAN(IF($C$3:$C$29=$C34,F$3:F$29,""))</f>
        <v>20.45</v>
      </c>
      <c r="G34">
        <f t="array" ref="G34">MEDIAN(IF($C$3:$C$29=$C34,G$3:G$29,""))</f>
        <v>21.45</v>
      </c>
      <c r="H34">
        <f t="array" ref="H34">MEDIAN(IF($C$3:$C$29=$C34,H$3:H$29,""))</f>
        <v>24.1</v>
      </c>
      <c r="I34">
        <f t="array" ref="I34">MEDIAN(IF($C$3:$C$29=$C34,I$3:I$29,""))</f>
        <v>16.399999999999999</v>
      </c>
      <c r="J34">
        <f t="array" ref="J34">MEDIAN(IF($C$3:$C$29=$C34,J$3:J$29,""))</f>
        <v>10.350000000000001</v>
      </c>
      <c r="K34">
        <f t="array" ref="K34">MEDIAN(IF($C$3:$C$29=$C34,K$3:K$29,""))</f>
        <v>7.8</v>
      </c>
      <c r="L34">
        <f t="array" ref="L34">MEDIAN(IF($C$3:$C$29=$C34,L$3:L$29,""))</f>
        <v>7.9</v>
      </c>
      <c r="M34">
        <f t="array" ref="M34">MEDIAN(IF($C$3:$C$29=$C34,M$3:M$29,""))</f>
        <v>8.25</v>
      </c>
      <c r="N34">
        <f t="array" ref="N34">MEDIAN(IF($C$3:$C$29=$C34,N$3:N$29,""))</f>
        <v>7.4</v>
      </c>
      <c r="O34">
        <f t="array" ref="O34">MEDIAN(IF($C$3:$C$29=$C34,O$3:O$29,""))</f>
        <v>14.7</v>
      </c>
      <c r="P34">
        <f t="array" ref="P34">MEDIAN(IF($C$3:$C$29=$C34,P$3:P$29,""))</f>
        <v>8.6999999999999993</v>
      </c>
      <c r="Q34">
        <f t="array" ref="Q34">MEDIAN(IF($C$3:$C$29=$C34,Q$3:Q$29,""))</f>
        <v>9.75</v>
      </c>
      <c r="R34">
        <f t="array" ref="R34">MEDIAN(IF($C$3:$C$29=$C34,R$3:R$29,""))</f>
        <v>6.95</v>
      </c>
      <c r="S34">
        <f t="array" ref="S34">MEDIAN(IF($C$3:$C$29=$C34,S$3:S$29,""))</f>
        <v>8.3000000000000007</v>
      </c>
      <c r="T34">
        <f t="array" ref="T34">MEDIAN(IF($C$3:$C$29=$C34,T$3:T$29,""))</f>
        <v>11.4</v>
      </c>
      <c r="U34">
        <f t="array" ref="U34">MEDIAN(IF($C$3:$C$29=$C34,U$3:U$29,""))</f>
        <v>8.3999999999999986</v>
      </c>
      <c r="V34">
        <f t="array" ref="V34">MEDIAN(IF($C$3:$C$29=$C34,V$3:V$29,""))</f>
        <v>11.850000000000001</v>
      </c>
      <c r="W34">
        <f t="array" ref="W34">MEDIAN(IF($C$3:$C$29=$C34,W$3:W$29,""))</f>
        <v>12.95</v>
      </c>
      <c r="X34">
        <f t="array" ref="X34">MEDIAN(IF($C$3:$C$29=$C34,X$3:X$29,""))</f>
        <v>12.75</v>
      </c>
      <c r="Y34">
        <f t="array" ref="Y34">MEDIAN(IF($C$3:$C$29=$C34,Y$3:Y$29,""))</f>
        <v>11.95</v>
      </c>
      <c r="Z34">
        <f t="array" ref="Z34">MEDIAN(IF($C$3:$C$29=$C34,Z$3:Z$29,""))</f>
        <v>15.399999999999999</v>
      </c>
      <c r="AA34">
        <f t="array" ref="AA34">MEDIAN(IF($C$3:$C$29=$C34,AA$3:AA$29,""))</f>
        <v>18.05</v>
      </c>
    </row>
    <row r="35" spans="3:27" x14ac:dyDescent="0.25">
      <c r="C35">
        <v>5</v>
      </c>
      <c r="D35">
        <f t="array" ref="D35">MEDIAN(IF($C$3:$C$29=$C35,D$3:D$29,""))</f>
        <v>23.25</v>
      </c>
      <c r="E35">
        <f t="array" ref="E35">MEDIAN(IF($C$3:$C$29=$C35,E$3:E$29,""))</f>
        <v>27</v>
      </c>
      <c r="F35">
        <f t="array" ref="F35">MEDIAN(IF($C$3:$C$29=$C35,F$3:F$29,""))</f>
        <v>24.8</v>
      </c>
      <c r="G35">
        <f t="array" ref="G35">MEDIAN(IF($C$3:$C$29=$C35,G$3:G$29,""))</f>
        <v>21.200000000000003</v>
      </c>
      <c r="H35">
        <f t="array" ref="H35">MEDIAN(IF($C$3:$C$29=$C35,H$3:H$29,""))</f>
        <v>23.1</v>
      </c>
      <c r="I35">
        <f t="array" ref="I35">MEDIAN(IF($C$3:$C$29=$C35,I$3:I$29,""))</f>
        <v>17.549999999999997</v>
      </c>
      <c r="J35">
        <f t="array" ref="J35">MEDIAN(IF($C$3:$C$29=$C35,J$3:J$29,""))</f>
        <v>9.4499999999999993</v>
      </c>
      <c r="K35">
        <f t="array" ref="K35">MEDIAN(IF($C$3:$C$29=$C35,K$3:K$29,""))</f>
        <v>7.4</v>
      </c>
      <c r="L35">
        <f t="array" ref="L35">MEDIAN(IF($C$3:$C$29=$C35,L$3:L$29,""))</f>
        <v>6.25</v>
      </c>
      <c r="M35">
        <f t="array" ref="M35">MEDIAN(IF($C$3:$C$29=$C35,M$3:M$29,""))</f>
        <v>11.4</v>
      </c>
      <c r="N35">
        <f t="array" ref="N35">MEDIAN(IF($C$3:$C$29=$C35,N$3:N$29,""))</f>
        <v>14.25</v>
      </c>
      <c r="O35">
        <f t="array" ref="O35">MEDIAN(IF($C$3:$C$29=$C35,O$3:O$29,""))</f>
        <v>11.05</v>
      </c>
      <c r="P35">
        <f t="array" ref="P35">MEDIAN(IF($C$3:$C$29=$C35,P$3:P$29,""))</f>
        <v>5.0999999999999996</v>
      </c>
      <c r="Q35">
        <f t="array" ref="Q35">MEDIAN(IF($C$3:$C$29=$C35,Q$3:Q$29,""))</f>
        <v>7.55</v>
      </c>
      <c r="R35">
        <f t="array" ref="R35">MEDIAN(IF($C$3:$C$29=$C35,R$3:R$29,""))</f>
        <v>8.9499999999999993</v>
      </c>
      <c r="S35">
        <f t="array" ref="S35">MEDIAN(IF($C$3:$C$29=$C35,S$3:S$29,""))</f>
        <v>6.15</v>
      </c>
      <c r="T35">
        <f t="array" ref="T35">MEDIAN(IF($C$3:$C$29=$C35,T$3:T$29,""))</f>
        <v>7.3000000000000007</v>
      </c>
      <c r="U35">
        <f t="array" ref="U35">MEDIAN(IF($C$3:$C$29=$C35,U$3:U$29,""))</f>
        <v>10</v>
      </c>
      <c r="V35">
        <f t="array" ref="V35">MEDIAN(IF($C$3:$C$29=$C35,V$3:V$29,""))</f>
        <v>9.4499999999999993</v>
      </c>
      <c r="W35">
        <f t="array" ref="W35">MEDIAN(IF($C$3:$C$29=$C35,W$3:W$29,""))</f>
        <v>9.4499999999999993</v>
      </c>
      <c r="X35">
        <f t="array" ref="X35">MEDIAN(IF($C$3:$C$29=$C35,X$3:X$29,""))</f>
        <v>11.55</v>
      </c>
      <c r="Y35">
        <f t="array" ref="Y35">MEDIAN(IF($C$3:$C$29=$C35,Y$3:Y$29,""))</f>
        <v>8.5</v>
      </c>
      <c r="Z35">
        <f t="array" ref="Z35">MEDIAN(IF($C$3:$C$29=$C35,Z$3:Z$29,""))</f>
        <v>17.149999999999999</v>
      </c>
      <c r="AA35">
        <f t="array" ref="AA35">MEDIAN(IF($C$3:$C$29=$C35,AA$3:AA$29,""))</f>
        <v>18.649999999999999</v>
      </c>
    </row>
    <row r="36" spans="3:27" x14ac:dyDescent="0.25">
      <c r="C36">
        <v>6</v>
      </c>
      <c r="D36">
        <f t="array" ref="D36">MEDIAN(IF($C$3:$C$29=$C36,D$3:D$29,""))</f>
        <v>21.6</v>
      </c>
      <c r="E36">
        <f t="array" ref="E36">MEDIAN(IF($C$3:$C$29=$C36,E$3:E$29,""))</f>
        <v>22.2</v>
      </c>
      <c r="F36">
        <f t="array" ref="F36">MEDIAN(IF($C$3:$C$29=$C36,F$3:F$29,""))</f>
        <v>26.5</v>
      </c>
      <c r="G36">
        <f t="array" ref="G36">MEDIAN(IF($C$3:$C$29=$C36,G$3:G$29,""))</f>
        <v>34.5</v>
      </c>
      <c r="H36">
        <f t="array" ref="H36">MEDIAN(IF($C$3:$C$29=$C36,H$3:H$29,""))</f>
        <v>21.1</v>
      </c>
      <c r="I36">
        <f t="array" ref="I36">MEDIAN(IF($C$3:$C$29=$C36,I$3:I$29,""))</f>
        <v>19.5</v>
      </c>
      <c r="J36">
        <f t="array" ref="J36">MEDIAN(IF($C$3:$C$29=$C36,J$3:J$29,""))</f>
        <v>12.1</v>
      </c>
      <c r="K36">
        <f t="array" ref="K36">MEDIAN(IF($C$3:$C$29=$C36,K$3:K$29,""))</f>
        <v>7.5</v>
      </c>
      <c r="L36">
        <f t="array" ref="L36">MEDIAN(IF($C$3:$C$29=$C36,L$3:L$29,""))</f>
        <v>7.4</v>
      </c>
      <c r="M36">
        <f t="array" ref="M36">MEDIAN(IF($C$3:$C$29=$C36,M$3:M$29,""))</f>
        <v>7.4</v>
      </c>
      <c r="N36">
        <f t="array" ref="N36">MEDIAN(IF($C$3:$C$29=$C36,N$3:N$29,""))</f>
        <v>7.6</v>
      </c>
      <c r="O36">
        <f t="array" ref="O36">MEDIAN(IF($C$3:$C$29=$C36,O$3:O$29,""))</f>
        <v>11.4</v>
      </c>
      <c r="P36">
        <f t="array" ref="P36">MEDIAN(IF($C$3:$C$29=$C36,P$3:P$29,""))</f>
        <v>8.4</v>
      </c>
      <c r="Q36">
        <f t="array" ref="Q36">MEDIAN(IF($C$3:$C$29=$C36,Q$3:Q$29,""))</f>
        <v>6.5</v>
      </c>
      <c r="R36">
        <f t="array" ref="R36">MEDIAN(IF($C$3:$C$29=$C36,R$3:R$29,""))</f>
        <v>11</v>
      </c>
      <c r="S36">
        <f t="array" ref="S36">MEDIAN(IF($C$3:$C$29=$C36,S$3:S$29,""))</f>
        <v>8.1999999999999993</v>
      </c>
      <c r="T36">
        <f t="array" ref="T36">MEDIAN(IF($C$3:$C$29=$C36,T$3:T$29,""))</f>
        <v>11.8</v>
      </c>
      <c r="U36">
        <f t="array" ref="U36">MEDIAN(IF($C$3:$C$29=$C36,U$3:U$29,""))</f>
        <v>12.2</v>
      </c>
      <c r="V36">
        <f t="array" ref="V36">MEDIAN(IF($C$3:$C$29=$C36,V$3:V$29,""))</f>
        <v>3.6</v>
      </c>
      <c r="W36">
        <f t="array" ref="W36">MEDIAN(IF($C$3:$C$29=$C36,W$3:W$29,""))</f>
        <v>12.1</v>
      </c>
      <c r="X36">
        <f t="array" ref="X36">MEDIAN(IF($C$3:$C$29=$C36,X$3:X$29,""))</f>
        <v>8.9</v>
      </c>
      <c r="Y36">
        <f t="array" ref="Y36">MEDIAN(IF($C$3:$C$29=$C36,Y$3:Y$29,""))</f>
        <v>11.2</v>
      </c>
      <c r="Z36">
        <f t="array" ref="Z36">MEDIAN(IF($C$3:$C$29=$C36,Z$3:Z$29,""))</f>
        <v>14.6</v>
      </c>
      <c r="AA36">
        <f t="array" ref="AA36">MEDIAN(IF($C$3:$C$29=$C36,AA$3:AA$29,""))</f>
        <v>21.6</v>
      </c>
    </row>
    <row r="37" spans="3:27" x14ac:dyDescent="0.25">
      <c r="C37">
        <v>7</v>
      </c>
      <c r="D37">
        <f t="array" ref="D37">MEDIAN(IF($C$3:$C$29=$C37,D$3:D$29,""))</f>
        <v>21.85</v>
      </c>
      <c r="E37">
        <f t="array" ref="E37">MEDIAN(IF($C$3:$C$29=$C37,E$3:E$29,""))</f>
        <v>23.4</v>
      </c>
      <c r="F37">
        <f t="array" ref="F37">MEDIAN(IF($C$3:$C$29=$C37,F$3:F$29,""))</f>
        <v>27</v>
      </c>
      <c r="G37">
        <f t="array" ref="G37">MEDIAN(IF($C$3:$C$29=$C37,G$3:G$29,""))</f>
        <v>23.7</v>
      </c>
      <c r="H37">
        <f t="array" ref="H37">MEDIAN(IF($C$3:$C$29=$C37,H$3:H$29,""))</f>
        <v>27.2</v>
      </c>
      <c r="I37">
        <f t="array" ref="I37">MEDIAN(IF($C$3:$C$29=$C37,I$3:I$29,""))</f>
        <v>22.65</v>
      </c>
      <c r="J37">
        <f t="array" ref="J37">MEDIAN(IF($C$3:$C$29=$C37,J$3:J$29,""))</f>
        <v>10.7</v>
      </c>
      <c r="K37">
        <f t="array" ref="K37">MEDIAN(IF($C$3:$C$29=$C37,K$3:K$29,""))</f>
        <v>7.3000000000000007</v>
      </c>
      <c r="L37">
        <f t="array" ref="L37">MEDIAN(IF($C$3:$C$29=$C37,L$3:L$29,""))</f>
        <v>7.1999999999999993</v>
      </c>
      <c r="M37">
        <f t="array" ref="M37">MEDIAN(IF($C$3:$C$29=$C37,M$3:M$29,""))</f>
        <v>7.5</v>
      </c>
      <c r="N37">
        <f t="array" ref="N37">MEDIAN(IF($C$3:$C$29=$C37,N$3:N$29,""))</f>
        <v>7.8500000000000005</v>
      </c>
      <c r="O37">
        <f t="array" ref="O37">MEDIAN(IF($C$3:$C$29=$C37,O$3:O$29,""))</f>
        <v>8.1</v>
      </c>
      <c r="P37">
        <f t="array" ref="P37">MEDIAN(IF($C$3:$C$29=$C37,P$3:P$29,""))</f>
        <v>10.75</v>
      </c>
      <c r="Q37">
        <f t="array" ref="Q37">MEDIAN(IF($C$3:$C$29=$C37,Q$3:Q$29,""))</f>
        <v>7.6</v>
      </c>
      <c r="R37">
        <f t="array" ref="R37">MEDIAN(IF($C$3:$C$29=$C37,R$3:R$29,""))</f>
        <v>8.35</v>
      </c>
      <c r="S37">
        <f t="array" ref="S37">MEDIAN(IF($C$3:$C$29=$C37,S$3:S$29,""))</f>
        <v>7.75</v>
      </c>
      <c r="T37">
        <f t="array" ref="T37">MEDIAN(IF($C$3:$C$29=$C37,T$3:T$29,""))</f>
        <v>6.15</v>
      </c>
      <c r="U37">
        <f t="array" ref="U37">MEDIAN(IF($C$3:$C$29=$C37,U$3:U$29,""))</f>
        <v>6.8000000000000007</v>
      </c>
      <c r="V37">
        <f t="array" ref="V37">MEDIAN(IF($C$3:$C$29=$C37,V$3:V$29,""))</f>
        <v>8.4</v>
      </c>
      <c r="W37">
        <f t="array" ref="W37">MEDIAN(IF($C$3:$C$29=$C37,W$3:W$29,""))</f>
        <v>9</v>
      </c>
      <c r="X37">
        <f t="array" ref="X37">MEDIAN(IF($C$3:$C$29=$C37,X$3:X$29,""))</f>
        <v>13.05</v>
      </c>
      <c r="Y37">
        <f t="array" ref="Y37">MEDIAN(IF($C$3:$C$29=$C37,Y$3:Y$29,""))</f>
        <v>10.25</v>
      </c>
      <c r="Z37">
        <f t="array" ref="Z37">MEDIAN(IF($C$3:$C$29=$C37,Z$3:Z$29,""))</f>
        <v>18.95</v>
      </c>
      <c r="AA37">
        <f t="array" ref="AA37">MEDIAN(IF($C$3:$C$29=$C37,AA$3:AA$29,""))</f>
        <v>18.05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0"/>
  <dimension ref="A1:AA37"/>
  <sheetViews>
    <sheetView workbookViewId="0">
      <selection activeCell="G31" sqref="G31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23.7</v>
      </c>
      <c r="E3">
        <v>29.9</v>
      </c>
      <c r="F3">
        <v>29.2</v>
      </c>
      <c r="G3">
        <v>24.4</v>
      </c>
      <c r="H3">
        <v>21.8</v>
      </c>
      <c r="I3">
        <v>24.3</v>
      </c>
      <c r="J3">
        <v>14.4</v>
      </c>
      <c r="K3">
        <v>15.8</v>
      </c>
      <c r="L3">
        <v>14.9</v>
      </c>
      <c r="M3">
        <v>14</v>
      </c>
      <c r="N3">
        <v>13.6</v>
      </c>
      <c r="O3">
        <v>13.5</v>
      </c>
      <c r="P3">
        <v>17.899999999999999</v>
      </c>
      <c r="Q3">
        <v>16.2</v>
      </c>
      <c r="R3">
        <v>17.7</v>
      </c>
      <c r="S3">
        <v>15.3</v>
      </c>
      <c r="T3">
        <v>14.9</v>
      </c>
      <c r="U3">
        <v>16.399999999999999</v>
      </c>
      <c r="V3">
        <v>15.6</v>
      </c>
      <c r="W3">
        <v>22.1</v>
      </c>
      <c r="X3">
        <v>16.899999999999999</v>
      </c>
      <c r="Y3">
        <v>21.8</v>
      </c>
      <c r="Z3">
        <v>23.8</v>
      </c>
      <c r="AA3">
        <v>22.2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29.5</v>
      </c>
      <c r="E4">
        <v>27.7</v>
      </c>
      <c r="F4">
        <v>31.7</v>
      </c>
      <c r="G4">
        <v>27.4</v>
      </c>
      <c r="H4">
        <v>30.5</v>
      </c>
      <c r="I4">
        <v>16.399999999999999</v>
      </c>
      <c r="J4">
        <v>23.5</v>
      </c>
      <c r="K4">
        <v>17.100000000000001</v>
      </c>
      <c r="L4">
        <v>17.7</v>
      </c>
      <c r="M4">
        <v>15.7</v>
      </c>
      <c r="N4">
        <v>16.5</v>
      </c>
      <c r="O4">
        <v>17.600000000000001</v>
      </c>
      <c r="P4">
        <v>15.6</v>
      </c>
      <c r="Q4">
        <v>14.8</v>
      </c>
      <c r="R4">
        <v>18.399999999999999</v>
      </c>
      <c r="S4">
        <v>19.100000000000001</v>
      </c>
      <c r="T4">
        <v>19.100000000000001</v>
      </c>
      <c r="U4">
        <v>17.399999999999999</v>
      </c>
      <c r="V4">
        <v>21.1</v>
      </c>
      <c r="W4">
        <v>16.100000000000001</v>
      </c>
      <c r="X4">
        <v>19.2</v>
      </c>
      <c r="Y4">
        <v>17.100000000000001</v>
      </c>
      <c r="Z4">
        <v>20.100000000000001</v>
      </c>
      <c r="AA4">
        <v>23.2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24</v>
      </c>
      <c r="E5">
        <v>28</v>
      </c>
      <c r="F5">
        <v>32.6</v>
      </c>
      <c r="G5">
        <v>32</v>
      </c>
      <c r="H5">
        <v>27.5</v>
      </c>
      <c r="I5">
        <v>22.6</v>
      </c>
      <c r="J5">
        <v>20.8</v>
      </c>
      <c r="K5">
        <v>24.2</v>
      </c>
      <c r="L5">
        <v>18.100000000000001</v>
      </c>
      <c r="M5">
        <v>19.8</v>
      </c>
      <c r="N5">
        <v>18.100000000000001</v>
      </c>
      <c r="O5">
        <v>21.7</v>
      </c>
      <c r="P5">
        <v>20.8</v>
      </c>
      <c r="Q5">
        <v>14.7</v>
      </c>
      <c r="R5">
        <v>15.8</v>
      </c>
      <c r="S5">
        <v>17.100000000000001</v>
      </c>
      <c r="T5">
        <v>19.2</v>
      </c>
      <c r="U5">
        <v>18.3</v>
      </c>
      <c r="V5">
        <v>21</v>
      </c>
      <c r="W5">
        <v>15.9</v>
      </c>
      <c r="X5">
        <v>19.2</v>
      </c>
      <c r="Y5">
        <v>18.7</v>
      </c>
      <c r="Z5">
        <v>14.8</v>
      </c>
      <c r="AA5">
        <v>27.3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23</v>
      </c>
      <c r="E6">
        <v>26.8</v>
      </c>
      <c r="F6">
        <v>22.4</v>
      </c>
      <c r="G6">
        <v>22.5</v>
      </c>
      <c r="H6">
        <v>37.700000000000003</v>
      </c>
      <c r="I6">
        <v>22.6</v>
      </c>
      <c r="J6">
        <v>16.600000000000001</v>
      </c>
      <c r="K6">
        <v>14.1</v>
      </c>
      <c r="L6">
        <v>15</v>
      </c>
      <c r="M6">
        <v>16.5</v>
      </c>
      <c r="N6">
        <v>15</v>
      </c>
      <c r="O6">
        <v>14.5</v>
      </c>
      <c r="P6">
        <v>18</v>
      </c>
      <c r="Q6">
        <v>16.2</v>
      </c>
      <c r="R6">
        <v>14.6</v>
      </c>
      <c r="S6">
        <v>13.9</v>
      </c>
      <c r="T6">
        <v>14.6</v>
      </c>
      <c r="U6">
        <v>16</v>
      </c>
      <c r="V6">
        <v>18.100000000000001</v>
      </c>
      <c r="W6">
        <v>17</v>
      </c>
      <c r="X6">
        <v>19.600000000000001</v>
      </c>
      <c r="Y6">
        <v>22.3</v>
      </c>
      <c r="Z6">
        <v>26.1</v>
      </c>
      <c r="AA6">
        <v>28.2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22.7</v>
      </c>
      <c r="E7">
        <v>28.4</v>
      </c>
      <c r="F7">
        <v>26.2</v>
      </c>
      <c r="G7">
        <v>26.6</v>
      </c>
      <c r="H7">
        <v>27</v>
      </c>
      <c r="I7">
        <v>25.7</v>
      </c>
      <c r="J7">
        <v>18.3</v>
      </c>
      <c r="K7">
        <v>14.6</v>
      </c>
      <c r="L7">
        <v>13.2</v>
      </c>
      <c r="M7">
        <v>13.1</v>
      </c>
      <c r="N7">
        <v>14.6</v>
      </c>
      <c r="O7">
        <v>15.7</v>
      </c>
      <c r="P7">
        <v>14.5</v>
      </c>
      <c r="Q7">
        <v>15.6</v>
      </c>
      <c r="R7">
        <v>15.6</v>
      </c>
      <c r="S7">
        <v>16.3</v>
      </c>
      <c r="T7">
        <v>16.7</v>
      </c>
      <c r="U7">
        <v>14.6</v>
      </c>
      <c r="V7">
        <v>14.3</v>
      </c>
      <c r="W7">
        <v>14.2</v>
      </c>
      <c r="X7">
        <v>18</v>
      </c>
      <c r="Y7">
        <v>20.8</v>
      </c>
      <c r="Z7">
        <v>20.5</v>
      </c>
      <c r="AA7">
        <v>29.5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29.8</v>
      </c>
      <c r="E8">
        <v>26.3</v>
      </c>
      <c r="F8">
        <v>29.9</v>
      </c>
      <c r="G8">
        <v>23.9</v>
      </c>
      <c r="H8">
        <v>29.8</v>
      </c>
      <c r="I8">
        <v>22.2</v>
      </c>
      <c r="J8">
        <v>15.8</v>
      </c>
      <c r="K8">
        <v>14.2</v>
      </c>
      <c r="L8">
        <v>12.7</v>
      </c>
      <c r="M8">
        <v>13.9</v>
      </c>
      <c r="N8">
        <v>15.8</v>
      </c>
      <c r="O8">
        <v>12.8</v>
      </c>
      <c r="P8">
        <v>16.7</v>
      </c>
      <c r="Q8">
        <v>17.899999999999999</v>
      </c>
      <c r="R8">
        <v>12.3</v>
      </c>
      <c r="S8">
        <v>14.7</v>
      </c>
      <c r="T8">
        <v>14.9</v>
      </c>
      <c r="U8">
        <v>15.6</v>
      </c>
      <c r="V8">
        <v>15.3</v>
      </c>
      <c r="W8">
        <v>16.3</v>
      </c>
      <c r="X8">
        <v>18.8</v>
      </c>
      <c r="Y8">
        <v>18.100000000000001</v>
      </c>
      <c r="Z8">
        <v>22.4</v>
      </c>
      <c r="AA8">
        <v>23.1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26.3</v>
      </c>
      <c r="E9">
        <v>25.6</v>
      </c>
      <c r="F9">
        <v>35.799999999999997</v>
      </c>
      <c r="G9">
        <v>37.6</v>
      </c>
      <c r="H9">
        <v>25.4</v>
      </c>
      <c r="I9">
        <v>25.4</v>
      </c>
      <c r="J9">
        <v>16.899999999999999</v>
      </c>
      <c r="K9">
        <v>15.7</v>
      </c>
      <c r="L9">
        <v>13.5</v>
      </c>
      <c r="M9">
        <v>15.3</v>
      </c>
      <c r="N9">
        <v>14.9</v>
      </c>
      <c r="O9">
        <v>18.600000000000001</v>
      </c>
      <c r="P9">
        <v>16.2</v>
      </c>
      <c r="Q9">
        <v>12.2</v>
      </c>
      <c r="R9">
        <v>16.8</v>
      </c>
      <c r="S9">
        <v>12.6</v>
      </c>
      <c r="T9">
        <v>19.7</v>
      </c>
      <c r="U9">
        <v>15.4</v>
      </c>
      <c r="V9">
        <v>12.3</v>
      </c>
      <c r="W9">
        <v>17.8</v>
      </c>
      <c r="X9">
        <v>17</v>
      </c>
      <c r="Y9">
        <v>17.5</v>
      </c>
      <c r="Z9">
        <v>24.4</v>
      </c>
      <c r="AA9">
        <v>25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23.5</v>
      </c>
      <c r="E10">
        <v>25.8</v>
      </c>
      <c r="F10">
        <v>26.7</v>
      </c>
      <c r="G10">
        <v>24.4</v>
      </c>
      <c r="H10">
        <v>35.799999999999997</v>
      </c>
      <c r="I10">
        <v>24.3</v>
      </c>
      <c r="J10">
        <v>19.2</v>
      </c>
      <c r="K10">
        <v>14.6</v>
      </c>
      <c r="L10">
        <v>13.6</v>
      </c>
      <c r="M10">
        <v>14</v>
      </c>
      <c r="N10">
        <v>13</v>
      </c>
      <c r="O10">
        <v>16.399999999999999</v>
      </c>
      <c r="P10">
        <v>15.3</v>
      </c>
      <c r="Q10">
        <v>15.7</v>
      </c>
      <c r="R10">
        <v>17.2</v>
      </c>
      <c r="S10">
        <v>18.100000000000001</v>
      </c>
      <c r="T10">
        <v>15.2</v>
      </c>
      <c r="U10">
        <v>18.399999999999999</v>
      </c>
      <c r="V10">
        <v>18.5</v>
      </c>
      <c r="W10">
        <v>12.3</v>
      </c>
      <c r="X10">
        <v>17.2</v>
      </c>
      <c r="Y10">
        <v>17.600000000000001</v>
      </c>
      <c r="Z10">
        <v>17.5</v>
      </c>
      <c r="AA10">
        <v>25.1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29.5</v>
      </c>
      <c r="E11">
        <v>25.8</v>
      </c>
      <c r="F11">
        <v>23.7</v>
      </c>
      <c r="G11">
        <v>27.8</v>
      </c>
      <c r="H11">
        <v>37.5</v>
      </c>
      <c r="I11">
        <v>26.2</v>
      </c>
      <c r="J11">
        <v>20.9</v>
      </c>
      <c r="K11">
        <v>19.600000000000001</v>
      </c>
      <c r="L11">
        <v>16.8</v>
      </c>
      <c r="M11">
        <v>19.2</v>
      </c>
      <c r="N11">
        <v>18.5</v>
      </c>
      <c r="O11">
        <v>18.8</v>
      </c>
      <c r="P11">
        <v>13.4</v>
      </c>
      <c r="Q11">
        <v>14.5</v>
      </c>
      <c r="R11">
        <v>19</v>
      </c>
      <c r="S11">
        <v>16.8</v>
      </c>
      <c r="T11">
        <v>16.600000000000001</v>
      </c>
      <c r="U11">
        <v>17.600000000000001</v>
      </c>
      <c r="V11">
        <v>18.399999999999999</v>
      </c>
      <c r="W11">
        <v>17.100000000000001</v>
      </c>
      <c r="X11">
        <v>16.8</v>
      </c>
      <c r="Y11">
        <v>25.7</v>
      </c>
      <c r="Z11">
        <v>19.5</v>
      </c>
      <c r="AA11">
        <v>21.9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22.3</v>
      </c>
      <c r="E12">
        <v>30</v>
      </c>
      <c r="F12">
        <v>26.3</v>
      </c>
      <c r="G12">
        <v>24.5</v>
      </c>
      <c r="H12">
        <v>20.2</v>
      </c>
      <c r="I12">
        <v>22.5</v>
      </c>
      <c r="J12">
        <v>22.4</v>
      </c>
      <c r="K12">
        <v>18.2</v>
      </c>
      <c r="L12">
        <v>22.5</v>
      </c>
      <c r="M12">
        <v>13.7</v>
      </c>
      <c r="N12">
        <v>20.7</v>
      </c>
      <c r="O12">
        <v>17.600000000000001</v>
      </c>
      <c r="P12">
        <v>16.7</v>
      </c>
      <c r="Q12">
        <v>17.2</v>
      </c>
      <c r="R12">
        <v>15.9</v>
      </c>
      <c r="S12">
        <v>20.9</v>
      </c>
      <c r="T12">
        <v>15</v>
      </c>
      <c r="U12">
        <v>16.7</v>
      </c>
      <c r="V12">
        <v>20.3</v>
      </c>
      <c r="W12">
        <v>17.100000000000001</v>
      </c>
      <c r="X12">
        <v>15.4</v>
      </c>
      <c r="Y12">
        <v>22.4</v>
      </c>
      <c r="Z12">
        <v>16.5</v>
      </c>
      <c r="AA12">
        <v>22.2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24.9</v>
      </c>
      <c r="E13">
        <v>26.6</v>
      </c>
      <c r="F13">
        <v>26.4</v>
      </c>
      <c r="G13">
        <v>27.3</v>
      </c>
      <c r="H13">
        <v>23.9</v>
      </c>
      <c r="I13">
        <v>25.2</v>
      </c>
      <c r="J13">
        <v>19.7</v>
      </c>
      <c r="K13">
        <v>14.3</v>
      </c>
      <c r="L13">
        <v>12.1</v>
      </c>
      <c r="M13">
        <v>12.8</v>
      </c>
      <c r="N13">
        <v>13.9</v>
      </c>
      <c r="O13">
        <v>17.3</v>
      </c>
      <c r="P13">
        <v>12.3</v>
      </c>
      <c r="Q13">
        <v>17.8</v>
      </c>
      <c r="R13">
        <v>13.1</v>
      </c>
      <c r="S13">
        <v>15.9</v>
      </c>
      <c r="T13">
        <v>15.2</v>
      </c>
      <c r="U13">
        <v>17</v>
      </c>
      <c r="V13">
        <v>15.7</v>
      </c>
      <c r="W13">
        <v>20.7</v>
      </c>
      <c r="X13">
        <v>18.3</v>
      </c>
      <c r="Y13">
        <v>19.399999999999999</v>
      </c>
      <c r="Z13">
        <v>21.9</v>
      </c>
      <c r="AA13">
        <v>25.8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22.2</v>
      </c>
      <c r="E14">
        <v>29.1</v>
      </c>
      <c r="F14">
        <v>27.6</v>
      </c>
      <c r="G14">
        <v>25.5</v>
      </c>
      <c r="H14">
        <v>21.2</v>
      </c>
      <c r="I14">
        <v>20.399999999999999</v>
      </c>
      <c r="J14">
        <v>13.8</v>
      </c>
      <c r="K14">
        <v>13.2</v>
      </c>
      <c r="L14">
        <v>12.6</v>
      </c>
      <c r="M14">
        <v>11.6</v>
      </c>
      <c r="N14">
        <v>15.3</v>
      </c>
      <c r="O14">
        <v>18</v>
      </c>
      <c r="P14">
        <v>13.7</v>
      </c>
      <c r="Q14">
        <v>15.1</v>
      </c>
      <c r="R14">
        <v>14.5</v>
      </c>
      <c r="S14">
        <v>14.6</v>
      </c>
      <c r="T14">
        <v>15.4</v>
      </c>
      <c r="U14">
        <v>15.2</v>
      </c>
      <c r="V14">
        <v>14.7</v>
      </c>
      <c r="W14">
        <v>16.399999999999999</v>
      </c>
      <c r="X14">
        <v>23.8</v>
      </c>
      <c r="Y14">
        <v>21</v>
      </c>
      <c r="Z14">
        <v>23.5</v>
      </c>
      <c r="AA14">
        <v>21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22.9</v>
      </c>
      <c r="E15">
        <v>35.9</v>
      </c>
      <c r="F15">
        <v>26</v>
      </c>
      <c r="G15">
        <v>27.7</v>
      </c>
      <c r="H15">
        <v>30</v>
      </c>
      <c r="I15">
        <v>24.2</v>
      </c>
      <c r="J15">
        <v>16.8</v>
      </c>
      <c r="K15">
        <v>12.4</v>
      </c>
      <c r="L15">
        <v>17.2</v>
      </c>
      <c r="M15">
        <v>14.3</v>
      </c>
      <c r="N15">
        <v>10.9</v>
      </c>
      <c r="O15">
        <v>14.6</v>
      </c>
      <c r="P15">
        <v>17.100000000000001</v>
      </c>
      <c r="Q15">
        <v>15.9</v>
      </c>
      <c r="R15">
        <v>12.6</v>
      </c>
      <c r="S15">
        <v>15.4</v>
      </c>
      <c r="T15">
        <v>14.9</v>
      </c>
      <c r="U15">
        <v>17</v>
      </c>
      <c r="V15">
        <v>14.5</v>
      </c>
      <c r="W15">
        <v>21.2</v>
      </c>
      <c r="X15">
        <v>16.899999999999999</v>
      </c>
      <c r="Y15">
        <v>21</v>
      </c>
      <c r="Z15">
        <v>23.5</v>
      </c>
      <c r="AA15">
        <v>31.1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25.7</v>
      </c>
      <c r="E16">
        <v>29.2</v>
      </c>
      <c r="F16">
        <v>35</v>
      </c>
      <c r="G16">
        <v>27.7</v>
      </c>
      <c r="H16">
        <v>26.9</v>
      </c>
      <c r="I16">
        <v>23.2</v>
      </c>
      <c r="J16">
        <v>17.600000000000001</v>
      </c>
      <c r="K16">
        <v>11.9</v>
      </c>
      <c r="L16">
        <v>14.6</v>
      </c>
      <c r="M16">
        <v>13.3</v>
      </c>
      <c r="N16">
        <v>13.2</v>
      </c>
      <c r="O16">
        <v>15</v>
      </c>
      <c r="P16">
        <v>13.8</v>
      </c>
      <c r="Q16">
        <v>14</v>
      </c>
      <c r="R16">
        <v>17.399999999999999</v>
      </c>
      <c r="S16">
        <v>13.3</v>
      </c>
      <c r="T16">
        <v>16.399999999999999</v>
      </c>
      <c r="U16">
        <v>16.600000000000001</v>
      </c>
      <c r="V16">
        <v>17.7</v>
      </c>
      <c r="W16">
        <v>20.5</v>
      </c>
      <c r="X16">
        <v>16.8</v>
      </c>
      <c r="Y16">
        <v>17.100000000000001</v>
      </c>
      <c r="Z16">
        <v>18.7</v>
      </c>
      <c r="AA16">
        <v>30.1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30.1</v>
      </c>
      <c r="E17">
        <v>26.9</v>
      </c>
      <c r="F17">
        <v>27.3</v>
      </c>
      <c r="G17">
        <v>29.6</v>
      </c>
      <c r="H17">
        <v>28.7</v>
      </c>
      <c r="I17">
        <v>24.9</v>
      </c>
      <c r="J17">
        <v>17.8</v>
      </c>
      <c r="K17">
        <v>15</v>
      </c>
      <c r="L17">
        <v>11.4</v>
      </c>
      <c r="M17">
        <v>14.3</v>
      </c>
      <c r="N17">
        <v>13.3</v>
      </c>
      <c r="O17">
        <v>16.7</v>
      </c>
      <c r="P17">
        <v>20.100000000000001</v>
      </c>
      <c r="Q17">
        <v>14.8</v>
      </c>
      <c r="R17">
        <v>15.3</v>
      </c>
      <c r="S17">
        <v>11.5</v>
      </c>
      <c r="T17">
        <v>14.7</v>
      </c>
      <c r="U17">
        <v>12.6</v>
      </c>
      <c r="V17">
        <v>16</v>
      </c>
      <c r="W17">
        <v>14.3</v>
      </c>
      <c r="X17">
        <v>14.6</v>
      </c>
      <c r="Y17">
        <v>12.9</v>
      </c>
      <c r="Z17">
        <v>23.2</v>
      </c>
      <c r="AA17">
        <v>28.7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26.6</v>
      </c>
      <c r="E18">
        <v>30</v>
      </c>
      <c r="F18">
        <v>34.6</v>
      </c>
      <c r="G18">
        <v>26.9</v>
      </c>
      <c r="H18">
        <v>20.399999999999999</v>
      </c>
      <c r="I18">
        <v>23.4</v>
      </c>
      <c r="J18">
        <v>19.600000000000001</v>
      </c>
      <c r="K18">
        <v>18.5</v>
      </c>
      <c r="L18">
        <v>15.8</v>
      </c>
      <c r="M18">
        <v>13.9</v>
      </c>
      <c r="N18">
        <v>14</v>
      </c>
      <c r="O18">
        <v>18.7</v>
      </c>
      <c r="P18">
        <v>19.5</v>
      </c>
      <c r="Q18">
        <v>16.5</v>
      </c>
      <c r="R18">
        <v>16.399999999999999</v>
      </c>
      <c r="S18">
        <v>14.2</v>
      </c>
      <c r="T18">
        <v>14.5</v>
      </c>
      <c r="U18">
        <v>16.8</v>
      </c>
      <c r="V18">
        <v>16.899999999999999</v>
      </c>
      <c r="W18">
        <v>7.8</v>
      </c>
      <c r="X18">
        <v>17.7</v>
      </c>
      <c r="Y18">
        <v>18.399999999999999</v>
      </c>
      <c r="Z18">
        <v>19</v>
      </c>
      <c r="AA18">
        <v>27.3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28.5</v>
      </c>
      <c r="E19">
        <v>30.1</v>
      </c>
      <c r="F19">
        <v>25.2</v>
      </c>
      <c r="G19">
        <v>34.799999999999997</v>
      </c>
      <c r="H19">
        <v>25.2</v>
      </c>
      <c r="I19">
        <v>17.7</v>
      </c>
      <c r="J19">
        <v>26.7</v>
      </c>
      <c r="K19">
        <v>23.2</v>
      </c>
      <c r="L19">
        <v>23.1</v>
      </c>
      <c r="M19">
        <v>19.600000000000001</v>
      </c>
      <c r="N19">
        <v>18.600000000000001</v>
      </c>
      <c r="O19">
        <v>17.7</v>
      </c>
      <c r="P19">
        <v>14.6</v>
      </c>
      <c r="Q19">
        <v>14.5</v>
      </c>
      <c r="R19">
        <v>19.399999999999999</v>
      </c>
      <c r="S19">
        <v>18.7</v>
      </c>
      <c r="T19">
        <v>18.899999999999999</v>
      </c>
      <c r="U19">
        <v>21.4</v>
      </c>
      <c r="V19">
        <v>20.2</v>
      </c>
      <c r="W19">
        <v>12.7</v>
      </c>
      <c r="X19">
        <v>23.1</v>
      </c>
      <c r="Y19">
        <v>20.6</v>
      </c>
      <c r="Z19">
        <v>18.7</v>
      </c>
      <c r="AA19">
        <v>25.5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20.399999999999999</v>
      </c>
      <c r="E20">
        <v>33.6</v>
      </c>
      <c r="F20">
        <v>28.8</v>
      </c>
      <c r="G20">
        <v>32.200000000000003</v>
      </c>
      <c r="H20">
        <v>27.3</v>
      </c>
      <c r="I20">
        <v>23.8</v>
      </c>
      <c r="J20">
        <v>16.3</v>
      </c>
      <c r="K20">
        <v>15.5</v>
      </c>
      <c r="L20">
        <v>12.2</v>
      </c>
      <c r="M20">
        <v>15.5</v>
      </c>
      <c r="N20">
        <v>14.9</v>
      </c>
      <c r="O20">
        <v>19.100000000000001</v>
      </c>
      <c r="P20">
        <v>14.1</v>
      </c>
      <c r="Q20">
        <v>15</v>
      </c>
      <c r="R20">
        <v>21.9</v>
      </c>
      <c r="S20">
        <v>17.7</v>
      </c>
      <c r="T20">
        <v>14.8</v>
      </c>
      <c r="U20">
        <v>15.5</v>
      </c>
      <c r="V20">
        <v>17.899999999999999</v>
      </c>
      <c r="W20">
        <v>16.3</v>
      </c>
      <c r="X20">
        <v>16.5</v>
      </c>
      <c r="Y20">
        <v>20.399999999999999</v>
      </c>
      <c r="Z20">
        <v>18</v>
      </c>
      <c r="AA20">
        <v>25.7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24.3</v>
      </c>
      <c r="E21">
        <v>35.1</v>
      </c>
      <c r="F21">
        <v>15.5</v>
      </c>
      <c r="G21">
        <v>24.3</v>
      </c>
      <c r="H21">
        <v>24.9</v>
      </c>
      <c r="I21">
        <v>20.3</v>
      </c>
      <c r="J21">
        <v>14.9</v>
      </c>
      <c r="K21">
        <v>12</v>
      </c>
      <c r="L21">
        <v>15.9</v>
      </c>
      <c r="M21">
        <v>15.3</v>
      </c>
      <c r="N21">
        <v>12.1</v>
      </c>
      <c r="O21">
        <v>16.5</v>
      </c>
      <c r="P21">
        <v>14.2</v>
      </c>
      <c r="Q21">
        <v>15.1</v>
      </c>
      <c r="R21">
        <v>12.8</v>
      </c>
      <c r="S21">
        <v>16.399999999999999</v>
      </c>
      <c r="T21">
        <v>18</v>
      </c>
      <c r="U21">
        <v>12.1</v>
      </c>
      <c r="V21">
        <v>15.1</v>
      </c>
      <c r="W21">
        <v>14.3</v>
      </c>
      <c r="X21">
        <v>16.5</v>
      </c>
      <c r="Y21">
        <v>25.3</v>
      </c>
      <c r="Z21">
        <v>19</v>
      </c>
      <c r="AA21">
        <v>27.5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28.3</v>
      </c>
      <c r="E22">
        <v>27</v>
      </c>
      <c r="F22">
        <v>29.5</v>
      </c>
      <c r="G22">
        <v>26.2</v>
      </c>
      <c r="H22">
        <v>31</v>
      </c>
      <c r="I22">
        <v>21</v>
      </c>
      <c r="J22">
        <v>15</v>
      </c>
      <c r="K22">
        <v>10.199999999999999</v>
      </c>
      <c r="L22">
        <v>13</v>
      </c>
      <c r="M22">
        <v>14.2</v>
      </c>
      <c r="N22">
        <v>17.100000000000001</v>
      </c>
      <c r="O22">
        <v>16.399999999999999</v>
      </c>
      <c r="P22">
        <v>13.9</v>
      </c>
      <c r="Q22">
        <v>15.1</v>
      </c>
      <c r="R22">
        <v>16.5</v>
      </c>
      <c r="S22">
        <v>13.6</v>
      </c>
      <c r="T22">
        <v>14.3</v>
      </c>
      <c r="U22">
        <v>15.9</v>
      </c>
      <c r="V22">
        <v>17.5</v>
      </c>
      <c r="W22">
        <v>16.3</v>
      </c>
      <c r="X22">
        <v>16.100000000000001</v>
      </c>
      <c r="Y22">
        <v>19.5</v>
      </c>
      <c r="Z22">
        <v>17.5</v>
      </c>
      <c r="AA22">
        <v>24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26.9</v>
      </c>
      <c r="E23">
        <v>33.200000000000003</v>
      </c>
      <c r="F23">
        <v>21</v>
      </c>
      <c r="G23">
        <v>37.5</v>
      </c>
      <c r="H23">
        <v>23.8</v>
      </c>
      <c r="I23">
        <v>25.9</v>
      </c>
      <c r="J23">
        <v>15.7</v>
      </c>
      <c r="K23">
        <v>12.6</v>
      </c>
      <c r="L23">
        <v>14.5</v>
      </c>
      <c r="M23">
        <v>14</v>
      </c>
      <c r="N23">
        <v>14.2</v>
      </c>
      <c r="O23">
        <v>15.1</v>
      </c>
      <c r="P23">
        <v>19.7</v>
      </c>
      <c r="Q23">
        <v>16.2</v>
      </c>
      <c r="R23">
        <v>17.600000000000001</v>
      </c>
      <c r="S23">
        <v>16.899999999999999</v>
      </c>
      <c r="T23">
        <v>14.8</v>
      </c>
      <c r="U23">
        <v>13.7</v>
      </c>
      <c r="V23">
        <v>15.3</v>
      </c>
      <c r="W23">
        <v>17.899999999999999</v>
      </c>
      <c r="X23">
        <v>15.5</v>
      </c>
      <c r="Y23">
        <v>21.3</v>
      </c>
      <c r="Z23">
        <v>19</v>
      </c>
      <c r="AA23">
        <v>24.4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30</v>
      </c>
      <c r="E24">
        <v>23.5</v>
      </c>
      <c r="F24">
        <v>37.799999999999997</v>
      </c>
      <c r="G24">
        <v>35.799999999999997</v>
      </c>
      <c r="H24">
        <v>29.8</v>
      </c>
      <c r="I24">
        <v>29.2</v>
      </c>
      <c r="J24">
        <v>15.6</v>
      </c>
      <c r="K24">
        <v>14.8</v>
      </c>
      <c r="L24">
        <v>13.2</v>
      </c>
      <c r="M24">
        <v>14.5</v>
      </c>
      <c r="N24">
        <v>13.4</v>
      </c>
      <c r="O24">
        <v>14.3</v>
      </c>
      <c r="P24">
        <v>14.9</v>
      </c>
      <c r="Q24">
        <v>16</v>
      </c>
      <c r="R24">
        <v>14.6</v>
      </c>
      <c r="S24">
        <v>17.100000000000001</v>
      </c>
      <c r="T24">
        <v>16.399999999999999</v>
      </c>
      <c r="U24">
        <v>13.8</v>
      </c>
      <c r="V24">
        <v>13.3</v>
      </c>
      <c r="W24">
        <v>17.399999999999999</v>
      </c>
      <c r="X24">
        <v>13.9</v>
      </c>
      <c r="Y24">
        <v>16.3</v>
      </c>
      <c r="Z24">
        <v>19.399999999999999</v>
      </c>
      <c r="AA24">
        <v>23.7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25.4</v>
      </c>
      <c r="E25">
        <v>29.5</v>
      </c>
      <c r="F25">
        <v>27.6</v>
      </c>
      <c r="G25">
        <v>24.7</v>
      </c>
      <c r="H25">
        <v>23.4</v>
      </c>
      <c r="I25">
        <v>20.100000000000001</v>
      </c>
      <c r="J25">
        <v>23.6</v>
      </c>
      <c r="K25">
        <v>22.1</v>
      </c>
      <c r="L25">
        <v>22.2</v>
      </c>
      <c r="M25">
        <v>15</v>
      </c>
      <c r="N25">
        <v>19.3</v>
      </c>
      <c r="O25">
        <v>12.8</v>
      </c>
      <c r="P25">
        <v>20.399999999999999</v>
      </c>
      <c r="Q25">
        <v>12.3</v>
      </c>
      <c r="R25">
        <v>9.6999999999999993</v>
      </c>
      <c r="S25">
        <v>15.7</v>
      </c>
      <c r="T25">
        <v>9.8000000000000007</v>
      </c>
      <c r="U25">
        <v>16.7</v>
      </c>
      <c r="V25">
        <v>15.8</v>
      </c>
      <c r="X25">
        <v>20.100000000000001</v>
      </c>
      <c r="Y25">
        <v>22.4</v>
      </c>
      <c r="Z25">
        <v>15.9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23.7</v>
      </c>
      <c r="E26">
        <v>24.2</v>
      </c>
      <c r="F26">
        <v>27.3</v>
      </c>
      <c r="G26">
        <v>30.8</v>
      </c>
      <c r="H26">
        <v>26.5</v>
      </c>
      <c r="I26">
        <v>22.1</v>
      </c>
      <c r="J26">
        <v>22.1</v>
      </c>
      <c r="K26">
        <v>16.5</v>
      </c>
      <c r="L26">
        <v>21.3</v>
      </c>
      <c r="M26">
        <v>22.1</v>
      </c>
      <c r="N26">
        <v>23.6</v>
      </c>
      <c r="O26">
        <v>18</v>
      </c>
      <c r="P26">
        <v>15.8</v>
      </c>
      <c r="Q26">
        <v>15.8</v>
      </c>
      <c r="R26">
        <v>16.7</v>
      </c>
      <c r="S26">
        <v>15.1</v>
      </c>
      <c r="T26">
        <v>14.3</v>
      </c>
      <c r="U26">
        <v>19.899999999999999</v>
      </c>
      <c r="V26">
        <v>16.600000000000001</v>
      </c>
      <c r="W26">
        <v>17.100000000000001</v>
      </c>
      <c r="X26">
        <v>20</v>
      </c>
      <c r="Y26">
        <v>13.6</v>
      </c>
      <c r="Z26">
        <v>16.399999999999999</v>
      </c>
      <c r="AA26">
        <v>27.8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26.6</v>
      </c>
      <c r="E27">
        <v>27.3</v>
      </c>
      <c r="F27">
        <v>28.7</v>
      </c>
      <c r="G27">
        <v>41.6</v>
      </c>
      <c r="H27">
        <v>25.7</v>
      </c>
      <c r="I27">
        <v>25</v>
      </c>
      <c r="J27">
        <v>16</v>
      </c>
      <c r="K27">
        <v>12.6</v>
      </c>
      <c r="L27">
        <v>14.3</v>
      </c>
      <c r="M27">
        <v>16.899999999999999</v>
      </c>
      <c r="N27">
        <v>16</v>
      </c>
      <c r="O27">
        <v>14.6</v>
      </c>
      <c r="P27">
        <v>19.3</v>
      </c>
      <c r="Q27">
        <v>12.3</v>
      </c>
      <c r="R27">
        <v>16.7</v>
      </c>
      <c r="S27">
        <v>21</v>
      </c>
      <c r="T27">
        <v>14.8</v>
      </c>
      <c r="U27">
        <v>18.2</v>
      </c>
      <c r="V27">
        <v>17.2</v>
      </c>
      <c r="W27">
        <v>17.2</v>
      </c>
      <c r="X27">
        <v>22.2</v>
      </c>
      <c r="Y27">
        <v>25.4</v>
      </c>
      <c r="Z27">
        <v>19.3</v>
      </c>
      <c r="AA27">
        <v>24.5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26.4</v>
      </c>
      <c r="E28">
        <v>31.3</v>
      </c>
      <c r="F28">
        <v>26.5</v>
      </c>
      <c r="G28">
        <v>30.2</v>
      </c>
      <c r="H28">
        <v>30.5</v>
      </c>
      <c r="I28">
        <v>24.4</v>
      </c>
      <c r="J28">
        <v>18.2</v>
      </c>
      <c r="K28">
        <v>14.2</v>
      </c>
      <c r="L28">
        <v>13.5</v>
      </c>
      <c r="M28">
        <v>14.9</v>
      </c>
      <c r="N28">
        <v>12.5</v>
      </c>
      <c r="O28">
        <v>16.5</v>
      </c>
      <c r="P28">
        <v>20.100000000000001</v>
      </c>
      <c r="Q28">
        <v>16.8</v>
      </c>
      <c r="R28">
        <v>16.3</v>
      </c>
      <c r="S28">
        <v>14.3</v>
      </c>
      <c r="T28">
        <v>18.2</v>
      </c>
      <c r="U28">
        <v>14.2</v>
      </c>
      <c r="V28">
        <v>22.3</v>
      </c>
      <c r="W28">
        <v>14</v>
      </c>
      <c r="X28">
        <v>18.399999999999999</v>
      </c>
      <c r="Y28">
        <v>20.2</v>
      </c>
      <c r="Z28">
        <v>17.7</v>
      </c>
      <c r="AA28">
        <v>19.600000000000001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26.8</v>
      </c>
      <c r="E29">
        <v>32.799999999999997</v>
      </c>
      <c r="F29">
        <v>33.5</v>
      </c>
      <c r="G29">
        <v>23.9</v>
      </c>
      <c r="H29">
        <v>20.2</v>
      </c>
      <c r="I29">
        <v>23.1</v>
      </c>
      <c r="J29">
        <v>13.4</v>
      </c>
      <c r="K29">
        <v>16.899999999999999</v>
      </c>
      <c r="L29">
        <v>11.8</v>
      </c>
      <c r="M29">
        <v>14.3</v>
      </c>
      <c r="N29">
        <v>13.3</v>
      </c>
      <c r="O29">
        <v>12.3</v>
      </c>
      <c r="P29">
        <v>16.3</v>
      </c>
      <c r="Q29">
        <v>16.5</v>
      </c>
      <c r="R29">
        <v>14.9</v>
      </c>
      <c r="S29">
        <v>10.8</v>
      </c>
      <c r="T29">
        <v>14.5</v>
      </c>
      <c r="U29">
        <v>18</v>
      </c>
      <c r="V29">
        <v>14.4</v>
      </c>
      <c r="W29">
        <v>13</v>
      </c>
      <c r="X29">
        <v>19.100000000000001</v>
      </c>
      <c r="Y29">
        <v>16</v>
      </c>
      <c r="Z29">
        <v>23.7</v>
      </c>
      <c r="AA29">
        <v>23.1</v>
      </c>
    </row>
    <row r="31" spans="1:27" x14ac:dyDescent="0.25">
      <c r="C31">
        <v>1</v>
      </c>
      <c r="D31">
        <f t="array" ref="D31">MEDIAN(IF($C$3:$C$29=$C31,D$3:D$29,""))</f>
        <v>23.85</v>
      </c>
      <c r="E31">
        <f t="array" ref="E31">MEDIAN(IF($C$3:$C$29=$C31,E$3:E$29,""))</f>
        <v>29</v>
      </c>
      <c r="F31">
        <f t="array" ref="F31">MEDIAN(IF($C$3:$C$29=$C31,F$3:F$29,""))</f>
        <v>26.8</v>
      </c>
      <c r="G31">
        <f t="array" ref="G31">MEDIAN(IF($C$3:$C$29=$C31,G$3:G$29,""))</f>
        <v>31.4</v>
      </c>
      <c r="H31">
        <f t="array" ref="H31">MEDIAN(IF($C$3:$C$29=$C31,H$3:H$29,""))</f>
        <v>25.85</v>
      </c>
      <c r="I31">
        <f t="array" ref="I31">MEDIAN(IF($C$3:$C$29=$C31,I$3:I$29,""))</f>
        <v>22.3</v>
      </c>
      <c r="J31">
        <f t="array" ref="J31">MEDIAN(IF($C$3:$C$29=$C31,J$3:J$29,""))</f>
        <v>22.25</v>
      </c>
      <c r="K31">
        <f t="array" ref="K31">MEDIAN(IF($C$3:$C$29=$C31,K$3:K$29,""))</f>
        <v>20.7</v>
      </c>
      <c r="L31">
        <f t="array" ref="L31">MEDIAN(IF($C$3:$C$29=$C31,L$3:L$29,""))</f>
        <v>21.9</v>
      </c>
      <c r="M31">
        <f t="array" ref="M31">MEDIAN(IF($C$3:$C$29=$C31,M$3:M$29,""))</f>
        <v>19.700000000000003</v>
      </c>
      <c r="N31">
        <f t="array" ref="N31">MEDIAN(IF($C$3:$C$29=$C31,N$3:N$29,""))</f>
        <v>19.649999999999999</v>
      </c>
      <c r="O31">
        <f t="array" ref="O31">MEDIAN(IF($C$3:$C$29=$C31,O$3:O$29,""))</f>
        <v>17.850000000000001</v>
      </c>
      <c r="P31">
        <f t="array" ref="P31">MEDIAN(IF($C$3:$C$29=$C31,P$3:P$29,""))</f>
        <v>16.25</v>
      </c>
      <c r="Q31">
        <f t="array" ref="Q31">MEDIAN(IF($C$3:$C$29=$C31,Q$3:Q$29,""))</f>
        <v>15.25</v>
      </c>
      <c r="R31">
        <f t="array" ref="R31">MEDIAN(IF($C$3:$C$29=$C31,R$3:R$29,""))</f>
        <v>16.3</v>
      </c>
      <c r="S31">
        <f t="array" ref="S31">MEDIAN(IF($C$3:$C$29=$C31,S$3:S$29,""))</f>
        <v>17.899999999999999</v>
      </c>
      <c r="T31">
        <f t="array" ref="T31">MEDIAN(IF($C$3:$C$29=$C31,T$3:T$29,""))</f>
        <v>16.95</v>
      </c>
      <c r="U31">
        <f t="array" ref="U31">MEDIAN(IF($C$3:$C$29=$C31,U$3:U$29,""))</f>
        <v>19.100000000000001</v>
      </c>
      <c r="V31">
        <f t="array" ref="V31">MEDIAN(IF($C$3:$C$29=$C31,V$3:V$29,""))</f>
        <v>20.25</v>
      </c>
      <c r="W31">
        <f t="array" ref="W31">MEDIAN(IF($C$3:$C$29=$C31,W$3:W$29,""))</f>
        <v>16.5</v>
      </c>
      <c r="X31">
        <f t="array" ref="X31">MEDIAN(IF($C$3:$C$29=$C31,X$3:X$29,""))</f>
        <v>19.600000000000001</v>
      </c>
      <c r="Y31">
        <f t="array" ref="Y31">MEDIAN(IF($C$3:$C$29=$C31,Y$3:Y$29,""))</f>
        <v>19.649999999999999</v>
      </c>
      <c r="Z31">
        <f t="array" ref="Z31">MEDIAN(IF($C$3:$C$29=$C31,Z$3:Z$29,""))</f>
        <v>16.45</v>
      </c>
      <c r="AA31">
        <f t="array" ref="AA31">MEDIAN(IF($C$3:$C$29=$C31,AA$3:AA$29,""))</f>
        <v>26.4</v>
      </c>
    </row>
    <row r="32" spans="1:27" x14ac:dyDescent="0.25">
      <c r="C32">
        <v>2</v>
      </c>
      <c r="D32">
        <f t="array" ref="D32">MEDIAN(IF($C$3:$C$29=$C32,D$3:D$29,""))</f>
        <v>28.05</v>
      </c>
      <c r="E32">
        <f t="array" ref="E32">MEDIAN(IF($C$3:$C$29=$C32,E$3:E$29,""))</f>
        <v>28.6</v>
      </c>
      <c r="F32">
        <f t="array" ref="F32">MEDIAN(IF($C$3:$C$29=$C32,F$3:F$29,""))</f>
        <v>29.65</v>
      </c>
      <c r="G32">
        <f t="array" ref="G32">MEDIAN(IF($C$3:$C$29=$C32,G$3:G$29,""))</f>
        <v>27.15</v>
      </c>
      <c r="H32">
        <f t="array" ref="H32">MEDIAN(IF($C$3:$C$29=$C32,H$3:H$29,""))</f>
        <v>26.95</v>
      </c>
      <c r="I32">
        <f t="array" ref="I32">MEDIAN(IF($C$3:$C$29=$C32,I$3:I$29,""))</f>
        <v>21.75</v>
      </c>
      <c r="J32">
        <f t="array" ref="J32">MEDIAN(IF($C$3:$C$29=$C32,J$3:J$29,""))</f>
        <v>22.2</v>
      </c>
      <c r="K32">
        <f t="array" ref="K32">MEDIAN(IF($C$3:$C$29=$C32,K$3:K$29,""))</f>
        <v>19.05</v>
      </c>
      <c r="L32">
        <f t="array" ref="L32">MEDIAN(IF($C$3:$C$29=$C32,L$3:L$29,""))</f>
        <v>17.25</v>
      </c>
      <c r="M32">
        <f t="array" ref="M32">MEDIAN(IF($C$3:$C$29=$C32,M$3:M$29,""))</f>
        <v>15.35</v>
      </c>
      <c r="N32">
        <f t="array" ref="N32">MEDIAN(IF($C$3:$C$29=$C32,N$3:N$29,""))</f>
        <v>17.5</v>
      </c>
      <c r="O32">
        <f t="array" ref="O32">MEDIAN(IF($C$3:$C$29=$C32,O$3:O$29,""))</f>
        <v>18.149999999999999</v>
      </c>
      <c r="P32">
        <f t="array" ref="P32">MEDIAN(IF($C$3:$C$29=$C32,P$3:P$29,""))</f>
        <v>17.55</v>
      </c>
      <c r="Q32">
        <f t="array" ref="Q32">MEDIAN(IF($C$3:$C$29=$C32,Q$3:Q$29,""))</f>
        <v>14.65</v>
      </c>
      <c r="R32">
        <f t="array" ref="R32">MEDIAN(IF($C$3:$C$29=$C32,R$3:R$29,""))</f>
        <v>17.399999999999999</v>
      </c>
      <c r="S32">
        <f t="array" ref="S32">MEDIAN(IF($C$3:$C$29=$C32,S$3:S$29,""))</f>
        <v>16.25</v>
      </c>
      <c r="T32">
        <f t="array" ref="T32">MEDIAN(IF($C$3:$C$29=$C32,T$3:T$29,""))</f>
        <v>15.55</v>
      </c>
      <c r="U32">
        <f t="array" ref="U32">MEDIAN(IF($C$3:$C$29=$C32,U$3:U$29,""))</f>
        <v>17.100000000000001</v>
      </c>
      <c r="V32">
        <f t="array" ref="V32">MEDIAN(IF($C$3:$C$29=$C32,V$3:V$29,""))</f>
        <v>17.649999999999999</v>
      </c>
      <c r="W32">
        <f t="array" ref="W32">MEDIAN(IF($C$3:$C$29=$C32,W$3:W$29,""))</f>
        <v>11.95</v>
      </c>
      <c r="X32">
        <f t="array" ref="X32">MEDIAN(IF($C$3:$C$29=$C32,X$3:X$29,""))</f>
        <v>18.45</v>
      </c>
      <c r="Y32">
        <f t="array" ref="Y32">MEDIAN(IF($C$3:$C$29=$C32,Y$3:Y$29,""))</f>
        <v>20.399999999999999</v>
      </c>
      <c r="Z32">
        <f t="array" ref="Z32">MEDIAN(IF($C$3:$C$29=$C32,Z$3:Z$29,""))</f>
        <v>19.25</v>
      </c>
      <c r="AA32">
        <f t="array" ref="AA32">MEDIAN(IF($C$3:$C$29=$C32,AA$3:AA$29,""))</f>
        <v>22.549999999999997</v>
      </c>
    </row>
    <row r="33" spans="3:27" x14ac:dyDescent="0.25">
      <c r="C33">
        <v>3</v>
      </c>
      <c r="D33">
        <f t="array" ref="D33">MEDIAN(IF($C$3:$C$29=$C33,D$3:D$29,""))</f>
        <v>23.95</v>
      </c>
      <c r="E33">
        <f t="array" ref="E33">MEDIAN(IF($C$3:$C$29=$C33,E$3:E$29,""))</f>
        <v>27.05</v>
      </c>
      <c r="F33">
        <f t="array" ref="F33">MEDIAN(IF($C$3:$C$29=$C33,F$3:F$29,""))</f>
        <v>27.549999999999997</v>
      </c>
      <c r="G33">
        <f t="array" ref="G33">MEDIAN(IF($C$3:$C$29=$C33,G$3:G$29,""))</f>
        <v>29.75</v>
      </c>
      <c r="H33">
        <f t="array" ref="H33">MEDIAN(IF($C$3:$C$29=$C33,H$3:H$29,""))</f>
        <v>26.5</v>
      </c>
      <c r="I33">
        <f t="array" ref="I33">MEDIAN(IF($C$3:$C$29=$C33,I$3:I$29,""))</f>
        <v>24.4</v>
      </c>
      <c r="J33">
        <f t="array" ref="J33">MEDIAN(IF($C$3:$C$29=$C33,J$3:J$29,""))</f>
        <v>16.450000000000003</v>
      </c>
      <c r="K33">
        <f t="array" ref="K33">MEDIAN(IF($C$3:$C$29=$C33,K$3:K$29,""))</f>
        <v>14.2</v>
      </c>
      <c r="L33">
        <f t="array" ref="L33">MEDIAN(IF($C$3:$C$29=$C33,L$3:L$29,""))</f>
        <v>13.25</v>
      </c>
      <c r="M33">
        <f t="array" ref="M33">MEDIAN(IF($C$3:$C$29=$C33,M$3:M$29,""))</f>
        <v>16</v>
      </c>
      <c r="N33">
        <f t="array" ref="N33">MEDIAN(IF($C$3:$C$29=$C33,N$3:N$29,""))</f>
        <v>14.95</v>
      </c>
      <c r="O33">
        <f t="array" ref="O33">MEDIAN(IF($C$3:$C$29=$C33,O$3:O$29,""))</f>
        <v>15.95</v>
      </c>
      <c r="P33">
        <f t="array" ref="P33">MEDIAN(IF($C$3:$C$29=$C33,P$3:P$29,""))</f>
        <v>16.05</v>
      </c>
      <c r="Q33">
        <f t="array" ref="Q33">MEDIAN(IF($C$3:$C$29=$C33,Q$3:Q$29,""))</f>
        <v>15.6</v>
      </c>
      <c r="R33">
        <f t="array" ref="R33">MEDIAN(IF($C$3:$C$29=$C33,R$3:R$29,""))</f>
        <v>15.649999999999999</v>
      </c>
      <c r="S33">
        <f t="array" ref="S33">MEDIAN(IF($C$3:$C$29=$C33,S$3:S$29,""))</f>
        <v>16.8</v>
      </c>
      <c r="T33">
        <f t="array" ref="T33">MEDIAN(IF($C$3:$C$29=$C33,T$3:T$29,""))</f>
        <v>14.8</v>
      </c>
      <c r="U33">
        <f t="array" ref="U33">MEDIAN(IF($C$3:$C$29=$C33,U$3:U$29,""))</f>
        <v>16.5</v>
      </c>
      <c r="V33">
        <f t="array" ref="V33">MEDIAN(IF($C$3:$C$29=$C33,V$3:V$29,""))</f>
        <v>17.549999999999997</v>
      </c>
      <c r="W33">
        <f t="array" ref="W33">MEDIAN(IF($C$3:$C$29=$C33,W$3:W$29,""))</f>
        <v>17.100000000000001</v>
      </c>
      <c r="X33">
        <f t="array" ref="X33">MEDIAN(IF($C$3:$C$29=$C33,X$3:X$29,""))</f>
        <v>18.950000000000003</v>
      </c>
      <c r="Y33">
        <f t="array" ref="Y33">MEDIAN(IF($C$3:$C$29=$C33,Y$3:Y$29,""))</f>
        <v>21.35</v>
      </c>
      <c r="Z33">
        <f t="array" ref="Z33">MEDIAN(IF($C$3:$C$29=$C33,Z$3:Z$29,""))</f>
        <v>20.6</v>
      </c>
      <c r="AA33">
        <f t="array" ref="AA33">MEDIAN(IF($C$3:$C$29=$C33,AA$3:AA$29,""))</f>
        <v>25.75</v>
      </c>
    </row>
    <row r="34" spans="3:27" x14ac:dyDescent="0.25">
      <c r="C34">
        <v>4</v>
      </c>
      <c r="D34">
        <f t="array" ref="D34">MEDIAN(IF($C$3:$C$29=$C34,D$3:D$29,""))</f>
        <v>23.5</v>
      </c>
      <c r="E34">
        <f t="array" ref="E34">MEDIAN(IF($C$3:$C$29=$C34,E$3:E$29,""))</f>
        <v>30.200000000000003</v>
      </c>
      <c r="F34">
        <f t="array" ref="F34">MEDIAN(IF($C$3:$C$29=$C34,F$3:F$29,""))</f>
        <v>26.35</v>
      </c>
      <c r="G34">
        <f t="array" ref="G34">MEDIAN(IF($C$3:$C$29=$C34,G$3:G$29,""))</f>
        <v>26.05</v>
      </c>
      <c r="H34">
        <f t="array" ref="H34">MEDIAN(IF($C$3:$C$29=$C34,H$3:H$29,""))</f>
        <v>25.95</v>
      </c>
      <c r="I34">
        <f t="array" ref="I34">MEDIAN(IF($C$3:$C$29=$C34,I$3:I$29,""))</f>
        <v>22.4</v>
      </c>
      <c r="J34">
        <f t="array" ref="J34">MEDIAN(IF($C$3:$C$29=$C34,J$3:J$29,""))</f>
        <v>16.55</v>
      </c>
      <c r="K34">
        <f t="array" ref="K34">MEDIAN(IF($C$3:$C$29=$C34,K$3:K$29,""))</f>
        <v>13.7</v>
      </c>
      <c r="L34">
        <f t="array" ref="L34">MEDIAN(IF($C$3:$C$29=$C34,L$3:L$29,""))</f>
        <v>13.35</v>
      </c>
      <c r="M34">
        <f t="array" ref="M34">MEDIAN(IF($C$3:$C$29=$C34,M$3:M$29,""))</f>
        <v>14</v>
      </c>
      <c r="N34">
        <f t="array" ref="N34">MEDIAN(IF($C$3:$C$29=$C34,N$3:N$29,""))</f>
        <v>13.55</v>
      </c>
      <c r="O34">
        <f t="array" ref="O34">MEDIAN(IF($C$3:$C$29=$C34,O$3:O$29,""))</f>
        <v>16.5</v>
      </c>
      <c r="P34">
        <f t="array" ref="P34">MEDIAN(IF($C$3:$C$29=$C34,P$3:P$29,""))</f>
        <v>14.35</v>
      </c>
      <c r="Q34">
        <f t="array" ref="Q34">MEDIAN(IF($C$3:$C$29=$C34,Q$3:Q$29,""))</f>
        <v>15.35</v>
      </c>
      <c r="R34">
        <f t="array" ref="R34">MEDIAN(IF($C$3:$C$29=$C34,R$3:R$29,""))</f>
        <v>15.05</v>
      </c>
      <c r="S34">
        <f t="array" ref="S34">MEDIAN(IF($C$3:$C$29=$C34,S$3:S$29,""))</f>
        <v>15.45</v>
      </c>
      <c r="T34">
        <f t="array" ref="T34">MEDIAN(IF($C$3:$C$29=$C34,T$3:T$29,""))</f>
        <v>17.350000000000001</v>
      </c>
      <c r="U34">
        <f t="array" ref="U34">MEDIAN(IF($C$3:$C$29=$C34,U$3:U$29,""))</f>
        <v>14.399999999999999</v>
      </c>
      <c r="V34">
        <f t="array" ref="V34">MEDIAN(IF($C$3:$C$29=$C34,V$3:V$29,""))</f>
        <v>14.899999999999999</v>
      </c>
      <c r="W34">
        <f t="array" ref="W34">MEDIAN(IF($C$3:$C$29=$C34,W$3:W$29,""))</f>
        <v>14.25</v>
      </c>
      <c r="X34">
        <f t="array" ref="X34">MEDIAN(IF($C$3:$C$29=$C34,X$3:X$29,""))</f>
        <v>18.2</v>
      </c>
      <c r="Y34">
        <f t="array" ref="Y34">MEDIAN(IF($C$3:$C$29=$C34,Y$3:Y$29,""))</f>
        <v>20.9</v>
      </c>
      <c r="Z34">
        <f t="array" ref="Z34">MEDIAN(IF($C$3:$C$29=$C34,Z$3:Z$29,""))</f>
        <v>19.75</v>
      </c>
      <c r="AA34">
        <f t="array" ref="AA34">MEDIAN(IF($C$3:$C$29=$C34,AA$3:AA$29,""))</f>
        <v>24.25</v>
      </c>
    </row>
    <row r="35" spans="3:27" x14ac:dyDescent="0.25">
      <c r="C35">
        <v>5</v>
      </c>
      <c r="D35">
        <f t="array" ref="D35">MEDIAN(IF($C$3:$C$29=$C35,D$3:D$29,""))</f>
        <v>27.55</v>
      </c>
      <c r="E35">
        <f t="array" ref="E35">MEDIAN(IF($C$3:$C$29=$C35,E$3:E$29,""))</f>
        <v>29.9</v>
      </c>
      <c r="F35">
        <f t="array" ref="F35">MEDIAN(IF($C$3:$C$29=$C35,F$3:F$29,""))</f>
        <v>29.7</v>
      </c>
      <c r="G35">
        <f t="array" ref="G35">MEDIAN(IF($C$3:$C$29=$C35,G$3:G$29,""))</f>
        <v>25.049999999999997</v>
      </c>
      <c r="H35">
        <f t="array" ref="H35">MEDIAN(IF($C$3:$C$29=$C35,H$3:H$29,""))</f>
        <v>29.9</v>
      </c>
      <c r="I35">
        <f t="array" ref="I35">MEDIAN(IF($C$3:$C$29=$C35,I$3:I$29,""))</f>
        <v>22.65</v>
      </c>
      <c r="J35">
        <f t="array" ref="J35">MEDIAN(IF($C$3:$C$29=$C35,J$3:J$29,""))</f>
        <v>15.4</v>
      </c>
      <c r="K35">
        <f t="array" ref="K35">MEDIAN(IF($C$3:$C$29=$C35,K$3:K$29,""))</f>
        <v>13.3</v>
      </c>
      <c r="L35">
        <f t="array" ref="L35">MEDIAN(IF($C$3:$C$29=$C35,L$3:L$29,""))</f>
        <v>12.85</v>
      </c>
      <c r="M35">
        <f t="array" ref="M35">MEDIAN(IF($C$3:$C$29=$C35,M$3:M$29,""))</f>
        <v>14.25</v>
      </c>
      <c r="N35">
        <f t="array" ref="N35">MEDIAN(IF($C$3:$C$29=$C35,N$3:N$29,""))</f>
        <v>14.55</v>
      </c>
      <c r="O35">
        <f t="array" ref="O35">MEDIAN(IF($C$3:$C$29=$C35,O$3:O$29,""))</f>
        <v>13.7</v>
      </c>
      <c r="P35">
        <f t="array" ref="P35">MEDIAN(IF($C$3:$C$29=$C35,P$3:P$29,""))</f>
        <v>16.5</v>
      </c>
      <c r="Q35">
        <f t="array" ref="Q35">MEDIAN(IF($C$3:$C$29=$C35,Q$3:Q$29,""))</f>
        <v>16.2</v>
      </c>
      <c r="R35">
        <f t="array" ref="R35">MEDIAN(IF($C$3:$C$29=$C35,R$3:R$29,""))</f>
        <v>13.75</v>
      </c>
      <c r="S35">
        <f t="array" ref="S35">MEDIAN(IF($C$3:$C$29=$C35,S$3:S$29,""))</f>
        <v>14.149999999999999</v>
      </c>
      <c r="T35">
        <f t="array" ref="T35">MEDIAN(IF($C$3:$C$29=$C35,T$3:T$29,""))</f>
        <v>14.7</v>
      </c>
      <c r="U35">
        <f t="array" ref="U35">MEDIAN(IF($C$3:$C$29=$C35,U$3:U$29,""))</f>
        <v>16.45</v>
      </c>
      <c r="V35">
        <f t="array" ref="V35">MEDIAN(IF($C$3:$C$29=$C35,V$3:V$29,""))</f>
        <v>14.9</v>
      </c>
      <c r="W35">
        <f t="array" ref="W35">MEDIAN(IF($C$3:$C$29=$C35,W$3:W$29,""))</f>
        <v>16.3</v>
      </c>
      <c r="X35">
        <f t="array" ref="X35">MEDIAN(IF($C$3:$C$29=$C35,X$3:X$29,""))</f>
        <v>17.850000000000001</v>
      </c>
      <c r="Y35">
        <f t="array" ref="Y35">MEDIAN(IF($C$3:$C$29=$C35,Y$3:Y$29,""))</f>
        <v>18.8</v>
      </c>
      <c r="Z35">
        <f t="array" ref="Z35">MEDIAN(IF($C$3:$C$29=$C35,Z$3:Z$29,""))</f>
        <v>22.95</v>
      </c>
      <c r="AA35">
        <f t="array" ref="AA35">MEDIAN(IF($C$3:$C$29=$C35,AA$3:AA$29,""))</f>
        <v>23.55</v>
      </c>
    </row>
    <row r="36" spans="3:27" x14ac:dyDescent="0.25">
      <c r="C36">
        <v>6</v>
      </c>
      <c r="D36">
        <f t="array" ref="D36">MEDIAN(IF($C$3:$C$29=$C36,D$3:D$29,""))</f>
        <v>26.3</v>
      </c>
      <c r="E36">
        <f t="array" ref="E36">MEDIAN(IF($C$3:$C$29=$C36,E$3:E$29,""))</f>
        <v>29.2</v>
      </c>
      <c r="F36">
        <f t="array" ref="F36">MEDIAN(IF($C$3:$C$29=$C36,F$3:F$29,""))</f>
        <v>35</v>
      </c>
      <c r="G36">
        <f t="array" ref="G36">MEDIAN(IF($C$3:$C$29=$C36,G$3:G$29,""))</f>
        <v>37.5</v>
      </c>
      <c r="H36">
        <f t="array" ref="H36">MEDIAN(IF($C$3:$C$29=$C36,H$3:H$29,""))</f>
        <v>25.4</v>
      </c>
      <c r="I36">
        <f t="array" ref="I36">MEDIAN(IF($C$3:$C$29=$C36,I$3:I$29,""))</f>
        <v>25.4</v>
      </c>
      <c r="J36">
        <f t="array" ref="J36">MEDIAN(IF($C$3:$C$29=$C36,J$3:J$29,""))</f>
        <v>16.899999999999999</v>
      </c>
      <c r="K36">
        <f t="array" ref="K36">MEDIAN(IF($C$3:$C$29=$C36,K$3:K$29,""))</f>
        <v>12.6</v>
      </c>
      <c r="L36">
        <f t="array" ref="L36">MEDIAN(IF($C$3:$C$29=$C36,L$3:L$29,""))</f>
        <v>14.5</v>
      </c>
      <c r="M36">
        <f t="array" ref="M36">MEDIAN(IF($C$3:$C$29=$C36,M$3:M$29,""))</f>
        <v>14</v>
      </c>
      <c r="N36">
        <f t="array" ref="N36">MEDIAN(IF($C$3:$C$29=$C36,N$3:N$29,""))</f>
        <v>14.2</v>
      </c>
      <c r="O36">
        <f t="array" ref="O36">MEDIAN(IF($C$3:$C$29=$C36,O$3:O$29,""))</f>
        <v>15.1</v>
      </c>
      <c r="P36">
        <f t="array" ref="P36">MEDIAN(IF($C$3:$C$29=$C36,P$3:P$29,""))</f>
        <v>16.2</v>
      </c>
      <c r="Q36">
        <f t="array" ref="Q36">MEDIAN(IF($C$3:$C$29=$C36,Q$3:Q$29,""))</f>
        <v>14</v>
      </c>
      <c r="R36">
        <f t="array" ref="R36">MEDIAN(IF($C$3:$C$29=$C36,R$3:R$29,""))</f>
        <v>17.399999999999999</v>
      </c>
      <c r="S36">
        <f t="array" ref="S36">MEDIAN(IF($C$3:$C$29=$C36,S$3:S$29,""))</f>
        <v>13.3</v>
      </c>
      <c r="T36">
        <f t="array" ref="T36">MEDIAN(IF($C$3:$C$29=$C36,T$3:T$29,""))</f>
        <v>16.399999999999999</v>
      </c>
      <c r="U36">
        <f t="array" ref="U36">MEDIAN(IF($C$3:$C$29=$C36,U$3:U$29,""))</f>
        <v>15.4</v>
      </c>
      <c r="V36">
        <f t="array" ref="V36">MEDIAN(IF($C$3:$C$29=$C36,V$3:V$29,""))</f>
        <v>15.3</v>
      </c>
      <c r="W36">
        <f t="array" ref="W36">MEDIAN(IF($C$3:$C$29=$C36,W$3:W$29,""))</f>
        <v>17.899999999999999</v>
      </c>
      <c r="X36">
        <f t="array" ref="X36">MEDIAN(IF($C$3:$C$29=$C36,X$3:X$29,""))</f>
        <v>16.8</v>
      </c>
      <c r="Y36">
        <f t="array" ref="Y36">MEDIAN(IF($C$3:$C$29=$C36,Y$3:Y$29,""))</f>
        <v>17.5</v>
      </c>
      <c r="Z36">
        <f t="array" ref="Z36">MEDIAN(IF($C$3:$C$29=$C36,Z$3:Z$29,""))</f>
        <v>19</v>
      </c>
      <c r="AA36">
        <f t="array" ref="AA36">MEDIAN(IF($C$3:$C$29=$C36,AA$3:AA$29,""))</f>
        <v>25</v>
      </c>
    </row>
    <row r="37" spans="3:27" x14ac:dyDescent="0.25">
      <c r="C37">
        <v>7</v>
      </c>
      <c r="D37">
        <f t="array" ref="D37">MEDIAN(IF($C$3:$C$29=$C37,D$3:D$29,""))</f>
        <v>26.85</v>
      </c>
      <c r="E37">
        <f t="array" ref="E37">MEDIAN(IF($C$3:$C$29=$C37,E$3:E$29,""))</f>
        <v>26.35</v>
      </c>
      <c r="F37">
        <f t="array" ref="F37">MEDIAN(IF($C$3:$C$29=$C37,F$3:F$29,""))</f>
        <v>28.25</v>
      </c>
      <c r="G37">
        <f t="array" ref="G37">MEDIAN(IF($C$3:$C$29=$C37,G$3:G$29,""))</f>
        <v>27</v>
      </c>
      <c r="H37">
        <f t="array" ref="H37">MEDIAN(IF($C$3:$C$29=$C37,H$3:H$29,""))</f>
        <v>29.25</v>
      </c>
      <c r="I37">
        <f t="array" ref="I37">MEDIAN(IF($C$3:$C$29=$C37,I$3:I$29,""))</f>
        <v>24.6</v>
      </c>
      <c r="J37">
        <f t="array" ref="J37">MEDIAN(IF($C$3:$C$29=$C37,J$3:J$29,""))</f>
        <v>16.7</v>
      </c>
      <c r="K37">
        <f t="array" ref="K37">MEDIAN(IF($C$3:$C$29=$C37,K$3:K$29,""))</f>
        <v>14.9</v>
      </c>
      <c r="L37">
        <f t="array" ref="L37">MEDIAN(IF($C$3:$C$29=$C37,L$3:L$29,""))</f>
        <v>13.399999999999999</v>
      </c>
      <c r="M37">
        <f t="array" ref="M37">MEDIAN(IF($C$3:$C$29=$C37,M$3:M$29,""))</f>
        <v>14.15</v>
      </c>
      <c r="N37">
        <f t="array" ref="N37">MEDIAN(IF($C$3:$C$29=$C37,N$3:N$29,""))</f>
        <v>13.350000000000001</v>
      </c>
      <c r="O37">
        <f t="array" ref="O37">MEDIAN(IF($C$3:$C$29=$C37,O$3:O$29,""))</f>
        <v>15.35</v>
      </c>
      <c r="P37">
        <f t="array" ref="P37">MEDIAN(IF($C$3:$C$29=$C37,P$3:P$29,""))</f>
        <v>16.600000000000001</v>
      </c>
      <c r="Q37">
        <f t="array" ref="Q37">MEDIAN(IF($C$3:$C$29=$C37,Q$3:Q$29,""))</f>
        <v>15.85</v>
      </c>
      <c r="R37">
        <f t="array" ref="R37">MEDIAN(IF($C$3:$C$29=$C37,R$3:R$29,""))</f>
        <v>16.25</v>
      </c>
      <c r="S37">
        <f t="array" ref="S37">MEDIAN(IF($C$3:$C$29=$C37,S$3:S$29,""))</f>
        <v>16.200000000000003</v>
      </c>
      <c r="T37">
        <f t="array" ref="T37">MEDIAN(IF($C$3:$C$29=$C37,T$3:T$29,""))</f>
        <v>15.05</v>
      </c>
      <c r="U37">
        <f t="array" ref="U37">MEDIAN(IF($C$3:$C$29=$C37,U$3:U$29,""))</f>
        <v>15.1</v>
      </c>
      <c r="V37">
        <f t="array" ref="V37">MEDIAN(IF($C$3:$C$29=$C37,V$3:V$29,""))</f>
        <v>15.8</v>
      </c>
      <c r="W37">
        <f t="array" ref="W37">MEDIAN(IF($C$3:$C$29=$C37,W$3:W$29,""))</f>
        <v>15.85</v>
      </c>
      <c r="X37">
        <f t="array" ref="X37">MEDIAN(IF($C$3:$C$29=$C37,X$3:X$29,""))</f>
        <v>15.75</v>
      </c>
      <c r="Y37">
        <f t="array" ref="Y37">MEDIAN(IF($C$3:$C$29=$C37,Y$3:Y$29,""))</f>
        <v>16.950000000000003</v>
      </c>
      <c r="Z37">
        <f t="array" ref="Z37">MEDIAN(IF($C$3:$C$29=$C37,Z$3:Z$29,""))</f>
        <v>21.299999999999997</v>
      </c>
      <c r="AA37">
        <f t="array" ref="AA37">MEDIAN(IF($C$3:$C$29=$C37,AA$3:AA$29,""))</f>
        <v>24.4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1"/>
  <dimension ref="A1:AA37"/>
  <sheetViews>
    <sheetView workbookViewId="0">
      <selection activeCell="G31" sqref="G31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30.5</v>
      </c>
      <c r="E3">
        <v>40.1</v>
      </c>
      <c r="F3">
        <v>36.299999999999997</v>
      </c>
      <c r="G3">
        <v>32</v>
      </c>
      <c r="H3">
        <v>28.2</v>
      </c>
      <c r="I3">
        <v>21.9</v>
      </c>
      <c r="J3">
        <v>20.2</v>
      </c>
      <c r="K3">
        <v>19.8</v>
      </c>
      <c r="L3">
        <v>18.3</v>
      </c>
      <c r="M3">
        <v>18.8</v>
      </c>
      <c r="N3">
        <v>20.100000000000001</v>
      </c>
      <c r="O3">
        <v>17.399999999999999</v>
      </c>
      <c r="P3">
        <v>21.1</v>
      </c>
      <c r="Q3">
        <v>19.3</v>
      </c>
      <c r="R3">
        <v>19.399999999999999</v>
      </c>
      <c r="S3">
        <v>18.5</v>
      </c>
      <c r="T3">
        <v>22.7</v>
      </c>
      <c r="U3">
        <v>21.2</v>
      </c>
      <c r="V3">
        <v>17.5</v>
      </c>
      <c r="W3">
        <v>23.4</v>
      </c>
      <c r="X3">
        <v>22.9</v>
      </c>
      <c r="Y3">
        <v>25</v>
      </c>
      <c r="Z3">
        <v>24.3</v>
      </c>
      <c r="AA3">
        <v>24.8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33.6</v>
      </c>
      <c r="E4">
        <v>33.299999999999997</v>
      </c>
      <c r="F4">
        <v>37.9</v>
      </c>
      <c r="G4">
        <v>35.6</v>
      </c>
      <c r="H4">
        <v>38.4</v>
      </c>
      <c r="I4">
        <v>23.4</v>
      </c>
      <c r="J4">
        <v>25</v>
      </c>
      <c r="K4">
        <v>15.1</v>
      </c>
      <c r="L4">
        <v>22.2</v>
      </c>
      <c r="M4">
        <v>21.2</v>
      </c>
      <c r="N4">
        <v>17.899999999999999</v>
      </c>
      <c r="O4">
        <v>20.2</v>
      </c>
      <c r="P4">
        <v>21.8</v>
      </c>
      <c r="Q4">
        <v>19.5</v>
      </c>
      <c r="R4">
        <v>19.2</v>
      </c>
      <c r="S4">
        <v>25.5</v>
      </c>
      <c r="T4">
        <v>21</v>
      </c>
      <c r="U4">
        <v>24.8</v>
      </c>
      <c r="V4">
        <v>22.3</v>
      </c>
      <c r="W4">
        <v>23.1</v>
      </c>
      <c r="X4">
        <v>21.6</v>
      </c>
      <c r="Y4">
        <v>24.5</v>
      </c>
      <c r="Z4">
        <v>28.3</v>
      </c>
      <c r="AA4">
        <v>31.2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30.2</v>
      </c>
      <c r="E5">
        <v>32</v>
      </c>
      <c r="F5">
        <v>34.9</v>
      </c>
      <c r="G5">
        <v>38.4</v>
      </c>
      <c r="H5">
        <v>39.6</v>
      </c>
      <c r="I5">
        <v>37.200000000000003</v>
      </c>
      <c r="J5">
        <v>25.2</v>
      </c>
      <c r="K5">
        <v>28.9</v>
      </c>
      <c r="L5">
        <v>21.2</v>
      </c>
      <c r="M5">
        <v>23.3</v>
      </c>
      <c r="N5">
        <v>22.4</v>
      </c>
      <c r="O5">
        <v>28</v>
      </c>
      <c r="P5">
        <v>27.4</v>
      </c>
      <c r="Q5">
        <v>23</v>
      </c>
      <c r="R5">
        <v>23.2</v>
      </c>
      <c r="S5">
        <v>25.3</v>
      </c>
      <c r="T5">
        <v>25.8</v>
      </c>
      <c r="U5">
        <v>26.9</v>
      </c>
      <c r="V5">
        <v>25.9</v>
      </c>
      <c r="W5">
        <v>24.4</v>
      </c>
      <c r="X5">
        <v>20.2</v>
      </c>
      <c r="Y5">
        <v>27.2</v>
      </c>
      <c r="Z5">
        <v>24.8</v>
      </c>
      <c r="AA5">
        <v>31.7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34.299999999999997</v>
      </c>
      <c r="E6">
        <v>31.1</v>
      </c>
      <c r="F6">
        <v>31.5</v>
      </c>
      <c r="G6">
        <v>27.8</v>
      </c>
      <c r="H6">
        <v>38.6</v>
      </c>
      <c r="I6">
        <v>21</v>
      </c>
      <c r="J6">
        <v>17.5</v>
      </c>
      <c r="K6">
        <v>18.399999999999999</v>
      </c>
      <c r="L6">
        <v>19</v>
      </c>
      <c r="M6">
        <v>17.7</v>
      </c>
      <c r="N6">
        <v>22.4</v>
      </c>
      <c r="O6">
        <v>17.899999999999999</v>
      </c>
      <c r="P6">
        <v>21.5</v>
      </c>
      <c r="Q6">
        <v>22.8</v>
      </c>
      <c r="R6">
        <v>19.600000000000001</v>
      </c>
      <c r="S6">
        <v>19.600000000000001</v>
      </c>
      <c r="T6">
        <v>19</v>
      </c>
      <c r="U6">
        <v>23.2</v>
      </c>
      <c r="V6">
        <v>19.600000000000001</v>
      </c>
      <c r="W6">
        <v>18.100000000000001</v>
      </c>
      <c r="X6">
        <v>23.7</v>
      </c>
      <c r="Y6">
        <v>21.5</v>
      </c>
      <c r="Z6">
        <v>26.2</v>
      </c>
      <c r="AA6">
        <v>29.9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30.1</v>
      </c>
      <c r="E7">
        <v>40.799999999999997</v>
      </c>
      <c r="F7">
        <v>36.9</v>
      </c>
      <c r="G7">
        <v>33.700000000000003</v>
      </c>
      <c r="H7">
        <v>31.6</v>
      </c>
      <c r="I7">
        <v>29</v>
      </c>
      <c r="J7">
        <v>20.2</v>
      </c>
      <c r="K7">
        <v>17.3</v>
      </c>
      <c r="L7">
        <v>17</v>
      </c>
      <c r="M7">
        <v>19.100000000000001</v>
      </c>
      <c r="N7">
        <v>20.3</v>
      </c>
      <c r="O7">
        <v>15.8</v>
      </c>
      <c r="P7">
        <v>23.2</v>
      </c>
      <c r="Q7">
        <v>18.100000000000001</v>
      </c>
      <c r="R7">
        <v>19.7</v>
      </c>
      <c r="S7">
        <v>21</v>
      </c>
      <c r="T7">
        <v>24.7</v>
      </c>
      <c r="U7">
        <v>18.3</v>
      </c>
      <c r="V7">
        <v>18.399999999999999</v>
      </c>
      <c r="W7">
        <v>19</v>
      </c>
      <c r="X7">
        <v>24.6</v>
      </c>
      <c r="Y7">
        <v>22.5</v>
      </c>
      <c r="Z7">
        <v>24</v>
      </c>
      <c r="AA7">
        <v>27.2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33.6</v>
      </c>
      <c r="E8">
        <v>34.799999999999997</v>
      </c>
      <c r="F8">
        <v>38.9</v>
      </c>
      <c r="G8">
        <v>38.700000000000003</v>
      </c>
      <c r="H8">
        <v>41.4</v>
      </c>
      <c r="I8">
        <v>23.9</v>
      </c>
      <c r="J8">
        <v>19.600000000000001</v>
      </c>
      <c r="K8">
        <v>15.8</v>
      </c>
      <c r="L8">
        <v>18</v>
      </c>
      <c r="M8">
        <v>18.5</v>
      </c>
      <c r="N8">
        <v>18.899999999999999</v>
      </c>
      <c r="O8">
        <v>8.9</v>
      </c>
      <c r="P8">
        <v>20.6</v>
      </c>
      <c r="Q8">
        <v>18.7</v>
      </c>
      <c r="R8">
        <v>15.6</v>
      </c>
      <c r="S8">
        <v>15.8</v>
      </c>
      <c r="T8">
        <v>21.8</v>
      </c>
      <c r="U8">
        <v>16.600000000000001</v>
      </c>
      <c r="V8">
        <v>18.5</v>
      </c>
      <c r="W8">
        <v>21.5</v>
      </c>
      <c r="X8">
        <v>18.8</v>
      </c>
      <c r="Y8">
        <v>24</v>
      </c>
      <c r="Z8">
        <v>25.6</v>
      </c>
      <c r="AA8">
        <v>23.6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35.6</v>
      </c>
      <c r="E9">
        <v>37.4</v>
      </c>
      <c r="F9">
        <v>40.200000000000003</v>
      </c>
      <c r="G9">
        <v>43.3</v>
      </c>
      <c r="H9">
        <v>38.9</v>
      </c>
      <c r="I9">
        <v>25.6</v>
      </c>
      <c r="J9">
        <v>20.9</v>
      </c>
      <c r="K9">
        <v>13.7</v>
      </c>
      <c r="L9">
        <v>19.100000000000001</v>
      </c>
      <c r="M9">
        <v>20.6</v>
      </c>
      <c r="N9">
        <v>16.899999999999999</v>
      </c>
      <c r="O9">
        <v>16.600000000000001</v>
      </c>
      <c r="P9">
        <v>24.1</v>
      </c>
      <c r="Q9">
        <v>22.6</v>
      </c>
      <c r="R9">
        <v>19.100000000000001</v>
      </c>
      <c r="S9">
        <v>18.7</v>
      </c>
      <c r="T9">
        <v>17.8</v>
      </c>
      <c r="U9">
        <v>17.600000000000001</v>
      </c>
      <c r="V9">
        <v>19</v>
      </c>
      <c r="W9">
        <v>20.6</v>
      </c>
      <c r="X9">
        <v>19.100000000000001</v>
      </c>
      <c r="Y9">
        <v>20.8</v>
      </c>
      <c r="Z9">
        <v>29.2</v>
      </c>
      <c r="AA9">
        <v>25.2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28</v>
      </c>
      <c r="E10">
        <v>38.5</v>
      </c>
      <c r="F10">
        <v>38.9</v>
      </c>
      <c r="G10">
        <v>32.9</v>
      </c>
      <c r="H10">
        <v>35.200000000000003</v>
      </c>
      <c r="I10">
        <v>23.9</v>
      </c>
      <c r="J10">
        <v>15.8</v>
      </c>
      <c r="K10">
        <v>16.8</v>
      </c>
      <c r="L10">
        <v>17.8</v>
      </c>
      <c r="M10">
        <v>17.5</v>
      </c>
      <c r="N10">
        <v>15.3</v>
      </c>
      <c r="O10">
        <v>17.8</v>
      </c>
      <c r="P10">
        <v>17.3</v>
      </c>
      <c r="Q10">
        <v>15.6</v>
      </c>
      <c r="R10">
        <v>18.3</v>
      </c>
      <c r="S10">
        <v>19.100000000000001</v>
      </c>
      <c r="T10">
        <v>19.899999999999999</v>
      </c>
      <c r="U10">
        <v>15.3</v>
      </c>
      <c r="V10">
        <v>22.3</v>
      </c>
      <c r="W10">
        <v>18.2</v>
      </c>
      <c r="X10">
        <v>20.7</v>
      </c>
      <c r="Y10">
        <v>20.7</v>
      </c>
      <c r="Z10">
        <v>22.1</v>
      </c>
      <c r="AA10">
        <v>26.3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34.799999999999997</v>
      </c>
      <c r="E11">
        <v>37.1</v>
      </c>
      <c r="F11">
        <v>33</v>
      </c>
      <c r="G11">
        <v>33.4</v>
      </c>
      <c r="H11">
        <v>47.3</v>
      </c>
      <c r="I11">
        <v>30</v>
      </c>
      <c r="J11">
        <v>22.6</v>
      </c>
      <c r="K11">
        <v>26.9</v>
      </c>
      <c r="L11">
        <v>20.9</v>
      </c>
      <c r="M11">
        <v>21.2</v>
      </c>
      <c r="N11">
        <v>20.3</v>
      </c>
      <c r="O11">
        <v>21.2</v>
      </c>
      <c r="P11">
        <v>19.3</v>
      </c>
      <c r="Q11">
        <v>22</v>
      </c>
      <c r="R11">
        <v>24.7</v>
      </c>
      <c r="S11">
        <v>20.2</v>
      </c>
      <c r="T11">
        <v>20.6</v>
      </c>
      <c r="U11">
        <v>20.7</v>
      </c>
      <c r="V11">
        <v>15.8</v>
      </c>
      <c r="W11">
        <v>21.9</v>
      </c>
      <c r="X11">
        <v>23.8</v>
      </c>
      <c r="Y11">
        <v>32.1</v>
      </c>
      <c r="Z11">
        <v>24.6</v>
      </c>
      <c r="AA11">
        <v>35.200000000000003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34.299999999999997</v>
      </c>
      <c r="E12">
        <v>35.6</v>
      </c>
      <c r="F12">
        <v>33.700000000000003</v>
      </c>
      <c r="G12">
        <v>33.200000000000003</v>
      </c>
      <c r="H12">
        <v>28.9</v>
      </c>
      <c r="I12">
        <v>23.3</v>
      </c>
      <c r="J12">
        <v>23.9</v>
      </c>
      <c r="K12">
        <v>21</v>
      </c>
      <c r="L12">
        <v>28.6</v>
      </c>
      <c r="M12">
        <v>20.7</v>
      </c>
      <c r="N12">
        <v>27.9</v>
      </c>
      <c r="O12">
        <v>24.9</v>
      </c>
      <c r="P12">
        <v>21.7</v>
      </c>
      <c r="Q12">
        <v>20.100000000000001</v>
      </c>
      <c r="R12">
        <v>21.3</v>
      </c>
      <c r="S12">
        <v>29.3</v>
      </c>
      <c r="T12">
        <v>17.8</v>
      </c>
      <c r="U12">
        <v>25.2</v>
      </c>
      <c r="V12">
        <v>21.7</v>
      </c>
      <c r="W12">
        <v>21.3</v>
      </c>
      <c r="X12">
        <v>28.7</v>
      </c>
      <c r="Y12">
        <v>27.1</v>
      </c>
      <c r="Z12">
        <v>25.4</v>
      </c>
      <c r="AA12">
        <v>22.6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34.799999999999997</v>
      </c>
      <c r="E13">
        <v>41.7</v>
      </c>
      <c r="F13">
        <v>31.7</v>
      </c>
      <c r="G13">
        <v>36.799999999999997</v>
      </c>
      <c r="H13">
        <v>36.6</v>
      </c>
      <c r="I13">
        <v>24.5</v>
      </c>
      <c r="J13">
        <v>20.100000000000001</v>
      </c>
      <c r="K13">
        <v>20.100000000000001</v>
      </c>
      <c r="L13">
        <v>17.2</v>
      </c>
      <c r="M13">
        <v>18.899999999999999</v>
      </c>
      <c r="N13">
        <v>19.100000000000001</v>
      </c>
      <c r="O13">
        <v>22.1</v>
      </c>
      <c r="P13">
        <v>15.6</v>
      </c>
      <c r="Q13">
        <v>20.7</v>
      </c>
      <c r="R13">
        <v>17.7</v>
      </c>
      <c r="S13">
        <v>21.8</v>
      </c>
      <c r="T13">
        <v>19.3</v>
      </c>
      <c r="U13">
        <v>20.9</v>
      </c>
      <c r="V13">
        <v>19.2</v>
      </c>
      <c r="W13">
        <v>18.899999999999999</v>
      </c>
      <c r="X13">
        <v>22.4</v>
      </c>
      <c r="Y13">
        <v>24.6</v>
      </c>
      <c r="Z13">
        <v>24.7</v>
      </c>
      <c r="AA13">
        <v>24.2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31</v>
      </c>
      <c r="E14">
        <v>40.700000000000003</v>
      </c>
      <c r="F14">
        <v>31.8</v>
      </c>
      <c r="G14">
        <v>40</v>
      </c>
      <c r="H14">
        <v>32.200000000000003</v>
      </c>
      <c r="I14">
        <v>26.2</v>
      </c>
      <c r="J14">
        <v>18.8</v>
      </c>
      <c r="K14">
        <v>18.8</v>
      </c>
      <c r="L14">
        <v>17.3</v>
      </c>
      <c r="M14">
        <v>21.5</v>
      </c>
      <c r="N14">
        <v>20.399999999999999</v>
      </c>
      <c r="O14">
        <v>18.600000000000001</v>
      </c>
      <c r="P14">
        <v>18.3</v>
      </c>
      <c r="Q14">
        <v>18.5</v>
      </c>
      <c r="R14">
        <v>19.3</v>
      </c>
      <c r="S14">
        <v>15.9</v>
      </c>
      <c r="T14">
        <v>20.100000000000001</v>
      </c>
      <c r="U14">
        <v>18.2</v>
      </c>
      <c r="V14">
        <v>16.8</v>
      </c>
      <c r="W14">
        <v>17.3</v>
      </c>
      <c r="X14">
        <v>24.8</v>
      </c>
      <c r="Y14">
        <v>22.6</v>
      </c>
      <c r="Z14">
        <v>22.8</v>
      </c>
      <c r="AA14">
        <v>19.100000000000001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27.6</v>
      </c>
      <c r="E15">
        <v>38</v>
      </c>
      <c r="F15">
        <v>37.299999999999997</v>
      </c>
      <c r="G15">
        <v>40.4</v>
      </c>
      <c r="H15">
        <v>40</v>
      </c>
      <c r="I15">
        <v>24.6</v>
      </c>
      <c r="J15">
        <v>20.5</v>
      </c>
      <c r="K15">
        <v>15.8</v>
      </c>
      <c r="L15">
        <v>17.399999999999999</v>
      </c>
      <c r="M15">
        <v>18.2</v>
      </c>
      <c r="N15">
        <v>15.4</v>
      </c>
      <c r="O15">
        <v>20.8</v>
      </c>
      <c r="P15">
        <v>20</v>
      </c>
      <c r="Q15">
        <v>19.399999999999999</v>
      </c>
      <c r="R15">
        <v>19.3</v>
      </c>
      <c r="S15">
        <v>19.100000000000001</v>
      </c>
      <c r="T15">
        <v>19.5</v>
      </c>
      <c r="U15">
        <v>22.6</v>
      </c>
      <c r="V15">
        <v>22.3</v>
      </c>
      <c r="W15">
        <v>23.4</v>
      </c>
      <c r="X15">
        <v>17.899999999999999</v>
      </c>
      <c r="Y15">
        <v>24.4</v>
      </c>
      <c r="Z15">
        <v>26.5</v>
      </c>
      <c r="AA15">
        <v>29.4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33.4</v>
      </c>
      <c r="E16">
        <v>40.9</v>
      </c>
      <c r="F16">
        <v>47.2</v>
      </c>
      <c r="G16">
        <v>41.1</v>
      </c>
      <c r="H16">
        <v>31</v>
      </c>
      <c r="I16">
        <v>25.5</v>
      </c>
      <c r="J16">
        <v>18.7</v>
      </c>
      <c r="K16">
        <v>17.399999999999999</v>
      </c>
      <c r="L16">
        <v>17.399999999999999</v>
      </c>
      <c r="M16">
        <v>16.8</v>
      </c>
      <c r="N16">
        <v>18.3</v>
      </c>
      <c r="O16">
        <v>21.7</v>
      </c>
      <c r="P16">
        <v>21.9</v>
      </c>
      <c r="Q16">
        <v>22.5</v>
      </c>
      <c r="R16">
        <v>19.100000000000001</v>
      </c>
      <c r="S16">
        <v>19.899999999999999</v>
      </c>
      <c r="T16">
        <v>18.899999999999999</v>
      </c>
      <c r="U16">
        <v>19.3</v>
      </c>
      <c r="V16">
        <v>19.399999999999999</v>
      </c>
      <c r="W16">
        <v>25.8</v>
      </c>
      <c r="X16">
        <v>21.1</v>
      </c>
      <c r="Y16">
        <v>21.6</v>
      </c>
      <c r="Z16">
        <v>23.8</v>
      </c>
      <c r="AA16">
        <v>32.700000000000003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32.5</v>
      </c>
      <c r="E17">
        <v>39.9</v>
      </c>
      <c r="F17">
        <v>36.200000000000003</v>
      </c>
      <c r="G17">
        <v>35.799999999999997</v>
      </c>
      <c r="H17">
        <v>39.4</v>
      </c>
      <c r="I17">
        <v>26.8</v>
      </c>
      <c r="J17">
        <v>14.9</v>
      </c>
      <c r="K17">
        <v>19</v>
      </c>
      <c r="L17">
        <v>15</v>
      </c>
      <c r="M17">
        <v>18.399999999999999</v>
      </c>
      <c r="N17">
        <v>18.5</v>
      </c>
      <c r="O17">
        <v>26.6</v>
      </c>
      <c r="P17">
        <v>22.3</v>
      </c>
      <c r="Q17">
        <v>20.5</v>
      </c>
      <c r="R17">
        <v>18</v>
      </c>
      <c r="S17">
        <v>15.8</v>
      </c>
      <c r="T17">
        <v>19.5</v>
      </c>
      <c r="U17">
        <v>19.7</v>
      </c>
      <c r="V17">
        <v>21.1</v>
      </c>
      <c r="W17">
        <v>19.600000000000001</v>
      </c>
      <c r="X17">
        <v>19.3</v>
      </c>
      <c r="Y17">
        <v>19.5</v>
      </c>
      <c r="Z17">
        <v>24.7</v>
      </c>
      <c r="AA17">
        <v>29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29.8</v>
      </c>
      <c r="E18">
        <v>46.8</v>
      </c>
      <c r="F18">
        <v>34.6</v>
      </c>
      <c r="G18">
        <v>32.799999999999997</v>
      </c>
      <c r="H18">
        <v>30.5</v>
      </c>
      <c r="I18">
        <v>22.4</v>
      </c>
      <c r="J18">
        <v>23.8</v>
      </c>
      <c r="K18">
        <v>18.7</v>
      </c>
      <c r="L18">
        <v>19.899999999999999</v>
      </c>
      <c r="M18">
        <v>21.9</v>
      </c>
      <c r="N18">
        <v>21.1</v>
      </c>
      <c r="O18">
        <v>21.5</v>
      </c>
      <c r="P18">
        <v>24.3</v>
      </c>
      <c r="Q18">
        <v>25.8</v>
      </c>
      <c r="R18">
        <v>20.399999999999999</v>
      </c>
      <c r="S18">
        <v>25.5</v>
      </c>
      <c r="T18">
        <v>17.2</v>
      </c>
      <c r="U18">
        <v>24.9</v>
      </c>
      <c r="V18">
        <v>22.4</v>
      </c>
      <c r="W18">
        <v>14.8</v>
      </c>
      <c r="X18">
        <v>23.3</v>
      </c>
      <c r="Y18">
        <v>23.3</v>
      </c>
      <c r="Z18">
        <v>20.2</v>
      </c>
      <c r="AA18">
        <v>33.1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34.1</v>
      </c>
      <c r="E19">
        <v>33.6</v>
      </c>
      <c r="F19">
        <v>33.9</v>
      </c>
      <c r="G19">
        <v>38.200000000000003</v>
      </c>
      <c r="H19">
        <v>37.1</v>
      </c>
      <c r="I19">
        <v>25.7</v>
      </c>
      <c r="J19">
        <v>28.2</v>
      </c>
      <c r="K19">
        <v>22.8</v>
      </c>
      <c r="L19">
        <v>27.4</v>
      </c>
      <c r="M19">
        <v>20.399999999999999</v>
      </c>
      <c r="N19">
        <v>28.7</v>
      </c>
      <c r="O19">
        <v>23.5</v>
      </c>
      <c r="P19">
        <v>21.9</v>
      </c>
      <c r="Q19">
        <v>17.3</v>
      </c>
      <c r="R19">
        <v>18.2</v>
      </c>
      <c r="S19">
        <v>21.8</v>
      </c>
      <c r="T19">
        <v>26.8</v>
      </c>
      <c r="U19">
        <v>24.5</v>
      </c>
      <c r="V19">
        <v>25.7</v>
      </c>
      <c r="W19">
        <v>22</v>
      </c>
      <c r="X19">
        <v>30.6</v>
      </c>
      <c r="Y19">
        <v>28.5</v>
      </c>
      <c r="Z19">
        <v>25.3</v>
      </c>
      <c r="AA19">
        <v>28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31.9</v>
      </c>
      <c r="E20">
        <v>35.9</v>
      </c>
      <c r="F20">
        <v>37.700000000000003</v>
      </c>
      <c r="G20">
        <v>42.1</v>
      </c>
      <c r="H20">
        <v>35.700000000000003</v>
      </c>
      <c r="I20">
        <v>25.3</v>
      </c>
      <c r="J20">
        <v>22.2</v>
      </c>
      <c r="K20">
        <v>16.399999999999999</v>
      </c>
      <c r="L20">
        <v>18.399999999999999</v>
      </c>
      <c r="M20">
        <v>19.5</v>
      </c>
      <c r="N20">
        <v>18.8</v>
      </c>
      <c r="O20">
        <v>23.4</v>
      </c>
      <c r="P20">
        <v>18.8</v>
      </c>
      <c r="Q20">
        <v>20.7</v>
      </c>
      <c r="R20">
        <v>23.2</v>
      </c>
      <c r="S20">
        <v>17.100000000000001</v>
      </c>
      <c r="T20">
        <v>19.7</v>
      </c>
      <c r="U20">
        <v>18.8</v>
      </c>
      <c r="V20">
        <v>20</v>
      </c>
      <c r="W20">
        <v>24.7</v>
      </c>
      <c r="X20">
        <v>23.6</v>
      </c>
      <c r="Y20">
        <v>25.4</v>
      </c>
      <c r="Z20">
        <v>22.2</v>
      </c>
      <c r="AA20">
        <v>28.8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32.9</v>
      </c>
      <c r="E21">
        <v>36.200000000000003</v>
      </c>
      <c r="F21">
        <v>35.6</v>
      </c>
      <c r="G21">
        <v>30.6</v>
      </c>
      <c r="H21">
        <v>30.1</v>
      </c>
      <c r="I21">
        <v>24.8</v>
      </c>
      <c r="J21">
        <v>19</v>
      </c>
      <c r="K21">
        <v>18.5</v>
      </c>
      <c r="L21">
        <v>20.399999999999999</v>
      </c>
      <c r="M21">
        <v>18</v>
      </c>
      <c r="N21">
        <v>19.2</v>
      </c>
      <c r="O21">
        <v>23.6</v>
      </c>
      <c r="P21">
        <v>18.100000000000001</v>
      </c>
      <c r="Q21">
        <v>18.2</v>
      </c>
      <c r="R21">
        <v>22</v>
      </c>
      <c r="S21">
        <v>18.399999999999999</v>
      </c>
      <c r="T21">
        <v>22.8</v>
      </c>
      <c r="U21">
        <v>16.2</v>
      </c>
      <c r="V21">
        <v>16.7</v>
      </c>
      <c r="W21">
        <v>15.5</v>
      </c>
      <c r="X21">
        <v>21.3</v>
      </c>
      <c r="Y21">
        <v>27.3</v>
      </c>
      <c r="Z21">
        <v>18.399999999999999</v>
      </c>
      <c r="AA21">
        <v>36.4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31</v>
      </c>
      <c r="E22">
        <v>30</v>
      </c>
      <c r="F22">
        <v>36.799999999999997</v>
      </c>
      <c r="G22">
        <v>29.7</v>
      </c>
      <c r="H22">
        <v>33</v>
      </c>
      <c r="I22">
        <v>25.3</v>
      </c>
      <c r="J22">
        <v>18.899999999999999</v>
      </c>
      <c r="K22">
        <v>17</v>
      </c>
      <c r="L22">
        <v>18.8</v>
      </c>
      <c r="M22">
        <v>21.9</v>
      </c>
      <c r="N22">
        <v>17.5</v>
      </c>
      <c r="O22">
        <v>21.2</v>
      </c>
      <c r="P22">
        <v>23.1</v>
      </c>
      <c r="Q22">
        <v>20.6</v>
      </c>
      <c r="R22">
        <v>20.100000000000001</v>
      </c>
      <c r="S22">
        <v>18.2</v>
      </c>
      <c r="T22">
        <v>17.8</v>
      </c>
      <c r="U22">
        <v>17.899999999999999</v>
      </c>
      <c r="V22">
        <v>21.1</v>
      </c>
      <c r="W22">
        <v>18.8</v>
      </c>
      <c r="X22">
        <v>23.5</v>
      </c>
      <c r="Y22">
        <v>20.7</v>
      </c>
      <c r="Z22">
        <v>20.3</v>
      </c>
      <c r="AA22">
        <v>32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29.6</v>
      </c>
      <c r="E23">
        <v>34.4</v>
      </c>
      <c r="F23">
        <v>35.700000000000003</v>
      </c>
      <c r="G23">
        <v>35.9</v>
      </c>
      <c r="H23">
        <v>32.6</v>
      </c>
      <c r="I23">
        <v>23.3</v>
      </c>
      <c r="J23">
        <v>19.899999999999999</v>
      </c>
      <c r="K23">
        <v>17</v>
      </c>
      <c r="L23">
        <v>19</v>
      </c>
      <c r="M23">
        <v>18.399999999999999</v>
      </c>
      <c r="N23">
        <v>19.3</v>
      </c>
      <c r="O23">
        <v>19.100000000000001</v>
      </c>
      <c r="P23">
        <v>23.4</v>
      </c>
      <c r="Q23">
        <v>18.2</v>
      </c>
      <c r="R23">
        <v>19.399999999999999</v>
      </c>
      <c r="S23">
        <v>20.399999999999999</v>
      </c>
      <c r="T23">
        <v>18.399999999999999</v>
      </c>
      <c r="U23">
        <v>18.2</v>
      </c>
      <c r="V23">
        <v>21</v>
      </c>
      <c r="W23">
        <v>18.399999999999999</v>
      </c>
      <c r="X23">
        <v>26.2</v>
      </c>
      <c r="Y23">
        <v>20.9</v>
      </c>
      <c r="Z23">
        <v>24.6</v>
      </c>
      <c r="AA23">
        <v>27.3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36.200000000000003</v>
      </c>
      <c r="E24">
        <v>29.2</v>
      </c>
      <c r="F24">
        <v>41.8</v>
      </c>
      <c r="G24">
        <v>40.700000000000003</v>
      </c>
      <c r="H24">
        <v>34.799999999999997</v>
      </c>
      <c r="I24">
        <v>27.3</v>
      </c>
      <c r="J24">
        <v>20.7</v>
      </c>
      <c r="K24">
        <v>18.8</v>
      </c>
      <c r="L24">
        <v>20.100000000000001</v>
      </c>
      <c r="M24">
        <v>17.399999999999999</v>
      </c>
      <c r="N24">
        <v>18.899999999999999</v>
      </c>
      <c r="O24">
        <v>22.1</v>
      </c>
      <c r="P24">
        <v>17.899999999999999</v>
      </c>
      <c r="Q24">
        <v>21.6</v>
      </c>
      <c r="R24">
        <v>19.600000000000001</v>
      </c>
      <c r="S24">
        <v>17.2</v>
      </c>
      <c r="T24">
        <v>21.3</v>
      </c>
      <c r="U24">
        <v>18.8</v>
      </c>
      <c r="V24">
        <v>18.2</v>
      </c>
      <c r="W24">
        <v>18.100000000000001</v>
      </c>
      <c r="X24">
        <v>21.6</v>
      </c>
      <c r="Y24">
        <v>22.9</v>
      </c>
      <c r="Z24">
        <v>22.8</v>
      </c>
      <c r="AA24">
        <v>29.1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32.5</v>
      </c>
      <c r="E25">
        <v>40.5</v>
      </c>
      <c r="F25">
        <v>31</v>
      </c>
      <c r="G25">
        <v>32.5</v>
      </c>
      <c r="H25">
        <v>40.700000000000003</v>
      </c>
      <c r="I25">
        <v>28.8</v>
      </c>
      <c r="J25">
        <v>25</v>
      </c>
      <c r="K25">
        <v>24.4</v>
      </c>
      <c r="L25">
        <v>21.3</v>
      </c>
      <c r="M25">
        <v>20.8</v>
      </c>
      <c r="N25">
        <v>23.1</v>
      </c>
      <c r="O25">
        <v>17.899999999999999</v>
      </c>
      <c r="P25">
        <v>20.399999999999999</v>
      </c>
      <c r="Q25">
        <v>20.7</v>
      </c>
      <c r="R25">
        <v>22.9</v>
      </c>
      <c r="S25">
        <v>23.4</v>
      </c>
      <c r="T25">
        <v>20.6</v>
      </c>
      <c r="U25">
        <v>16.7</v>
      </c>
      <c r="V25">
        <v>22.8</v>
      </c>
      <c r="X25">
        <v>19.100000000000001</v>
      </c>
      <c r="Y25">
        <v>23.5</v>
      </c>
      <c r="Z25">
        <v>16.7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29.5</v>
      </c>
      <c r="E26">
        <v>35.299999999999997</v>
      </c>
      <c r="F26">
        <v>35.6</v>
      </c>
      <c r="G26">
        <v>37.299999999999997</v>
      </c>
      <c r="H26">
        <v>39.299999999999997</v>
      </c>
      <c r="I26">
        <v>26</v>
      </c>
      <c r="J26">
        <v>26</v>
      </c>
      <c r="K26">
        <v>20.3</v>
      </c>
      <c r="L26">
        <v>26.8</v>
      </c>
      <c r="M26">
        <v>23.4</v>
      </c>
      <c r="N26">
        <v>27.1</v>
      </c>
      <c r="O26">
        <v>25.2</v>
      </c>
      <c r="P26">
        <v>20.8</v>
      </c>
      <c r="Q26">
        <v>17.899999999999999</v>
      </c>
      <c r="R26">
        <v>18.899999999999999</v>
      </c>
      <c r="S26">
        <v>19.2</v>
      </c>
      <c r="T26">
        <v>25.8</v>
      </c>
      <c r="U26">
        <v>23.4</v>
      </c>
      <c r="V26">
        <v>21.3</v>
      </c>
      <c r="W26">
        <v>23.2</v>
      </c>
      <c r="X26">
        <v>28.4</v>
      </c>
      <c r="Y26">
        <v>15.3</v>
      </c>
      <c r="Z26">
        <v>23.2</v>
      </c>
      <c r="AA26">
        <v>32.9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28.2</v>
      </c>
      <c r="E27">
        <v>35.5</v>
      </c>
      <c r="F27">
        <v>48.6</v>
      </c>
      <c r="G27">
        <v>41.8</v>
      </c>
      <c r="H27">
        <v>40.299999999999997</v>
      </c>
      <c r="I27">
        <v>21.4</v>
      </c>
      <c r="J27">
        <v>22</v>
      </c>
      <c r="K27">
        <v>17.7</v>
      </c>
      <c r="L27">
        <v>16.8</v>
      </c>
      <c r="M27">
        <v>19.100000000000001</v>
      </c>
      <c r="N27">
        <v>23</v>
      </c>
      <c r="O27">
        <v>18.899999999999999</v>
      </c>
      <c r="P27">
        <v>21.2</v>
      </c>
      <c r="Q27">
        <v>18.8</v>
      </c>
      <c r="R27">
        <v>20.3</v>
      </c>
      <c r="S27">
        <v>19</v>
      </c>
      <c r="T27">
        <v>18.600000000000001</v>
      </c>
      <c r="U27">
        <v>17</v>
      </c>
      <c r="V27">
        <v>17.399999999999999</v>
      </c>
      <c r="W27">
        <v>17.5</v>
      </c>
      <c r="X27">
        <v>24.6</v>
      </c>
      <c r="Y27">
        <v>24.9</v>
      </c>
      <c r="Z27">
        <v>17.7</v>
      </c>
      <c r="AA27">
        <v>31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32.299999999999997</v>
      </c>
      <c r="E28">
        <v>35</v>
      </c>
      <c r="F28">
        <v>30.2</v>
      </c>
      <c r="G28">
        <v>44.3</v>
      </c>
      <c r="H28">
        <v>31.1</v>
      </c>
      <c r="I28">
        <v>26.8</v>
      </c>
      <c r="J28">
        <v>20</v>
      </c>
      <c r="K28">
        <v>15</v>
      </c>
      <c r="L28">
        <v>17.100000000000001</v>
      </c>
      <c r="M28">
        <v>18.899999999999999</v>
      </c>
      <c r="N28">
        <v>18</v>
      </c>
      <c r="O28">
        <v>17.3</v>
      </c>
      <c r="P28">
        <v>16.8</v>
      </c>
      <c r="Q28">
        <v>18.100000000000001</v>
      </c>
      <c r="R28">
        <v>14.9</v>
      </c>
      <c r="S28">
        <v>16.600000000000001</v>
      </c>
      <c r="T28">
        <v>20.8</v>
      </c>
      <c r="U28">
        <v>17.899999999999999</v>
      </c>
      <c r="V28">
        <v>18.5</v>
      </c>
      <c r="W28">
        <v>19.399999999999999</v>
      </c>
      <c r="X28">
        <v>23.2</v>
      </c>
      <c r="Y28">
        <v>24.8</v>
      </c>
      <c r="Z28">
        <v>20.7</v>
      </c>
      <c r="AA28">
        <v>32.200000000000003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31.1</v>
      </c>
      <c r="E29">
        <v>41.1</v>
      </c>
      <c r="F29">
        <v>41</v>
      </c>
      <c r="G29">
        <v>44</v>
      </c>
      <c r="H29">
        <v>31.8</v>
      </c>
      <c r="I29">
        <v>21.9</v>
      </c>
      <c r="J29">
        <v>17.3</v>
      </c>
      <c r="K29">
        <v>18.7</v>
      </c>
      <c r="L29">
        <v>17.600000000000001</v>
      </c>
      <c r="M29">
        <v>17.3</v>
      </c>
      <c r="N29">
        <v>18.2</v>
      </c>
      <c r="O29">
        <v>17.8</v>
      </c>
      <c r="P29">
        <v>18.5</v>
      </c>
      <c r="Q29">
        <v>17.600000000000001</v>
      </c>
      <c r="R29">
        <v>16.899999999999999</v>
      </c>
      <c r="S29">
        <v>19.100000000000001</v>
      </c>
      <c r="T29">
        <v>17</v>
      </c>
      <c r="U29">
        <v>21.7</v>
      </c>
      <c r="V29">
        <v>16.899999999999999</v>
      </c>
      <c r="W29">
        <v>21.1</v>
      </c>
      <c r="X29">
        <v>21.8</v>
      </c>
      <c r="Y29">
        <v>19.399999999999999</v>
      </c>
      <c r="Z29">
        <v>23.9</v>
      </c>
      <c r="AA29">
        <v>23.7</v>
      </c>
    </row>
    <row r="31" spans="1:27" x14ac:dyDescent="0.25">
      <c r="C31">
        <v>1</v>
      </c>
      <c r="D31">
        <f t="array" ref="D31">MEDIAN(IF($C$3:$C$29=$C31,D$3:D$29,""))</f>
        <v>32.15</v>
      </c>
      <c r="E31">
        <f t="array" ref="E31">MEDIAN(IF($C$3:$C$29=$C31,E$3:E$29,""))</f>
        <v>34.450000000000003</v>
      </c>
      <c r="F31">
        <f t="array" ref="F31">MEDIAN(IF($C$3:$C$29=$C31,F$3:F$29,""))</f>
        <v>34.4</v>
      </c>
      <c r="G31">
        <f t="array" ref="G31">MEDIAN(IF($C$3:$C$29=$C31,G$3:G$29,""))</f>
        <v>37.75</v>
      </c>
      <c r="H31">
        <f t="array" ref="H31">MEDIAN(IF($C$3:$C$29=$C31,H$3:H$29,""))</f>
        <v>38.200000000000003</v>
      </c>
      <c r="I31">
        <f t="array" ref="I31">MEDIAN(IF($C$3:$C$29=$C31,I$3:I$29,""))</f>
        <v>25.85</v>
      </c>
      <c r="J31">
        <f t="array" ref="J31">MEDIAN(IF($C$3:$C$29=$C31,J$3:J$29,""))</f>
        <v>25.6</v>
      </c>
      <c r="K31">
        <f t="array" ref="K31">MEDIAN(IF($C$3:$C$29=$C31,K$3:K$29,""))</f>
        <v>21.9</v>
      </c>
      <c r="L31">
        <f t="array" ref="L31">MEDIAN(IF($C$3:$C$29=$C31,L$3:L$29,""))</f>
        <v>27.1</v>
      </c>
      <c r="M31">
        <f t="array" ref="M31">MEDIAN(IF($C$3:$C$29=$C31,M$3:M$29,""))</f>
        <v>22</v>
      </c>
      <c r="N31">
        <f t="array" ref="N31">MEDIAN(IF($C$3:$C$29=$C31,N$3:N$29,""))</f>
        <v>27.5</v>
      </c>
      <c r="O31">
        <f t="array" ref="O31">MEDIAN(IF($C$3:$C$29=$C31,O$3:O$29,""))</f>
        <v>25.049999999999997</v>
      </c>
      <c r="P31">
        <f t="array" ref="P31">MEDIAN(IF($C$3:$C$29=$C31,P$3:P$29,""))</f>
        <v>21.799999999999997</v>
      </c>
      <c r="Q31">
        <f t="array" ref="Q31">MEDIAN(IF($C$3:$C$29=$C31,Q$3:Q$29,""))</f>
        <v>19</v>
      </c>
      <c r="R31">
        <f t="array" ref="R31">MEDIAN(IF($C$3:$C$29=$C31,R$3:R$29,""))</f>
        <v>20.100000000000001</v>
      </c>
      <c r="S31">
        <f t="array" ref="S31">MEDIAN(IF($C$3:$C$29=$C31,S$3:S$29,""))</f>
        <v>23.55</v>
      </c>
      <c r="T31">
        <f t="array" ref="T31">MEDIAN(IF($C$3:$C$29=$C31,T$3:T$29,""))</f>
        <v>25.8</v>
      </c>
      <c r="U31">
        <f t="array" ref="U31">MEDIAN(IF($C$3:$C$29=$C31,U$3:U$29,""))</f>
        <v>24.85</v>
      </c>
      <c r="V31">
        <f t="array" ref="V31">MEDIAN(IF($C$3:$C$29=$C31,V$3:V$29,""))</f>
        <v>23.7</v>
      </c>
      <c r="W31">
        <f t="array" ref="W31">MEDIAN(IF($C$3:$C$29=$C31,W$3:W$29,""))</f>
        <v>22.6</v>
      </c>
      <c r="X31">
        <f t="array" ref="X31">MEDIAN(IF($C$3:$C$29=$C31,X$3:X$29,""))</f>
        <v>28.549999999999997</v>
      </c>
      <c r="Y31">
        <f t="array" ref="Y31">MEDIAN(IF($C$3:$C$29=$C31,Y$3:Y$29,""))</f>
        <v>27.15</v>
      </c>
      <c r="Z31">
        <f t="array" ref="Z31">MEDIAN(IF($C$3:$C$29=$C31,Z$3:Z$29,""))</f>
        <v>25.05</v>
      </c>
      <c r="AA31">
        <f t="array" ref="AA31">MEDIAN(IF($C$3:$C$29=$C31,AA$3:AA$29,""))</f>
        <v>29.85</v>
      </c>
    </row>
    <row r="32" spans="1:27" x14ac:dyDescent="0.25">
      <c r="C32">
        <v>2</v>
      </c>
      <c r="D32">
        <f t="array" ref="D32">MEDIAN(IF($C$3:$C$29=$C32,D$3:D$29,""))</f>
        <v>33.049999999999997</v>
      </c>
      <c r="E32">
        <f t="array" ref="E32">MEDIAN(IF($C$3:$C$29=$C32,E$3:E$29,""))</f>
        <v>38.799999999999997</v>
      </c>
      <c r="F32">
        <f t="array" ref="F32">MEDIAN(IF($C$3:$C$29=$C32,F$3:F$29,""))</f>
        <v>33.799999999999997</v>
      </c>
      <c r="G32">
        <f t="array" ref="G32">MEDIAN(IF($C$3:$C$29=$C32,G$3:G$29,""))</f>
        <v>33.099999999999994</v>
      </c>
      <c r="H32">
        <f t="array" ref="H32">MEDIAN(IF($C$3:$C$29=$C32,H$3:H$29,""))</f>
        <v>39.549999999999997</v>
      </c>
      <c r="I32">
        <f t="array" ref="I32">MEDIAN(IF($C$3:$C$29=$C32,I$3:I$29,""))</f>
        <v>26.1</v>
      </c>
      <c r="J32">
        <f t="array" ref="J32">MEDIAN(IF($C$3:$C$29=$C32,J$3:J$29,""))</f>
        <v>24.4</v>
      </c>
      <c r="K32">
        <f t="array" ref="K32">MEDIAN(IF($C$3:$C$29=$C32,K$3:K$29,""))</f>
        <v>21.549999999999997</v>
      </c>
      <c r="L32">
        <f t="array" ref="L32">MEDIAN(IF($C$3:$C$29=$C32,L$3:L$29,""))</f>
        <v>21.1</v>
      </c>
      <c r="M32">
        <f t="array" ref="M32">MEDIAN(IF($C$3:$C$29=$C32,M$3:M$29,""))</f>
        <v>21.2</v>
      </c>
      <c r="N32">
        <f t="array" ref="N32">MEDIAN(IF($C$3:$C$29=$C32,N$3:N$29,""))</f>
        <v>20.700000000000003</v>
      </c>
      <c r="O32">
        <f t="array" ref="O32">MEDIAN(IF($C$3:$C$29=$C32,O$3:O$29,""))</f>
        <v>20.7</v>
      </c>
      <c r="P32">
        <f t="array" ref="P32">MEDIAN(IF($C$3:$C$29=$C32,P$3:P$29,""))</f>
        <v>21.1</v>
      </c>
      <c r="Q32">
        <f t="array" ref="Q32">MEDIAN(IF($C$3:$C$29=$C32,Q$3:Q$29,""))</f>
        <v>21.35</v>
      </c>
      <c r="R32">
        <f t="array" ref="R32">MEDIAN(IF($C$3:$C$29=$C32,R$3:R$29,""))</f>
        <v>21.65</v>
      </c>
      <c r="S32">
        <f t="array" ref="S32">MEDIAN(IF($C$3:$C$29=$C32,S$3:S$29,""))</f>
        <v>24.45</v>
      </c>
      <c r="T32">
        <f t="array" ref="T32">MEDIAN(IF($C$3:$C$29=$C32,T$3:T$29,""))</f>
        <v>20.6</v>
      </c>
      <c r="U32">
        <f t="array" ref="U32">MEDIAN(IF($C$3:$C$29=$C32,U$3:U$29,""))</f>
        <v>22.75</v>
      </c>
      <c r="V32">
        <f t="array" ref="V32">MEDIAN(IF($C$3:$C$29=$C32,V$3:V$29,""))</f>
        <v>22.35</v>
      </c>
      <c r="W32">
        <f t="array" ref="W32">MEDIAN(IF($C$3:$C$29=$C32,W$3:W$29,""))</f>
        <v>18.350000000000001</v>
      </c>
      <c r="X32">
        <f t="array" ref="X32">MEDIAN(IF($C$3:$C$29=$C32,X$3:X$29,""))</f>
        <v>22.450000000000003</v>
      </c>
      <c r="Y32">
        <f t="array" ref="Y32">MEDIAN(IF($C$3:$C$29=$C32,Y$3:Y$29,""))</f>
        <v>24</v>
      </c>
      <c r="Z32">
        <f t="array" ref="Z32">MEDIAN(IF($C$3:$C$29=$C32,Z$3:Z$29,""))</f>
        <v>22.4</v>
      </c>
      <c r="AA32">
        <f t="array" ref="AA32">MEDIAN(IF($C$3:$C$29=$C32,AA$3:AA$29,""))</f>
        <v>32.15</v>
      </c>
    </row>
    <row r="33" spans="3:27" x14ac:dyDescent="0.25">
      <c r="C33">
        <v>3</v>
      </c>
      <c r="D33">
        <f t="array" ref="D33">MEDIAN(IF($C$3:$C$29=$C33,D$3:D$29,""))</f>
        <v>33.099999999999994</v>
      </c>
      <c r="E33">
        <f t="array" ref="E33">MEDIAN(IF($C$3:$C$29=$C33,E$3:E$29,""))</f>
        <v>35.700000000000003</v>
      </c>
      <c r="F33">
        <f t="array" ref="F33">MEDIAN(IF($C$3:$C$29=$C33,F$3:F$29,""))</f>
        <v>34.700000000000003</v>
      </c>
      <c r="G33">
        <f t="array" ref="G33">MEDIAN(IF($C$3:$C$29=$C33,G$3:G$29,""))</f>
        <v>39.299999999999997</v>
      </c>
      <c r="H33">
        <f t="array" ref="H33">MEDIAN(IF($C$3:$C$29=$C33,H$3:H$29,""))</f>
        <v>37.6</v>
      </c>
      <c r="I33">
        <f t="array" ref="I33">MEDIAN(IF($C$3:$C$29=$C33,I$3:I$29,""))</f>
        <v>22.95</v>
      </c>
      <c r="J33">
        <f t="array" ref="J33">MEDIAN(IF($C$3:$C$29=$C33,J$3:J$29,""))</f>
        <v>21.05</v>
      </c>
      <c r="K33">
        <f t="array" ref="K33">MEDIAN(IF($C$3:$C$29=$C33,K$3:K$29,""))</f>
        <v>18.049999999999997</v>
      </c>
      <c r="L33">
        <f t="array" ref="L33">MEDIAN(IF($C$3:$C$29=$C33,L$3:L$29,""))</f>
        <v>17.799999999999997</v>
      </c>
      <c r="M33">
        <f t="array" ref="M33">MEDIAN(IF($C$3:$C$29=$C33,M$3:M$29,""))</f>
        <v>19</v>
      </c>
      <c r="N33">
        <f t="array" ref="N33">MEDIAN(IF($C$3:$C$29=$C33,N$3:N$29,""))</f>
        <v>20.75</v>
      </c>
      <c r="O33">
        <f t="array" ref="O33">MEDIAN(IF($C$3:$C$29=$C33,O$3:O$29,""))</f>
        <v>20.5</v>
      </c>
      <c r="P33">
        <f t="array" ref="P33">MEDIAN(IF($C$3:$C$29=$C33,P$3:P$29,""))</f>
        <v>20</v>
      </c>
      <c r="Q33">
        <f t="array" ref="Q33">MEDIAN(IF($C$3:$C$29=$C33,Q$3:Q$29,""))</f>
        <v>20.7</v>
      </c>
      <c r="R33">
        <f t="array" ref="R33">MEDIAN(IF($C$3:$C$29=$C33,R$3:R$29,""))</f>
        <v>19.950000000000003</v>
      </c>
      <c r="S33">
        <f t="array" ref="S33">MEDIAN(IF($C$3:$C$29=$C33,S$3:S$29,""))</f>
        <v>19.3</v>
      </c>
      <c r="T33">
        <f t="array" ref="T33">MEDIAN(IF($C$3:$C$29=$C33,T$3:T$29,""))</f>
        <v>19.149999999999999</v>
      </c>
      <c r="U33">
        <f t="array" ref="U33">MEDIAN(IF($C$3:$C$29=$C33,U$3:U$29,""))</f>
        <v>19.850000000000001</v>
      </c>
      <c r="V33">
        <f t="array" ref="V33">MEDIAN(IF($C$3:$C$29=$C33,V$3:V$29,""))</f>
        <v>19.399999999999999</v>
      </c>
      <c r="W33">
        <f t="array" ref="W33">MEDIAN(IF($C$3:$C$29=$C33,W$3:W$29,""))</f>
        <v>18.5</v>
      </c>
      <c r="X33">
        <f t="array" ref="X33">MEDIAN(IF($C$3:$C$29=$C33,X$3:X$29,""))</f>
        <v>23.65</v>
      </c>
      <c r="Y33">
        <f t="array" ref="Y33">MEDIAN(IF($C$3:$C$29=$C33,Y$3:Y$29,""))</f>
        <v>24.75</v>
      </c>
      <c r="Z33">
        <f t="array" ref="Z33">MEDIAN(IF($C$3:$C$29=$C33,Z$3:Z$29,""))</f>
        <v>23.45</v>
      </c>
      <c r="AA33">
        <f t="array" ref="AA33">MEDIAN(IF($C$3:$C$29=$C33,AA$3:AA$29,""))</f>
        <v>29.35</v>
      </c>
    </row>
    <row r="34" spans="3:27" x14ac:dyDescent="0.25">
      <c r="C34">
        <v>4</v>
      </c>
      <c r="D34">
        <f t="array" ref="D34">MEDIAN(IF($C$3:$C$29=$C34,D$3:D$29,""))</f>
        <v>31.65</v>
      </c>
      <c r="E34">
        <f t="array" ref="E34">MEDIAN(IF($C$3:$C$29=$C34,E$3:E$29,""))</f>
        <v>38.450000000000003</v>
      </c>
      <c r="F34">
        <f t="array" ref="F34">MEDIAN(IF($C$3:$C$29=$C34,F$3:F$29,""))</f>
        <v>33.700000000000003</v>
      </c>
      <c r="G34">
        <f t="array" ref="G34">MEDIAN(IF($C$3:$C$29=$C34,G$3:G$29,""))</f>
        <v>36.85</v>
      </c>
      <c r="H34">
        <f t="array" ref="H34">MEDIAN(IF($C$3:$C$29=$C34,H$3:H$29,""))</f>
        <v>31.35</v>
      </c>
      <c r="I34">
        <f t="array" ref="I34">MEDIAN(IF($C$3:$C$29=$C34,I$3:I$29,""))</f>
        <v>26.5</v>
      </c>
      <c r="J34">
        <f t="array" ref="J34">MEDIAN(IF($C$3:$C$29=$C34,J$3:J$29,""))</f>
        <v>19.5</v>
      </c>
      <c r="K34">
        <f t="array" ref="K34">MEDIAN(IF($C$3:$C$29=$C34,K$3:K$29,""))</f>
        <v>17.899999999999999</v>
      </c>
      <c r="L34">
        <f t="array" ref="L34">MEDIAN(IF($C$3:$C$29=$C34,L$3:L$29,""))</f>
        <v>17.200000000000003</v>
      </c>
      <c r="M34">
        <f t="array" ref="M34">MEDIAN(IF($C$3:$C$29=$C34,M$3:M$29,""))</f>
        <v>19</v>
      </c>
      <c r="N34">
        <f t="array" ref="N34">MEDIAN(IF($C$3:$C$29=$C34,N$3:N$29,""))</f>
        <v>19.75</v>
      </c>
      <c r="O34">
        <f t="array" ref="O34">MEDIAN(IF($C$3:$C$29=$C34,O$3:O$29,""))</f>
        <v>17.950000000000003</v>
      </c>
      <c r="P34">
        <f t="array" ref="P34">MEDIAN(IF($C$3:$C$29=$C34,P$3:P$29,""))</f>
        <v>18.200000000000003</v>
      </c>
      <c r="Q34">
        <f t="array" ref="Q34">MEDIAN(IF($C$3:$C$29=$C34,Q$3:Q$29,""))</f>
        <v>18.149999999999999</v>
      </c>
      <c r="R34">
        <f t="array" ref="R34">MEDIAN(IF($C$3:$C$29=$C34,R$3:R$29,""))</f>
        <v>19.5</v>
      </c>
      <c r="S34">
        <f t="array" ref="S34">MEDIAN(IF($C$3:$C$29=$C34,S$3:S$29,""))</f>
        <v>17.5</v>
      </c>
      <c r="T34">
        <f t="array" ref="T34">MEDIAN(IF($C$3:$C$29=$C34,T$3:T$29,""))</f>
        <v>21.8</v>
      </c>
      <c r="U34">
        <f t="array" ref="U34">MEDIAN(IF($C$3:$C$29=$C34,U$3:U$29,""))</f>
        <v>18.049999999999997</v>
      </c>
      <c r="V34">
        <f t="array" ref="V34">MEDIAN(IF($C$3:$C$29=$C34,V$3:V$29,""))</f>
        <v>17.600000000000001</v>
      </c>
      <c r="W34">
        <f t="array" ref="W34">MEDIAN(IF($C$3:$C$29=$C34,W$3:W$29,""))</f>
        <v>18.149999999999999</v>
      </c>
      <c r="X34">
        <f t="array" ref="X34">MEDIAN(IF($C$3:$C$29=$C34,X$3:X$29,""))</f>
        <v>23.9</v>
      </c>
      <c r="Y34">
        <f t="array" ref="Y34">MEDIAN(IF($C$3:$C$29=$C34,Y$3:Y$29,""))</f>
        <v>23.700000000000003</v>
      </c>
      <c r="Z34">
        <f t="array" ref="Z34">MEDIAN(IF($C$3:$C$29=$C34,Z$3:Z$29,""))</f>
        <v>21.75</v>
      </c>
      <c r="AA34">
        <f t="array" ref="AA34">MEDIAN(IF($C$3:$C$29=$C34,AA$3:AA$29,""))</f>
        <v>29.700000000000003</v>
      </c>
    </row>
    <row r="35" spans="3:27" x14ac:dyDescent="0.25">
      <c r="C35">
        <v>5</v>
      </c>
      <c r="D35">
        <f t="array" ref="D35">MEDIAN(IF($C$3:$C$29=$C35,D$3:D$29,""))</f>
        <v>31.05</v>
      </c>
      <c r="E35">
        <f t="array" ref="E35">MEDIAN(IF($C$3:$C$29=$C35,E$3:E$29,""))</f>
        <v>36.4</v>
      </c>
      <c r="F35">
        <f t="array" ref="F35">MEDIAN(IF($C$3:$C$29=$C35,F$3:F$29,""))</f>
        <v>38.099999999999994</v>
      </c>
      <c r="G35">
        <f t="array" ref="G35">MEDIAN(IF($C$3:$C$29=$C35,G$3:G$29,""))</f>
        <v>39.549999999999997</v>
      </c>
      <c r="H35">
        <f t="array" ref="H35">MEDIAN(IF($C$3:$C$29=$C35,H$3:H$29,""))</f>
        <v>36.5</v>
      </c>
      <c r="I35">
        <f t="array" ref="I35">MEDIAN(IF($C$3:$C$29=$C35,I$3:I$29,""))</f>
        <v>24.25</v>
      </c>
      <c r="J35">
        <f t="array" ref="J35">MEDIAN(IF($C$3:$C$29=$C35,J$3:J$29,""))</f>
        <v>19.25</v>
      </c>
      <c r="K35">
        <f t="array" ref="K35">MEDIAN(IF($C$3:$C$29=$C35,K$3:K$29,""))</f>
        <v>16.399999999999999</v>
      </c>
      <c r="L35">
        <f t="array" ref="L35">MEDIAN(IF($C$3:$C$29=$C35,L$3:L$29,""))</f>
        <v>17.8</v>
      </c>
      <c r="M35">
        <f t="array" ref="M35">MEDIAN(IF($C$3:$C$29=$C35,M$3:M$29,""))</f>
        <v>18.350000000000001</v>
      </c>
      <c r="N35">
        <f t="array" ref="N35">MEDIAN(IF($C$3:$C$29=$C35,N$3:N$29,""))</f>
        <v>17.850000000000001</v>
      </c>
      <c r="O35">
        <f t="array" ref="O35">MEDIAN(IF($C$3:$C$29=$C35,O$3:O$29,""))</f>
        <v>19.3</v>
      </c>
      <c r="P35">
        <f t="array" ref="P35">MEDIAN(IF($C$3:$C$29=$C35,P$3:P$29,""))</f>
        <v>20.3</v>
      </c>
      <c r="Q35">
        <f t="array" ref="Q35">MEDIAN(IF($C$3:$C$29=$C35,Q$3:Q$29,""))</f>
        <v>19.049999999999997</v>
      </c>
      <c r="R35">
        <f t="array" ref="R35">MEDIAN(IF($C$3:$C$29=$C35,R$3:R$29,""))</f>
        <v>18.100000000000001</v>
      </c>
      <c r="S35">
        <f t="array" ref="S35">MEDIAN(IF($C$3:$C$29=$C35,S$3:S$29,""))</f>
        <v>18.649999999999999</v>
      </c>
      <c r="T35">
        <f t="array" ref="T35">MEDIAN(IF($C$3:$C$29=$C35,T$3:T$29,""))</f>
        <v>18.649999999999999</v>
      </c>
      <c r="U35">
        <f t="array" ref="U35">MEDIAN(IF($C$3:$C$29=$C35,U$3:U$29,""))</f>
        <v>19.799999999999997</v>
      </c>
      <c r="V35">
        <f t="array" ref="V35">MEDIAN(IF($C$3:$C$29=$C35,V$3:V$29,""))</f>
        <v>19.8</v>
      </c>
      <c r="W35">
        <f t="array" ref="W35">MEDIAN(IF($C$3:$C$29=$C35,W$3:W$29,""))</f>
        <v>21.3</v>
      </c>
      <c r="X35">
        <f t="array" ref="X35">MEDIAN(IF($C$3:$C$29=$C35,X$3:X$29,""))</f>
        <v>20.3</v>
      </c>
      <c r="Y35">
        <f t="array" ref="Y35">MEDIAN(IF($C$3:$C$29=$C35,Y$3:Y$29,""))</f>
        <v>22.35</v>
      </c>
      <c r="Z35">
        <f t="array" ref="Z35">MEDIAN(IF($C$3:$C$29=$C35,Z$3:Z$29,""))</f>
        <v>24.75</v>
      </c>
      <c r="AA35">
        <f t="array" ref="AA35">MEDIAN(IF($C$3:$C$29=$C35,AA$3:AA$29,""))</f>
        <v>26.549999999999997</v>
      </c>
    </row>
    <row r="36" spans="3:27" x14ac:dyDescent="0.25">
      <c r="C36">
        <v>6</v>
      </c>
      <c r="D36">
        <f t="array" ref="D36">MEDIAN(IF($C$3:$C$29=$C36,D$3:D$29,""))</f>
        <v>33.4</v>
      </c>
      <c r="E36">
        <f t="array" ref="E36">MEDIAN(IF($C$3:$C$29=$C36,E$3:E$29,""))</f>
        <v>37.4</v>
      </c>
      <c r="F36">
        <f t="array" ref="F36">MEDIAN(IF($C$3:$C$29=$C36,F$3:F$29,""))</f>
        <v>40.200000000000003</v>
      </c>
      <c r="G36">
        <f t="array" ref="G36">MEDIAN(IF($C$3:$C$29=$C36,G$3:G$29,""))</f>
        <v>41.1</v>
      </c>
      <c r="H36">
        <f t="array" ref="H36">MEDIAN(IF($C$3:$C$29=$C36,H$3:H$29,""))</f>
        <v>32.6</v>
      </c>
      <c r="I36">
        <f t="array" ref="I36">MEDIAN(IF($C$3:$C$29=$C36,I$3:I$29,""))</f>
        <v>25.5</v>
      </c>
      <c r="J36">
        <f t="array" ref="J36">MEDIAN(IF($C$3:$C$29=$C36,J$3:J$29,""))</f>
        <v>19.899999999999999</v>
      </c>
      <c r="K36">
        <f t="array" ref="K36">MEDIAN(IF($C$3:$C$29=$C36,K$3:K$29,""))</f>
        <v>17</v>
      </c>
      <c r="L36">
        <f t="array" ref="L36">MEDIAN(IF($C$3:$C$29=$C36,L$3:L$29,""))</f>
        <v>19</v>
      </c>
      <c r="M36">
        <f t="array" ref="M36">MEDIAN(IF($C$3:$C$29=$C36,M$3:M$29,""))</f>
        <v>18.399999999999999</v>
      </c>
      <c r="N36">
        <f t="array" ref="N36">MEDIAN(IF($C$3:$C$29=$C36,N$3:N$29,""))</f>
        <v>18.3</v>
      </c>
      <c r="O36">
        <f t="array" ref="O36">MEDIAN(IF($C$3:$C$29=$C36,O$3:O$29,""))</f>
        <v>19.100000000000001</v>
      </c>
      <c r="P36">
        <f t="array" ref="P36">MEDIAN(IF($C$3:$C$29=$C36,P$3:P$29,""))</f>
        <v>23.4</v>
      </c>
      <c r="Q36">
        <f t="array" ref="Q36">MEDIAN(IF($C$3:$C$29=$C36,Q$3:Q$29,""))</f>
        <v>22.5</v>
      </c>
      <c r="R36">
        <f t="array" ref="R36">MEDIAN(IF($C$3:$C$29=$C36,R$3:R$29,""))</f>
        <v>19.100000000000001</v>
      </c>
      <c r="S36">
        <f t="array" ref="S36">MEDIAN(IF($C$3:$C$29=$C36,S$3:S$29,""))</f>
        <v>19.899999999999999</v>
      </c>
      <c r="T36">
        <f t="array" ref="T36">MEDIAN(IF($C$3:$C$29=$C36,T$3:T$29,""))</f>
        <v>18.399999999999999</v>
      </c>
      <c r="U36">
        <f t="array" ref="U36">MEDIAN(IF($C$3:$C$29=$C36,U$3:U$29,""))</f>
        <v>18.2</v>
      </c>
      <c r="V36">
        <f t="array" ref="V36">MEDIAN(IF($C$3:$C$29=$C36,V$3:V$29,""))</f>
        <v>19.399999999999999</v>
      </c>
      <c r="W36">
        <f t="array" ref="W36">MEDIAN(IF($C$3:$C$29=$C36,W$3:W$29,""))</f>
        <v>20.6</v>
      </c>
      <c r="X36">
        <f t="array" ref="X36">MEDIAN(IF($C$3:$C$29=$C36,X$3:X$29,""))</f>
        <v>21.1</v>
      </c>
      <c r="Y36">
        <f t="array" ref="Y36">MEDIAN(IF($C$3:$C$29=$C36,Y$3:Y$29,""))</f>
        <v>20.9</v>
      </c>
      <c r="Z36">
        <f t="array" ref="Z36">MEDIAN(IF($C$3:$C$29=$C36,Z$3:Z$29,""))</f>
        <v>24.6</v>
      </c>
      <c r="AA36">
        <f t="array" ref="AA36">MEDIAN(IF($C$3:$C$29=$C36,AA$3:AA$29,""))</f>
        <v>27.3</v>
      </c>
    </row>
    <row r="37" spans="3:27" x14ac:dyDescent="0.25">
      <c r="C37">
        <v>7</v>
      </c>
      <c r="D37">
        <f t="array" ref="D37">MEDIAN(IF($C$3:$C$29=$C37,D$3:D$29,""))</f>
        <v>31.5</v>
      </c>
      <c r="E37">
        <f t="array" ref="E37">MEDIAN(IF($C$3:$C$29=$C37,E$3:E$29,""))</f>
        <v>39.200000000000003</v>
      </c>
      <c r="F37">
        <f t="array" ref="F37">MEDIAN(IF($C$3:$C$29=$C37,F$3:F$29,""))</f>
        <v>37.599999999999994</v>
      </c>
      <c r="G37">
        <f t="array" ref="G37">MEDIAN(IF($C$3:$C$29=$C37,G$3:G$29,""))</f>
        <v>34.349999999999994</v>
      </c>
      <c r="H37">
        <f t="array" ref="H37">MEDIAN(IF($C$3:$C$29=$C37,H$3:H$29,""))</f>
        <v>35</v>
      </c>
      <c r="I37">
        <f t="array" ref="I37">MEDIAN(IF($C$3:$C$29=$C37,I$3:I$29,""))</f>
        <v>25.35</v>
      </c>
      <c r="J37">
        <f t="array" ref="J37">MEDIAN(IF($C$3:$C$29=$C37,J$3:J$29,""))</f>
        <v>18</v>
      </c>
      <c r="K37">
        <f t="array" ref="K37">MEDIAN(IF($C$3:$C$29=$C37,K$3:K$29,""))</f>
        <v>18.899999999999999</v>
      </c>
      <c r="L37">
        <f t="array" ref="L37">MEDIAN(IF($C$3:$C$29=$C37,L$3:L$29,""))</f>
        <v>18.05</v>
      </c>
      <c r="M37">
        <f t="array" ref="M37">MEDIAN(IF($C$3:$C$29=$C37,M$3:M$29,""))</f>
        <v>17.95</v>
      </c>
      <c r="N37">
        <f t="array" ref="N37">MEDIAN(IF($C$3:$C$29=$C37,N$3:N$29,""))</f>
        <v>18.7</v>
      </c>
      <c r="O37">
        <f t="array" ref="O37">MEDIAN(IF($C$3:$C$29=$C37,O$3:O$29,""))</f>
        <v>19.950000000000003</v>
      </c>
      <c r="P37">
        <f t="array" ref="P37">MEDIAN(IF($C$3:$C$29=$C37,P$3:P$29,""))</f>
        <v>19.5</v>
      </c>
      <c r="Q37">
        <f t="array" ref="Q37">MEDIAN(IF($C$3:$C$29=$C37,Q$3:Q$29,""))</f>
        <v>19.899999999999999</v>
      </c>
      <c r="R37">
        <f t="array" ref="R37">MEDIAN(IF($C$3:$C$29=$C37,R$3:R$29,""))</f>
        <v>18.850000000000001</v>
      </c>
      <c r="S37">
        <f t="array" ref="S37">MEDIAN(IF($C$3:$C$29=$C37,S$3:S$29,""))</f>
        <v>17.850000000000001</v>
      </c>
      <c r="T37">
        <f t="array" ref="T37">MEDIAN(IF($C$3:$C$29=$C37,T$3:T$29,""))</f>
        <v>20.6</v>
      </c>
      <c r="U37">
        <f t="array" ref="U37">MEDIAN(IF($C$3:$C$29=$C37,U$3:U$29,""))</f>
        <v>19.25</v>
      </c>
      <c r="V37">
        <f t="array" ref="V37">MEDIAN(IF($C$3:$C$29=$C37,V$3:V$29,""))</f>
        <v>19.649999999999999</v>
      </c>
      <c r="W37">
        <f t="array" ref="W37">MEDIAN(IF($C$3:$C$29=$C37,W$3:W$29,""))</f>
        <v>18.899999999999999</v>
      </c>
      <c r="X37">
        <f t="array" ref="X37">MEDIAN(IF($C$3:$C$29=$C37,X$3:X$29,""))</f>
        <v>21.15</v>
      </c>
      <c r="Y37">
        <f t="array" ref="Y37">MEDIAN(IF($C$3:$C$29=$C37,Y$3:Y$29,""))</f>
        <v>21.799999999999997</v>
      </c>
      <c r="Z37">
        <f t="array" ref="Z37">MEDIAN(IF($C$3:$C$29=$C37,Z$3:Z$29,""))</f>
        <v>23.55</v>
      </c>
      <c r="AA37">
        <f t="array" ref="AA37">MEDIAN(IF($C$3:$C$29=$C37,AA$3:AA$29,""))</f>
        <v>27.65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2"/>
  <dimension ref="A1:AA37"/>
  <sheetViews>
    <sheetView workbookViewId="0">
      <selection activeCell="G31" sqref="G31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38.299999999999997</v>
      </c>
      <c r="E3">
        <v>39.1</v>
      </c>
      <c r="F3">
        <v>32.9</v>
      </c>
      <c r="G3">
        <v>38.200000000000003</v>
      </c>
      <c r="H3">
        <v>30.1</v>
      </c>
      <c r="I3">
        <v>19.8</v>
      </c>
      <c r="J3">
        <v>19.100000000000001</v>
      </c>
      <c r="K3">
        <v>17.5</v>
      </c>
      <c r="L3">
        <v>17.3</v>
      </c>
      <c r="M3">
        <v>17.100000000000001</v>
      </c>
      <c r="N3">
        <v>20.3</v>
      </c>
      <c r="O3">
        <v>22.3</v>
      </c>
      <c r="P3">
        <v>23.2</v>
      </c>
      <c r="Q3">
        <v>18.7</v>
      </c>
      <c r="R3">
        <v>19.2</v>
      </c>
      <c r="S3">
        <v>21.5</v>
      </c>
      <c r="T3">
        <v>17.100000000000001</v>
      </c>
      <c r="U3">
        <v>20.7</v>
      </c>
      <c r="V3">
        <v>18.3</v>
      </c>
      <c r="W3">
        <v>20.5</v>
      </c>
      <c r="X3">
        <v>22.5</v>
      </c>
      <c r="Y3">
        <v>22.3</v>
      </c>
      <c r="Z3">
        <v>27</v>
      </c>
      <c r="AA3">
        <v>27.8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27.2</v>
      </c>
      <c r="E4">
        <v>33.700000000000003</v>
      </c>
      <c r="F4">
        <v>38.299999999999997</v>
      </c>
      <c r="G4">
        <v>34.200000000000003</v>
      </c>
      <c r="H4">
        <v>36.6</v>
      </c>
      <c r="I4">
        <v>27.2</v>
      </c>
      <c r="J4">
        <v>22.8</v>
      </c>
      <c r="K4">
        <v>16</v>
      </c>
      <c r="L4">
        <v>24.1</v>
      </c>
      <c r="M4">
        <v>21.2</v>
      </c>
      <c r="N4">
        <v>16.899999999999999</v>
      </c>
      <c r="O4">
        <v>19.7</v>
      </c>
      <c r="P4">
        <v>23.4</v>
      </c>
      <c r="Q4">
        <v>21</v>
      </c>
      <c r="R4">
        <v>15.6</v>
      </c>
      <c r="S4">
        <v>25</v>
      </c>
      <c r="T4">
        <v>22.6</v>
      </c>
      <c r="U4">
        <v>24.5</v>
      </c>
      <c r="V4">
        <v>21.3</v>
      </c>
      <c r="W4">
        <v>23.1</v>
      </c>
      <c r="X4">
        <v>21.4</v>
      </c>
      <c r="Y4">
        <v>26</v>
      </c>
      <c r="Z4">
        <v>26.8</v>
      </c>
      <c r="AA4">
        <v>36.6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34.9</v>
      </c>
      <c r="E5">
        <v>35.4</v>
      </c>
      <c r="F5">
        <v>35.200000000000003</v>
      </c>
      <c r="G5">
        <v>35.4</v>
      </c>
      <c r="H5">
        <v>36.1</v>
      </c>
      <c r="I5">
        <v>38.1</v>
      </c>
      <c r="J5">
        <v>27.7</v>
      </c>
      <c r="K5">
        <v>27.3</v>
      </c>
      <c r="L5">
        <v>24.1</v>
      </c>
      <c r="M5">
        <v>22.1</v>
      </c>
      <c r="N5">
        <v>24</v>
      </c>
      <c r="O5">
        <v>26</v>
      </c>
      <c r="P5">
        <v>27.9</v>
      </c>
      <c r="Q5">
        <v>18.7</v>
      </c>
      <c r="R5">
        <v>25.1</v>
      </c>
      <c r="S5">
        <v>25.2</v>
      </c>
      <c r="T5">
        <v>29</v>
      </c>
      <c r="U5">
        <v>27</v>
      </c>
      <c r="V5">
        <v>23.3</v>
      </c>
      <c r="W5">
        <v>23.7</v>
      </c>
      <c r="X5">
        <v>22.5</v>
      </c>
      <c r="Y5">
        <v>24.6</v>
      </c>
      <c r="Z5">
        <v>29.1</v>
      </c>
      <c r="AA5">
        <v>31.2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32.4</v>
      </c>
      <c r="E6">
        <v>41.3</v>
      </c>
      <c r="F6">
        <v>38.299999999999997</v>
      </c>
      <c r="G6">
        <v>31.4</v>
      </c>
      <c r="H6">
        <v>25</v>
      </c>
      <c r="I6">
        <v>20.399999999999999</v>
      </c>
      <c r="J6">
        <v>17.100000000000001</v>
      </c>
      <c r="K6">
        <v>18.899999999999999</v>
      </c>
      <c r="L6">
        <v>11.4</v>
      </c>
      <c r="M6">
        <v>15.9</v>
      </c>
      <c r="N6">
        <v>22</v>
      </c>
      <c r="O6">
        <v>17.899999999999999</v>
      </c>
      <c r="P6">
        <v>20.3</v>
      </c>
      <c r="Q6">
        <v>18.5</v>
      </c>
      <c r="R6">
        <v>16</v>
      </c>
      <c r="S6">
        <v>19.2</v>
      </c>
      <c r="T6">
        <v>17.600000000000001</v>
      </c>
      <c r="U6">
        <v>18.5</v>
      </c>
      <c r="V6">
        <v>19.5</v>
      </c>
      <c r="W6">
        <v>21.2</v>
      </c>
      <c r="X6">
        <v>26</v>
      </c>
      <c r="Y6">
        <v>21.8</v>
      </c>
      <c r="Z6">
        <v>24.8</v>
      </c>
      <c r="AA6">
        <v>28.7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31.9</v>
      </c>
      <c r="E7">
        <v>40.200000000000003</v>
      </c>
      <c r="F7">
        <v>34.799999999999997</v>
      </c>
      <c r="G7">
        <v>37.299999999999997</v>
      </c>
      <c r="H7">
        <v>36.5</v>
      </c>
      <c r="I7">
        <v>26</v>
      </c>
      <c r="J7">
        <v>19.899999999999999</v>
      </c>
      <c r="K7">
        <v>13.2</v>
      </c>
      <c r="L7">
        <v>7.6</v>
      </c>
      <c r="M7">
        <v>12.8</v>
      </c>
      <c r="N7">
        <v>15.4</v>
      </c>
      <c r="O7">
        <v>17.8</v>
      </c>
      <c r="P7">
        <v>19</v>
      </c>
      <c r="Q7">
        <v>18.7</v>
      </c>
      <c r="R7">
        <v>18.399999999999999</v>
      </c>
      <c r="S7">
        <v>19.8</v>
      </c>
      <c r="T7">
        <v>22</v>
      </c>
      <c r="U7">
        <v>18.600000000000001</v>
      </c>
      <c r="V7">
        <v>18.100000000000001</v>
      </c>
      <c r="W7">
        <v>19.100000000000001</v>
      </c>
      <c r="X7">
        <v>24.8</v>
      </c>
      <c r="Y7">
        <v>25.8</v>
      </c>
      <c r="Z7">
        <v>26.5</v>
      </c>
      <c r="AA7">
        <v>29.2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35.200000000000003</v>
      </c>
      <c r="E8">
        <v>32</v>
      </c>
      <c r="F8">
        <v>47.7</v>
      </c>
      <c r="G8">
        <v>41.7</v>
      </c>
      <c r="H8">
        <v>33.299999999999997</v>
      </c>
      <c r="I8">
        <v>26.5</v>
      </c>
      <c r="J8">
        <v>19.8</v>
      </c>
      <c r="K8">
        <v>8.5</v>
      </c>
      <c r="L8">
        <v>12</v>
      </c>
      <c r="M8">
        <v>17.600000000000001</v>
      </c>
      <c r="N8">
        <v>17</v>
      </c>
      <c r="O8">
        <v>5</v>
      </c>
      <c r="P8">
        <v>18.399999999999999</v>
      </c>
      <c r="Q8">
        <v>17.600000000000001</v>
      </c>
      <c r="R8">
        <v>16.3</v>
      </c>
      <c r="S8">
        <v>16.899999999999999</v>
      </c>
      <c r="T8">
        <v>17.899999999999999</v>
      </c>
      <c r="U8">
        <v>16.899999999999999</v>
      </c>
      <c r="V8">
        <v>18.3</v>
      </c>
      <c r="W8">
        <v>18.100000000000001</v>
      </c>
      <c r="X8">
        <v>18.2</v>
      </c>
      <c r="Y8">
        <v>23.5</v>
      </c>
      <c r="Z8">
        <v>26.4</v>
      </c>
      <c r="AA8">
        <v>20.399999999999999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30.7</v>
      </c>
      <c r="E9">
        <v>38.700000000000003</v>
      </c>
      <c r="F9">
        <v>38.299999999999997</v>
      </c>
      <c r="G9">
        <v>44.8</v>
      </c>
      <c r="H9">
        <v>34.200000000000003</v>
      </c>
      <c r="I9">
        <v>25.3</v>
      </c>
      <c r="J9">
        <v>17.5</v>
      </c>
      <c r="K9">
        <v>10.4</v>
      </c>
      <c r="L9">
        <v>8.8000000000000007</v>
      </c>
      <c r="M9">
        <v>14.2</v>
      </c>
      <c r="N9">
        <v>18.600000000000001</v>
      </c>
      <c r="O9">
        <v>14.3</v>
      </c>
      <c r="P9">
        <v>22.7</v>
      </c>
      <c r="Q9">
        <v>22</v>
      </c>
      <c r="R9">
        <v>18.100000000000001</v>
      </c>
      <c r="S9">
        <v>19.8</v>
      </c>
      <c r="T9">
        <v>15.5</v>
      </c>
      <c r="U9">
        <v>20.3</v>
      </c>
      <c r="V9">
        <v>21.8</v>
      </c>
      <c r="W9">
        <v>20</v>
      </c>
      <c r="X9">
        <v>18.7</v>
      </c>
      <c r="Y9">
        <v>21.8</v>
      </c>
      <c r="Z9">
        <v>29.2</v>
      </c>
      <c r="AA9">
        <v>25.9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33.200000000000003</v>
      </c>
      <c r="E10">
        <v>34.4</v>
      </c>
      <c r="F10">
        <v>41.5</v>
      </c>
      <c r="G10">
        <v>37</v>
      </c>
      <c r="H10">
        <v>32.299999999999997</v>
      </c>
      <c r="I10">
        <v>23.1</v>
      </c>
      <c r="J10">
        <v>15.5</v>
      </c>
      <c r="K10">
        <v>15.9</v>
      </c>
      <c r="L10">
        <v>17</v>
      </c>
      <c r="M10">
        <v>17</v>
      </c>
      <c r="N10">
        <v>19.100000000000001</v>
      </c>
      <c r="O10">
        <v>18.5</v>
      </c>
      <c r="P10">
        <v>16.100000000000001</v>
      </c>
      <c r="Q10">
        <v>16.2</v>
      </c>
      <c r="R10">
        <v>17.399999999999999</v>
      </c>
      <c r="S10">
        <v>19.3</v>
      </c>
      <c r="T10">
        <v>17.899999999999999</v>
      </c>
      <c r="U10">
        <v>14.4</v>
      </c>
      <c r="V10">
        <v>18.100000000000001</v>
      </c>
      <c r="W10">
        <v>22.8</v>
      </c>
      <c r="X10">
        <v>17</v>
      </c>
      <c r="Y10">
        <v>21.7</v>
      </c>
      <c r="Z10">
        <v>23.2</v>
      </c>
      <c r="AA10">
        <v>24.5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35.6</v>
      </c>
      <c r="E11">
        <v>36.6</v>
      </c>
      <c r="F11">
        <v>34.4</v>
      </c>
      <c r="G11">
        <v>31.1</v>
      </c>
      <c r="H11">
        <v>34.9</v>
      </c>
      <c r="I11">
        <v>30.6</v>
      </c>
      <c r="J11">
        <v>22.1</v>
      </c>
      <c r="K11">
        <v>26</v>
      </c>
      <c r="L11">
        <v>25</v>
      </c>
      <c r="M11">
        <v>20.6</v>
      </c>
      <c r="N11">
        <v>20.5</v>
      </c>
      <c r="O11">
        <v>21.8</v>
      </c>
      <c r="P11">
        <v>19.8</v>
      </c>
      <c r="Q11">
        <v>20.8</v>
      </c>
      <c r="R11">
        <v>19.399999999999999</v>
      </c>
      <c r="S11">
        <v>19.3</v>
      </c>
      <c r="T11">
        <v>19.399999999999999</v>
      </c>
      <c r="U11">
        <v>21</v>
      </c>
      <c r="V11">
        <v>14.7</v>
      </c>
      <c r="W11">
        <v>25.3</v>
      </c>
      <c r="X11">
        <v>21.4</v>
      </c>
      <c r="Y11">
        <v>30.2</v>
      </c>
      <c r="Z11">
        <v>28.1</v>
      </c>
      <c r="AA11">
        <v>36.700000000000003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34.5</v>
      </c>
      <c r="E12">
        <v>40</v>
      </c>
      <c r="F12">
        <v>31.1</v>
      </c>
      <c r="G12">
        <v>30</v>
      </c>
      <c r="H12">
        <v>35</v>
      </c>
      <c r="I12">
        <v>24.3</v>
      </c>
      <c r="J12">
        <v>26</v>
      </c>
      <c r="K12">
        <v>24.2</v>
      </c>
      <c r="L12">
        <v>24.8</v>
      </c>
      <c r="M12">
        <v>25.7</v>
      </c>
      <c r="N12">
        <v>19.8</v>
      </c>
      <c r="O12">
        <v>24.3</v>
      </c>
      <c r="P12">
        <v>21.9</v>
      </c>
      <c r="Q12">
        <v>21.4</v>
      </c>
      <c r="R12">
        <v>19.399999999999999</v>
      </c>
      <c r="S12">
        <v>29.8</v>
      </c>
      <c r="T12">
        <v>21.6</v>
      </c>
      <c r="U12">
        <v>22.8</v>
      </c>
      <c r="V12">
        <v>24.5</v>
      </c>
      <c r="W12">
        <v>22</v>
      </c>
      <c r="X12">
        <v>33.9</v>
      </c>
      <c r="Y12">
        <v>25.6</v>
      </c>
      <c r="Z12">
        <v>30.3</v>
      </c>
      <c r="AA12">
        <v>25.4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32.1</v>
      </c>
      <c r="E13">
        <v>36.9</v>
      </c>
      <c r="F13">
        <v>37.4</v>
      </c>
      <c r="G13">
        <v>38.9</v>
      </c>
      <c r="H13">
        <v>28.1</v>
      </c>
      <c r="I13">
        <v>24.8</v>
      </c>
      <c r="J13">
        <v>19.399999999999999</v>
      </c>
      <c r="K13">
        <v>8.8000000000000007</v>
      </c>
      <c r="L13">
        <v>9.5</v>
      </c>
      <c r="M13">
        <v>17.899999999999999</v>
      </c>
      <c r="N13">
        <v>18.100000000000001</v>
      </c>
      <c r="O13">
        <v>21.3</v>
      </c>
      <c r="P13">
        <v>17.600000000000001</v>
      </c>
      <c r="Q13">
        <v>17.8</v>
      </c>
      <c r="R13">
        <v>17.5</v>
      </c>
      <c r="S13">
        <v>21</v>
      </c>
      <c r="T13">
        <v>19.600000000000001</v>
      </c>
      <c r="U13">
        <v>19.100000000000001</v>
      </c>
      <c r="V13">
        <v>18.3</v>
      </c>
      <c r="W13">
        <v>17.399999999999999</v>
      </c>
      <c r="X13">
        <v>20.6</v>
      </c>
      <c r="Y13">
        <v>24.3</v>
      </c>
      <c r="Z13">
        <v>23</v>
      </c>
      <c r="AA13">
        <v>23.9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34.1</v>
      </c>
      <c r="E14">
        <v>39.799999999999997</v>
      </c>
      <c r="F14">
        <v>37.9</v>
      </c>
      <c r="G14">
        <v>38.9</v>
      </c>
      <c r="H14">
        <v>26.9</v>
      </c>
      <c r="I14">
        <v>26.6</v>
      </c>
      <c r="J14">
        <v>15.8</v>
      </c>
      <c r="K14">
        <v>16.8</v>
      </c>
      <c r="L14">
        <v>7.1</v>
      </c>
      <c r="M14">
        <v>20.3</v>
      </c>
      <c r="N14">
        <v>20.2</v>
      </c>
      <c r="O14">
        <v>15.9</v>
      </c>
      <c r="P14">
        <v>17</v>
      </c>
      <c r="Q14">
        <v>21.4</v>
      </c>
      <c r="R14">
        <v>20.5</v>
      </c>
      <c r="S14">
        <v>14.4</v>
      </c>
      <c r="T14">
        <v>19.100000000000001</v>
      </c>
      <c r="U14">
        <v>17</v>
      </c>
      <c r="V14">
        <v>17.600000000000001</v>
      </c>
      <c r="W14">
        <v>15.9</v>
      </c>
      <c r="X14">
        <v>20.5</v>
      </c>
      <c r="Y14">
        <v>20.5</v>
      </c>
      <c r="Z14">
        <v>22.4</v>
      </c>
      <c r="AA14">
        <v>17.399999999999999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31.4</v>
      </c>
      <c r="E15">
        <v>40.299999999999997</v>
      </c>
      <c r="F15">
        <v>37</v>
      </c>
      <c r="G15">
        <v>36.299999999999997</v>
      </c>
      <c r="H15">
        <v>43</v>
      </c>
      <c r="I15">
        <v>27.1</v>
      </c>
      <c r="J15">
        <v>17.8</v>
      </c>
      <c r="K15">
        <v>8.3000000000000007</v>
      </c>
      <c r="L15">
        <v>9</v>
      </c>
      <c r="M15">
        <v>16.899999999999999</v>
      </c>
      <c r="N15">
        <v>17</v>
      </c>
      <c r="O15">
        <v>19</v>
      </c>
      <c r="P15">
        <v>18.3</v>
      </c>
      <c r="Q15">
        <v>17</v>
      </c>
      <c r="R15">
        <v>19.8</v>
      </c>
      <c r="S15">
        <v>17.899999999999999</v>
      </c>
      <c r="T15">
        <v>17.399999999999999</v>
      </c>
      <c r="U15">
        <v>22.1</v>
      </c>
      <c r="V15">
        <v>20.100000000000001</v>
      </c>
      <c r="W15">
        <v>19.899999999999999</v>
      </c>
      <c r="X15">
        <v>21.1</v>
      </c>
      <c r="Y15">
        <v>25.9</v>
      </c>
      <c r="Z15">
        <v>24</v>
      </c>
      <c r="AA15">
        <v>29.9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35.700000000000003</v>
      </c>
      <c r="E16">
        <v>41.3</v>
      </c>
      <c r="F16">
        <v>46.1</v>
      </c>
      <c r="G16">
        <v>36.1</v>
      </c>
      <c r="H16">
        <v>33.200000000000003</v>
      </c>
      <c r="I16">
        <v>24.3</v>
      </c>
      <c r="J16">
        <v>15.2</v>
      </c>
      <c r="K16">
        <v>14</v>
      </c>
      <c r="L16">
        <v>16.7</v>
      </c>
      <c r="M16">
        <v>15.7</v>
      </c>
      <c r="N16">
        <v>15.5</v>
      </c>
      <c r="O16">
        <v>17.3</v>
      </c>
      <c r="P16">
        <v>18</v>
      </c>
      <c r="Q16">
        <v>19.3</v>
      </c>
      <c r="R16">
        <v>18.3</v>
      </c>
      <c r="S16">
        <v>18</v>
      </c>
      <c r="T16">
        <v>18.5</v>
      </c>
      <c r="U16">
        <v>19.5</v>
      </c>
      <c r="V16">
        <v>18</v>
      </c>
      <c r="W16">
        <v>17.7</v>
      </c>
      <c r="X16">
        <v>20.6</v>
      </c>
      <c r="Y16">
        <v>22.9</v>
      </c>
      <c r="Z16">
        <v>26.5</v>
      </c>
      <c r="AA16">
        <v>31.3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32.4</v>
      </c>
      <c r="E17">
        <v>35.299999999999997</v>
      </c>
      <c r="F17">
        <v>35.1</v>
      </c>
      <c r="G17">
        <v>33.799999999999997</v>
      </c>
      <c r="H17">
        <v>42.7</v>
      </c>
      <c r="I17">
        <v>26.6</v>
      </c>
      <c r="J17">
        <v>12.4</v>
      </c>
      <c r="K17">
        <v>17</v>
      </c>
      <c r="L17">
        <v>11.2</v>
      </c>
      <c r="M17">
        <v>19.3</v>
      </c>
      <c r="N17">
        <v>20.2</v>
      </c>
      <c r="O17">
        <v>25.9</v>
      </c>
      <c r="P17">
        <v>19</v>
      </c>
      <c r="Q17">
        <v>19.5</v>
      </c>
      <c r="R17">
        <v>14.6</v>
      </c>
      <c r="S17">
        <v>18.3</v>
      </c>
      <c r="T17">
        <v>18.5</v>
      </c>
      <c r="U17">
        <v>16.8</v>
      </c>
      <c r="V17">
        <v>19.399999999999999</v>
      </c>
      <c r="W17">
        <v>16.899999999999999</v>
      </c>
      <c r="X17">
        <v>20.5</v>
      </c>
      <c r="Y17">
        <v>21</v>
      </c>
      <c r="Z17">
        <v>25.2</v>
      </c>
      <c r="AA17">
        <v>30.4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33.4</v>
      </c>
      <c r="E18">
        <v>41.9</v>
      </c>
      <c r="F18">
        <v>34.6</v>
      </c>
      <c r="G18">
        <v>31.4</v>
      </c>
      <c r="H18">
        <v>29.3</v>
      </c>
      <c r="I18">
        <v>21.3</v>
      </c>
      <c r="J18">
        <v>24.5</v>
      </c>
      <c r="K18">
        <v>21.1</v>
      </c>
      <c r="L18">
        <v>16.2</v>
      </c>
      <c r="M18">
        <v>20.100000000000001</v>
      </c>
      <c r="N18">
        <v>21.2</v>
      </c>
      <c r="O18">
        <v>13.6</v>
      </c>
      <c r="P18">
        <v>23.3</v>
      </c>
      <c r="Q18">
        <v>22.2</v>
      </c>
      <c r="R18">
        <v>20.3</v>
      </c>
      <c r="S18">
        <v>28.3</v>
      </c>
      <c r="T18">
        <v>18.7</v>
      </c>
      <c r="U18">
        <v>23.6</v>
      </c>
      <c r="V18">
        <v>20.5</v>
      </c>
      <c r="W18">
        <v>24.2</v>
      </c>
      <c r="X18">
        <v>39.5</v>
      </c>
      <c r="Y18">
        <v>27.6</v>
      </c>
      <c r="Z18">
        <v>22.2</v>
      </c>
      <c r="AA18">
        <v>34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35.4</v>
      </c>
      <c r="E19">
        <v>35.700000000000003</v>
      </c>
      <c r="F19">
        <v>34.799999999999997</v>
      </c>
      <c r="G19">
        <v>36.1</v>
      </c>
      <c r="H19">
        <v>38.6</v>
      </c>
      <c r="I19">
        <v>26.7</v>
      </c>
      <c r="J19">
        <v>27.2</v>
      </c>
      <c r="K19">
        <v>22.9</v>
      </c>
      <c r="L19">
        <v>25</v>
      </c>
      <c r="M19">
        <v>22.2</v>
      </c>
      <c r="N19">
        <v>35.200000000000003</v>
      </c>
      <c r="O19">
        <v>22.7</v>
      </c>
      <c r="P19">
        <v>22.6</v>
      </c>
      <c r="Q19">
        <v>26</v>
      </c>
      <c r="R19">
        <v>19.600000000000001</v>
      </c>
      <c r="S19">
        <v>23.2</v>
      </c>
      <c r="T19">
        <v>29.5</v>
      </c>
      <c r="U19">
        <v>24.3</v>
      </c>
      <c r="V19">
        <v>24.3</v>
      </c>
      <c r="W19">
        <v>23.5</v>
      </c>
      <c r="X19">
        <v>26.1</v>
      </c>
      <c r="Y19">
        <v>30.9</v>
      </c>
      <c r="Z19">
        <v>23.1</v>
      </c>
      <c r="AA19">
        <v>29.2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35.9</v>
      </c>
      <c r="E20">
        <v>36.9</v>
      </c>
      <c r="F20">
        <v>36.5</v>
      </c>
      <c r="G20">
        <v>39</v>
      </c>
      <c r="H20">
        <v>41.1</v>
      </c>
      <c r="I20">
        <v>24.8</v>
      </c>
      <c r="J20">
        <v>20.100000000000001</v>
      </c>
      <c r="K20">
        <v>15.7</v>
      </c>
      <c r="L20">
        <v>17.8</v>
      </c>
      <c r="M20">
        <v>21.2</v>
      </c>
      <c r="N20">
        <v>13.5</v>
      </c>
      <c r="O20">
        <v>20.2</v>
      </c>
      <c r="P20">
        <v>17.600000000000001</v>
      </c>
      <c r="Q20">
        <v>18.5</v>
      </c>
      <c r="R20">
        <v>18.8</v>
      </c>
      <c r="S20">
        <v>18.899999999999999</v>
      </c>
      <c r="T20">
        <v>25.2</v>
      </c>
      <c r="U20">
        <v>20.2</v>
      </c>
      <c r="V20">
        <v>20.5</v>
      </c>
      <c r="W20">
        <v>22.8</v>
      </c>
      <c r="X20">
        <v>23.5</v>
      </c>
      <c r="Y20">
        <v>23.6</v>
      </c>
      <c r="Z20">
        <v>25.7</v>
      </c>
      <c r="AA20">
        <v>34.4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35.799999999999997</v>
      </c>
      <c r="E21">
        <v>37.1</v>
      </c>
      <c r="F21">
        <v>32.9</v>
      </c>
      <c r="G21">
        <v>36</v>
      </c>
      <c r="H21">
        <v>34.4</v>
      </c>
      <c r="I21">
        <v>24.8</v>
      </c>
      <c r="J21">
        <v>17.100000000000001</v>
      </c>
      <c r="K21">
        <v>18</v>
      </c>
      <c r="L21">
        <v>10.3</v>
      </c>
      <c r="M21">
        <v>13.7</v>
      </c>
      <c r="N21">
        <v>18.600000000000001</v>
      </c>
      <c r="O21">
        <v>23.6</v>
      </c>
      <c r="P21">
        <v>18.7</v>
      </c>
      <c r="Q21">
        <v>18.3</v>
      </c>
      <c r="R21">
        <v>22.4</v>
      </c>
      <c r="S21">
        <v>17.8</v>
      </c>
      <c r="T21">
        <v>18</v>
      </c>
      <c r="U21">
        <v>17.3</v>
      </c>
      <c r="V21">
        <v>18.899999999999999</v>
      </c>
      <c r="W21">
        <v>20.399999999999999</v>
      </c>
      <c r="X21">
        <v>18.8</v>
      </c>
      <c r="Y21">
        <v>24.7</v>
      </c>
      <c r="Z21">
        <v>22.7</v>
      </c>
      <c r="AA21">
        <v>35.1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35.200000000000003</v>
      </c>
      <c r="E22">
        <v>37.1</v>
      </c>
      <c r="F22">
        <v>37.299999999999997</v>
      </c>
      <c r="G22">
        <v>41.3</v>
      </c>
      <c r="H22">
        <v>26.2</v>
      </c>
      <c r="I22">
        <v>19.2</v>
      </c>
      <c r="J22">
        <v>18.3</v>
      </c>
      <c r="K22">
        <v>17.899999999999999</v>
      </c>
      <c r="L22">
        <v>17.5</v>
      </c>
      <c r="M22">
        <v>18.8</v>
      </c>
      <c r="N22">
        <v>18.8</v>
      </c>
      <c r="O22">
        <v>18.8</v>
      </c>
      <c r="P22">
        <v>22.1</v>
      </c>
      <c r="Q22">
        <v>19.3</v>
      </c>
      <c r="R22">
        <v>16</v>
      </c>
      <c r="S22">
        <v>16.8</v>
      </c>
      <c r="T22">
        <v>18.7</v>
      </c>
      <c r="U22">
        <v>19.5</v>
      </c>
      <c r="V22">
        <v>20.100000000000001</v>
      </c>
      <c r="W22">
        <v>21.4</v>
      </c>
      <c r="X22">
        <v>25.3</v>
      </c>
      <c r="Y22">
        <v>22.5</v>
      </c>
      <c r="Z22">
        <v>20.7</v>
      </c>
      <c r="AA22">
        <v>33.9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31.4</v>
      </c>
      <c r="E23">
        <v>29.3</v>
      </c>
      <c r="F23">
        <v>33.5</v>
      </c>
      <c r="G23">
        <v>32.299999999999997</v>
      </c>
      <c r="H23">
        <v>31.2</v>
      </c>
      <c r="I23">
        <v>20.6</v>
      </c>
      <c r="J23">
        <v>19.600000000000001</v>
      </c>
      <c r="K23">
        <v>12.6</v>
      </c>
      <c r="L23">
        <v>11.4</v>
      </c>
      <c r="M23">
        <v>18.100000000000001</v>
      </c>
      <c r="N23">
        <v>20.7</v>
      </c>
      <c r="O23">
        <v>21.3</v>
      </c>
      <c r="P23">
        <v>18</v>
      </c>
      <c r="Q23">
        <v>17.2</v>
      </c>
      <c r="R23">
        <v>19.5</v>
      </c>
      <c r="S23">
        <v>20.399999999999999</v>
      </c>
      <c r="T23">
        <v>17.600000000000001</v>
      </c>
      <c r="U23">
        <v>19</v>
      </c>
      <c r="V23">
        <v>18</v>
      </c>
      <c r="W23">
        <v>16.399999999999999</v>
      </c>
      <c r="X23">
        <v>24.9</v>
      </c>
      <c r="Y23">
        <v>19.100000000000001</v>
      </c>
      <c r="Z23">
        <v>26.7</v>
      </c>
      <c r="AA23">
        <v>31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33.700000000000003</v>
      </c>
      <c r="E24">
        <v>31.1</v>
      </c>
      <c r="F24">
        <v>40.299999999999997</v>
      </c>
      <c r="G24">
        <v>38.9</v>
      </c>
      <c r="H24">
        <v>36.6</v>
      </c>
      <c r="I24">
        <v>24.9</v>
      </c>
      <c r="J24">
        <v>20</v>
      </c>
      <c r="K24">
        <v>17.100000000000001</v>
      </c>
      <c r="L24">
        <v>8.9</v>
      </c>
      <c r="M24">
        <v>15.2</v>
      </c>
      <c r="N24">
        <v>20</v>
      </c>
      <c r="O24">
        <v>22.2</v>
      </c>
      <c r="P24">
        <v>18.399999999999999</v>
      </c>
      <c r="Q24">
        <v>18.2</v>
      </c>
      <c r="R24">
        <v>18.600000000000001</v>
      </c>
      <c r="S24">
        <v>18</v>
      </c>
      <c r="T24">
        <v>18.7</v>
      </c>
      <c r="U24">
        <v>18.7</v>
      </c>
      <c r="V24">
        <v>18.899999999999999</v>
      </c>
      <c r="W24">
        <v>18.100000000000001</v>
      </c>
      <c r="X24">
        <v>20.9</v>
      </c>
      <c r="Y24">
        <v>23.7</v>
      </c>
      <c r="Z24">
        <v>20.7</v>
      </c>
      <c r="AA24">
        <v>29.3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27.8</v>
      </c>
      <c r="E25">
        <v>40.5</v>
      </c>
      <c r="F25">
        <v>39.799999999999997</v>
      </c>
      <c r="G25">
        <v>35.9</v>
      </c>
      <c r="H25">
        <v>43.4</v>
      </c>
      <c r="I25">
        <v>30.5</v>
      </c>
      <c r="J25">
        <v>21.9</v>
      </c>
      <c r="K25">
        <v>23.8</v>
      </c>
      <c r="L25">
        <v>17.899999999999999</v>
      </c>
      <c r="M25">
        <v>23.9</v>
      </c>
      <c r="N25">
        <v>19.100000000000001</v>
      </c>
      <c r="O25">
        <v>17.899999999999999</v>
      </c>
      <c r="P25">
        <v>18.100000000000001</v>
      </c>
      <c r="Q25">
        <v>23.2</v>
      </c>
      <c r="R25">
        <v>28.2</v>
      </c>
      <c r="S25">
        <v>21.9</v>
      </c>
      <c r="T25">
        <v>19.600000000000001</v>
      </c>
      <c r="U25">
        <v>16.7</v>
      </c>
      <c r="V25">
        <v>24</v>
      </c>
      <c r="X25">
        <v>21.6</v>
      </c>
      <c r="Y25">
        <v>18.600000000000001</v>
      </c>
      <c r="Z25">
        <v>16.899999999999999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32.299999999999997</v>
      </c>
      <c r="E26">
        <v>34</v>
      </c>
      <c r="F26">
        <v>35.1</v>
      </c>
      <c r="G26">
        <v>36.4</v>
      </c>
      <c r="H26">
        <v>37.9</v>
      </c>
      <c r="I26">
        <v>25.7</v>
      </c>
      <c r="J26">
        <v>26.7</v>
      </c>
      <c r="K26">
        <v>22.8</v>
      </c>
      <c r="L26">
        <v>25.8</v>
      </c>
      <c r="M26">
        <v>23.9</v>
      </c>
      <c r="N26">
        <v>22.5</v>
      </c>
      <c r="O26">
        <v>24.5</v>
      </c>
      <c r="P26">
        <v>19.399999999999999</v>
      </c>
      <c r="Q26">
        <v>21.3</v>
      </c>
      <c r="R26">
        <v>17.399999999999999</v>
      </c>
      <c r="S26">
        <v>17</v>
      </c>
      <c r="T26">
        <v>24.2</v>
      </c>
      <c r="U26">
        <v>21.1</v>
      </c>
      <c r="V26">
        <v>24.2</v>
      </c>
      <c r="W26">
        <v>26.4</v>
      </c>
      <c r="X26">
        <v>28.5</v>
      </c>
      <c r="Y26">
        <v>24</v>
      </c>
      <c r="Z26">
        <v>33.9</v>
      </c>
      <c r="AA26">
        <v>30.4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27.1</v>
      </c>
      <c r="E27">
        <v>34.1</v>
      </c>
      <c r="F27">
        <v>43.3</v>
      </c>
      <c r="G27">
        <v>40.1</v>
      </c>
      <c r="H27">
        <v>33.700000000000003</v>
      </c>
      <c r="I27">
        <v>20.3</v>
      </c>
      <c r="J27">
        <v>17.100000000000001</v>
      </c>
      <c r="K27">
        <v>16.5</v>
      </c>
      <c r="L27">
        <v>16.2</v>
      </c>
      <c r="M27">
        <v>17.3</v>
      </c>
      <c r="N27">
        <v>20.6</v>
      </c>
      <c r="O27">
        <v>16.899999999999999</v>
      </c>
      <c r="P27">
        <v>18.600000000000001</v>
      </c>
      <c r="Q27">
        <v>19.399999999999999</v>
      </c>
      <c r="R27">
        <v>20.7</v>
      </c>
      <c r="S27">
        <v>19.3</v>
      </c>
      <c r="T27">
        <v>15.1</v>
      </c>
      <c r="U27">
        <v>15.7</v>
      </c>
      <c r="V27">
        <v>16.600000000000001</v>
      </c>
      <c r="W27">
        <v>15</v>
      </c>
      <c r="X27">
        <v>23</v>
      </c>
      <c r="Y27">
        <v>19.899999999999999</v>
      </c>
      <c r="Z27">
        <v>18</v>
      </c>
      <c r="AA27">
        <v>29.8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32.299999999999997</v>
      </c>
      <c r="E28">
        <v>38.6</v>
      </c>
      <c r="F28">
        <v>34.700000000000003</v>
      </c>
      <c r="G28">
        <v>40.1</v>
      </c>
      <c r="H28">
        <v>24.9</v>
      </c>
      <c r="I28">
        <v>23.8</v>
      </c>
      <c r="J28">
        <v>15.8</v>
      </c>
      <c r="K28">
        <v>8.6999999999999993</v>
      </c>
      <c r="L28">
        <v>12</v>
      </c>
      <c r="M28">
        <v>16.899999999999999</v>
      </c>
      <c r="N28">
        <v>15.7</v>
      </c>
      <c r="O28">
        <v>16.100000000000001</v>
      </c>
      <c r="P28">
        <v>17.399999999999999</v>
      </c>
      <c r="Q28">
        <v>17.100000000000001</v>
      </c>
      <c r="R28">
        <v>16.899999999999999</v>
      </c>
      <c r="S28">
        <v>19.3</v>
      </c>
      <c r="T28">
        <v>23.1</v>
      </c>
      <c r="U28">
        <v>16.8</v>
      </c>
      <c r="V28">
        <v>14.9</v>
      </c>
      <c r="W28">
        <v>18.899999999999999</v>
      </c>
      <c r="X28">
        <v>22</v>
      </c>
      <c r="Y28">
        <v>25.3</v>
      </c>
      <c r="Z28">
        <v>22.1</v>
      </c>
      <c r="AA28">
        <v>34.700000000000003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30.7</v>
      </c>
      <c r="E29">
        <v>38</v>
      </c>
      <c r="F29">
        <v>44.4</v>
      </c>
      <c r="G29">
        <v>37.700000000000003</v>
      </c>
      <c r="H29">
        <v>30.6</v>
      </c>
      <c r="I29">
        <v>19.3</v>
      </c>
      <c r="J29">
        <v>18.2</v>
      </c>
      <c r="K29">
        <v>11.7</v>
      </c>
      <c r="L29">
        <v>7.6</v>
      </c>
      <c r="M29">
        <v>16.8</v>
      </c>
      <c r="N29">
        <v>16.399999999999999</v>
      </c>
      <c r="O29">
        <v>20.100000000000001</v>
      </c>
      <c r="P29">
        <v>20</v>
      </c>
      <c r="Q29">
        <v>15.3</v>
      </c>
      <c r="R29">
        <v>15.8</v>
      </c>
      <c r="S29">
        <v>15.2</v>
      </c>
      <c r="T29">
        <v>17.899999999999999</v>
      </c>
      <c r="U29">
        <v>17.2</v>
      </c>
      <c r="V29">
        <v>18.600000000000001</v>
      </c>
      <c r="W29">
        <v>20.2</v>
      </c>
      <c r="X29">
        <v>21.4</v>
      </c>
      <c r="Y29">
        <v>26.7</v>
      </c>
      <c r="Z29">
        <v>24.2</v>
      </c>
      <c r="AA29">
        <v>26.5</v>
      </c>
    </row>
    <row r="31" spans="1:27" x14ac:dyDescent="0.25">
      <c r="C31">
        <v>1</v>
      </c>
      <c r="D31">
        <f t="array" ref="D31">MEDIAN(IF($C$3:$C$29=$C31,D$3:D$29,""))</f>
        <v>34.700000000000003</v>
      </c>
      <c r="E31">
        <f t="array" ref="E31">MEDIAN(IF($C$3:$C$29=$C31,E$3:E$29,""))</f>
        <v>35.549999999999997</v>
      </c>
      <c r="F31">
        <f t="array" ref="F31">MEDIAN(IF($C$3:$C$29=$C31,F$3:F$29,""))</f>
        <v>34.950000000000003</v>
      </c>
      <c r="G31">
        <f t="array" ref="G31">MEDIAN(IF($C$3:$C$29=$C31,G$3:G$29,""))</f>
        <v>35.75</v>
      </c>
      <c r="H31">
        <f t="array" ref="H31">MEDIAN(IF($C$3:$C$29=$C31,H$3:H$29,""))</f>
        <v>37</v>
      </c>
      <c r="I31">
        <f t="array" ref="I31">MEDIAN(IF($C$3:$C$29=$C31,I$3:I$29,""))</f>
        <v>26.2</v>
      </c>
      <c r="J31">
        <f t="array" ref="J31">MEDIAN(IF($C$3:$C$29=$C31,J$3:J$29,""))</f>
        <v>26.95</v>
      </c>
      <c r="K31">
        <f t="array" ref="K31">MEDIAN(IF($C$3:$C$29=$C31,K$3:K$29,""))</f>
        <v>23.549999999999997</v>
      </c>
      <c r="L31">
        <f t="array" ref="L31">MEDIAN(IF($C$3:$C$29=$C31,L$3:L$29,""))</f>
        <v>24.9</v>
      </c>
      <c r="M31">
        <f t="array" ref="M31">MEDIAN(IF($C$3:$C$29=$C31,M$3:M$29,""))</f>
        <v>23.049999999999997</v>
      </c>
      <c r="N31">
        <f t="array" ref="N31">MEDIAN(IF($C$3:$C$29=$C31,N$3:N$29,""))</f>
        <v>23.25</v>
      </c>
      <c r="O31">
        <f t="array" ref="O31">MEDIAN(IF($C$3:$C$29=$C31,O$3:O$29,""))</f>
        <v>24.4</v>
      </c>
      <c r="P31">
        <f t="array" ref="P31">MEDIAN(IF($C$3:$C$29=$C31,P$3:P$29,""))</f>
        <v>22.25</v>
      </c>
      <c r="Q31">
        <f t="array" ref="Q31">MEDIAN(IF($C$3:$C$29=$C31,Q$3:Q$29,""))</f>
        <v>21.35</v>
      </c>
      <c r="R31">
        <f t="array" ref="R31">MEDIAN(IF($C$3:$C$29=$C31,R$3:R$29,""))</f>
        <v>19.5</v>
      </c>
      <c r="S31">
        <f t="array" ref="S31">MEDIAN(IF($C$3:$C$29=$C31,S$3:S$29,""))</f>
        <v>24.2</v>
      </c>
      <c r="T31">
        <f t="array" ref="T31">MEDIAN(IF($C$3:$C$29=$C31,T$3:T$29,""))</f>
        <v>26.6</v>
      </c>
      <c r="U31">
        <f t="array" ref="U31">MEDIAN(IF($C$3:$C$29=$C31,U$3:U$29,""))</f>
        <v>23.55</v>
      </c>
      <c r="V31">
        <f t="array" ref="V31">MEDIAN(IF($C$3:$C$29=$C31,V$3:V$29,""))</f>
        <v>24.25</v>
      </c>
      <c r="W31">
        <f t="array" ref="W31">MEDIAN(IF($C$3:$C$29=$C31,W$3:W$29,""))</f>
        <v>23.6</v>
      </c>
      <c r="X31">
        <f t="array" ref="X31">MEDIAN(IF($C$3:$C$29=$C31,X$3:X$29,""))</f>
        <v>27.3</v>
      </c>
      <c r="Y31">
        <f t="array" ref="Y31">MEDIAN(IF($C$3:$C$29=$C31,Y$3:Y$29,""))</f>
        <v>25.1</v>
      </c>
      <c r="Z31">
        <f t="array" ref="Z31">MEDIAN(IF($C$3:$C$29=$C31,Z$3:Z$29,""))</f>
        <v>29.700000000000003</v>
      </c>
      <c r="AA31">
        <f t="array" ref="AA31">MEDIAN(IF($C$3:$C$29=$C31,AA$3:AA$29,""))</f>
        <v>29.799999999999997</v>
      </c>
    </row>
    <row r="32" spans="1:27" x14ac:dyDescent="0.25">
      <c r="C32">
        <v>2</v>
      </c>
      <c r="D32">
        <f t="array" ref="D32">MEDIAN(IF($C$3:$C$29=$C32,D$3:D$29,""))</f>
        <v>30.6</v>
      </c>
      <c r="E32">
        <f t="array" ref="E32">MEDIAN(IF($C$3:$C$29=$C32,E$3:E$29,""))</f>
        <v>38.549999999999997</v>
      </c>
      <c r="F32">
        <f t="array" ref="F32">MEDIAN(IF($C$3:$C$29=$C32,F$3:F$29,""))</f>
        <v>36.450000000000003</v>
      </c>
      <c r="G32">
        <f t="array" ref="G32">MEDIAN(IF($C$3:$C$29=$C32,G$3:G$29,""))</f>
        <v>32.799999999999997</v>
      </c>
      <c r="H32">
        <f t="array" ref="H32">MEDIAN(IF($C$3:$C$29=$C32,H$3:H$29,""))</f>
        <v>35.75</v>
      </c>
      <c r="I32">
        <f t="array" ref="I32">MEDIAN(IF($C$3:$C$29=$C32,I$3:I$29,""))</f>
        <v>28.85</v>
      </c>
      <c r="J32">
        <f t="array" ref="J32">MEDIAN(IF($C$3:$C$29=$C32,J$3:J$29,""))</f>
        <v>22.450000000000003</v>
      </c>
      <c r="K32">
        <f t="array" ref="K32">MEDIAN(IF($C$3:$C$29=$C32,K$3:K$29,""))</f>
        <v>22.450000000000003</v>
      </c>
      <c r="L32">
        <f t="array" ref="L32">MEDIAN(IF($C$3:$C$29=$C32,L$3:L$29,""))</f>
        <v>21</v>
      </c>
      <c r="M32">
        <f t="array" ref="M32">MEDIAN(IF($C$3:$C$29=$C32,M$3:M$29,""))</f>
        <v>20.9</v>
      </c>
      <c r="N32">
        <f t="array" ref="N32">MEDIAN(IF($C$3:$C$29=$C32,N$3:N$29,""))</f>
        <v>19.8</v>
      </c>
      <c r="O32">
        <f t="array" ref="O32">MEDIAN(IF($C$3:$C$29=$C32,O$3:O$29,""))</f>
        <v>18.799999999999997</v>
      </c>
      <c r="P32">
        <f t="array" ref="P32">MEDIAN(IF($C$3:$C$29=$C32,P$3:P$29,""))</f>
        <v>21.55</v>
      </c>
      <c r="Q32">
        <f t="array" ref="Q32">MEDIAN(IF($C$3:$C$29=$C32,Q$3:Q$29,""))</f>
        <v>21.6</v>
      </c>
      <c r="R32">
        <f t="array" ref="R32">MEDIAN(IF($C$3:$C$29=$C32,R$3:R$29,""))</f>
        <v>19.850000000000001</v>
      </c>
      <c r="S32">
        <f t="array" ref="S32">MEDIAN(IF($C$3:$C$29=$C32,S$3:S$29,""))</f>
        <v>23.45</v>
      </c>
      <c r="T32">
        <f t="array" ref="T32">MEDIAN(IF($C$3:$C$29=$C32,T$3:T$29,""))</f>
        <v>19.5</v>
      </c>
      <c r="U32">
        <f t="array" ref="U32">MEDIAN(IF($C$3:$C$29=$C32,U$3:U$29,""))</f>
        <v>22.3</v>
      </c>
      <c r="V32">
        <f t="array" ref="V32">MEDIAN(IF($C$3:$C$29=$C32,V$3:V$29,""))</f>
        <v>20.9</v>
      </c>
      <c r="W32">
        <f t="array" ref="W32">MEDIAN(IF($C$3:$C$29=$C32,W$3:W$29,""))</f>
        <v>23.65</v>
      </c>
      <c r="X32">
        <f t="array" ref="X32">MEDIAN(IF($C$3:$C$29=$C32,X$3:X$29,""))</f>
        <v>21.5</v>
      </c>
      <c r="Y32">
        <f t="array" ref="Y32">MEDIAN(IF($C$3:$C$29=$C32,Y$3:Y$29,""))</f>
        <v>26.8</v>
      </c>
      <c r="Z32">
        <f t="array" ref="Z32">MEDIAN(IF($C$3:$C$29=$C32,Z$3:Z$29,""))</f>
        <v>24.5</v>
      </c>
      <c r="AA32">
        <f t="array" ref="AA32">MEDIAN(IF($C$3:$C$29=$C32,AA$3:AA$29,""))</f>
        <v>35.299999999999997</v>
      </c>
    </row>
    <row r="33" spans="3:27" x14ac:dyDescent="0.25">
      <c r="C33">
        <v>3</v>
      </c>
      <c r="D33">
        <f t="array" ref="D33">MEDIAN(IF($C$3:$C$29=$C33,D$3:D$29,""))</f>
        <v>32.25</v>
      </c>
      <c r="E33">
        <f t="array" ref="E33">MEDIAN(IF($C$3:$C$29=$C33,E$3:E$29,""))</f>
        <v>36.9</v>
      </c>
      <c r="F33">
        <f t="array" ref="F33">MEDIAN(IF($C$3:$C$29=$C33,F$3:F$29,""))</f>
        <v>37.849999999999994</v>
      </c>
      <c r="G33">
        <f t="array" ref="G33">MEDIAN(IF($C$3:$C$29=$C33,G$3:G$29,""))</f>
        <v>38.950000000000003</v>
      </c>
      <c r="H33">
        <f t="array" ref="H33">MEDIAN(IF($C$3:$C$29=$C33,H$3:H$29,""))</f>
        <v>30.900000000000002</v>
      </c>
      <c r="I33">
        <f t="array" ref="I33">MEDIAN(IF($C$3:$C$29=$C33,I$3:I$29,""))</f>
        <v>22.6</v>
      </c>
      <c r="J33">
        <f t="array" ref="J33">MEDIAN(IF($C$3:$C$29=$C33,J$3:J$29,""))</f>
        <v>18.25</v>
      </c>
      <c r="K33">
        <f t="array" ref="K33">MEDIAN(IF($C$3:$C$29=$C33,K$3:K$29,""))</f>
        <v>16.100000000000001</v>
      </c>
      <c r="L33">
        <f t="array" ref="L33">MEDIAN(IF($C$3:$C$29=$C33,L$3:L$29,""))</f>
        <v>13.8</v>
      </c>
      <c r="M33">
        <f t="array" ref="M33">MEDIAN(IF($C$3:$C$29=$C33,M$3:M$29,""))</f>
        <v>17.600000000000001</v>
      </c>
      <c r="N33">
        <f t="array" ref="N33">MEDIAN(IF($C$3:$C$29=$C33,N$3:N$29,""))</f>
        <v>19.350000000000001</v>
      </c>
      <c r="O33">
        <f t="array" ref="O33">MEDIAN(IF($C$3:$C$29=$C33,O$3:O$29,""))</f>
        <v>19.049999999999997</v>
      </c>
      <c r="P33">
        <f t="array" ref="P33">MEDIAN(IF($C$3:$C$29=$C33,P$3:P$29,""))</f>
        <v>18.100000000000001</v>
      </c>
      <c r="Q33">
        <f t="array" ref="Q33">MEDIAN(IF($C$3:$C$29=$C33,Q$3:Q$29,""))</f>
        <v>18.5</v>
      </c>
      <c r="R33">
        <f t="array" ref="R33">MEDIAN(IF($C$3:$C$29=$C33,R$3:R$29,""))</f>
        <v>18.149999999999999</v>
      </c>
      <c r="S33">
        <f t="array" ref="S33">MEDIAN(IF($C$3:$C$29=$C33,S$3:S$29,""))</f>
        <v>19.25</v>
      </c>
      <c r="T33">
        <f t="array" ref="T33">MEDIAN(IF($C$3:$C$29=$C33,T$3:T$29,""))</f>
        <v>18.600000000000001</v>
      </c>
      <c r="U33">
        <f t="array" ref="U33">MEDIAN(IF($C$3:$C$29=$C33,U$3:U$29,""))</f>
        <v>18.8</v>
      </c>
      <c r="V33">
        <f t="array" ref="V33">MEDIAN(IF($C$3:$C$29=$C33,V$3:V$29,""))</f>
        <v>18.899999999999999</v>
      </c>
      <c r="W33">
        <f t="array" ref="W33">MEDIAN(IF($C$3:$C$29=$C33,W$3:W$29,""))</f>
        <v>19.299999999999997</v>
      </c>
      <c r="X33">
        <f t="array" ref="X33">MEDIAN(IF($C$3:$C$29=$C33,X$3:X$29,""))</f>
        <v>23.25</v>
      </c>
      <c r="Y33">
        <f t="array" ref="Y33">MEDIAN(IF($C$3:$C$29=$C33,Y$3:Y$29,""))</f>
        <v>22.700000000000003</v>
      </c>
      <c r="Z33">
        <f t="array" ref="Z33">MEDIAN(IF($C$3:$C$29=$C33,Z$3:Z$29,""))</f>
        <v>23.9</v>
      </c>
      <c r="AA33">
        <f t="array" ref="AA33">MEDIAN(IF($C$3:$C$29=$C33,AA$3:AA$29,""))</f>
        <v>29.25</v>
      </c>
    </row>
    <row r="34" spans="3:27" x14ac:dyDescent="0.25">
      <c r="C34">
        <v>4</v>
      </c>
      <c r="D34">
        <f t="array" ref="D34">MEDIAN(IF($C$3:$C$29=$C34,D$3:D$29,""))</f>
        <v>33.200000000000003</v>
      </c>
      <c r="E34">
        <f t="array" ref="E34">MEDIAN(IF($C$3:$C$29=$C34,E$3:E$29,""))</f>
        <v>39.200000000000003</v>
      </c>
      <c r="F34">
        <f t="array" ref="F34">MEDIAN(IF($C$3:$C$29=$C34,F$3:F$29,""))</f>
        <v>34.75</v>
      </c>
      <c r="G34">
        <f t="array" ref="G34">MEDIAN(IF($C$3:$C$29=$C34,G$3:G$29,""))</f>
        <v>38.099999999999994</v>
      </c>
      <c r="H34">
        <f t="array" ref="H34">MEDIAN(IF($C$3:$C$29=$C34,H$3:H$29,""))</f>
        <v>30.65</v>
      </c>
      <c r="I34">
        <f t="array" ref="I34">MEDIAN(IF($C$3:$C$29=$C34,I$3:I$29,""))</f>
        <v>25.4</v>
      </c>
      <c r="J34">
        <f t="array" ref="J34">MEDIAN(IF($C$3:$C$29=$C34,J$3:J$29,""))</f>
        <v>16.450000000000003</v>
      </c>
      <c r="K34">
        <f t="array" ref="K34">MEDIAN(IF($C$3:$C$29=$C34,K$3:K$29,""))</f>
        <v>15</v>
      </c>
      <c r="L34">
        <f t="array" ref="L34">MEDIAN(IF($C$3:$C$29=$C34,L$3:L$29,""))</f>
        <v>8.9499999999999993</v>
      </c>
      <c r="M34">
        <f t="array" ref="M34">MEDIAN(IF($C$3:$C$29=$C34,M$3:M$29,""))</f>
        <v>15.299999999999999</v>
      </c>
      <c r="N34">
        <f t="array" ref="N34">MEDIAN(IF($C$3:$C$29=$C34,N$3:N$29,""))</f>
        <v>17.149999999999999</v>
      </c>
      <c r="O34">
        <f t="array" ref="O34">MEDIAN(IF($C$3:$C$29=$C34,O$3:O$29,""))</f>
        <v>16.950000000000003</v>
      </c>
      <c r="P34">
        <f t="array" ref="P34">MEDIAN(IF($C$3:$C$29=$C34,P$3:P$29,""))</f>
        <v>18.049999999999997</v>
      </c>
      <c r="Q34">
        <f t="array" ref="Q34">MEDIAN(IF($C$3:$C$29=$C34,Q$3:Q$29,""))</f>
        <v>18.5</v>
      </c>
      <c r="R34">
        <f t="array" ref="R34">MEDIAN(IF($C$3:$C$29=$C34,R$3:R$29,""))</f>
        <v>19.45</v>
      </c>
      <c r="S34">
        <f t="array" ref="S34">MEDIAN(IF($C$3:$C$29=$C34,S$3:S$29,""))</f>
        <v>18.55</v>
      </c>
      <c r="T34">
        <f t="array" ref="T34">MEDIAN(IF($C$3:$C$29=$C34,T$3:T$29,""))</f>
        <v>20.55</v>
      </c>
      <c r="U34">
        <f t="array" ref="U34">MEDIAN(IF($C$3:$C$29=$C34,U$3:U$29,""))</f>
        <v>17.149999999999999</v>
      </c>
      <c r="V34">
        <f t="array" ref="V34">MEDIAN(IF($C$3:$C$29=$C34,V$3:V$29,""))</f>
        <v>17.850000000000001</v>
      </c>
      <c r="W34">
        <f t="array" ref="W34">MEDIAN(IF($C$3:$C$29=$C34,W$3:W$29,""))</f>
        <v>19</v>
      </c>
      <c r="X34">
        <f t="array" ref="X34">MEDIAN(IF($C$3:$C$29=$C34,X$3:X$29,""))</f>
        <v>21.25</v>
      </c>
      <c r="Y34">
        <f t="array" ref="Y34">MEDIAN(IF($C$3:$C$29=$C34,Y$3:Y$29,""))</f>
        <v>25</v>
      </c>
      <c r="Z34">
        <f t="array" ref="Z34">MEDIAN(IF($C$3:$C$29=$C34,Z$3:Z$29,""))</f>
        <v>22.549999999999997</v>
      </c>
      <c r="AA34">
        <f t="array" ref="AA34">MEDIAN(IF($C$3:$C$29=$C34,AA$3:AA$29,""))</f>
        <v>31.950000000000003</v>
      </c>
    </row>
    <row r="35" spans="3:27" x14ac:dyDescent="0.25">
      <c r="C35">
        <v>5</v>
      </c>
      <c r="D35">
        <f t="array" ref="D35">MEDIAN(IF($C$3:$C$29=$C35,D$3:D$29,""))</f>
        <v>33.299999999999997</v>
      </c>
      <c r="E35">
        <f t="array" ref="E35">MEDIAN(IF($C$3:$C$29=$C35,E$3:E$29,""))</f>
        <v>37.549999999999997</v>
      </c>
      <c r="F35">
        <f t="array" ref="F35">MEDIAN(IF($C$3:$C$29=$C35,F$3:F$29,""))</f>
        <v>40.849999999999994</v>
      </c>
      <c r="G35">
        <f t="array" ref="G35">MEDIAN(IF($C$3:$C$29=$C35,G$3:G$29,""))</f>
        <v>39.5</v>
      </c>
      <c r="H35">
        <f t="array" ref="H35">MEDIAN(IF($C$3:$C$29=$C35,H$3:H$29,""))</f>
        <v>31.95</v>
      </c>
      <c r="I35">
        <f t="array" ref="I35">MEDIAN(IF($C$3:$C$29=$C35,I$3:I$29,""))</f>
        <v>22.9</v>
      </c>
      <c r="J35">
        <f t="array" ref="J35">MEDIAN(IF($C$3:$C$29=$C35,J$3:J$29,""))</f>
        <v>18.25</v>
      </c>
      <c r="K35">
        <f t="array" ref="K35">MEDIAN(IF($C$3:$C$29=$C35,K$3:K$29,""))</f>
        <v>10.1</v>
      </c>
      <c r="L35">
        <f t="array" ref="L35">MEDIAN(IF($C$3:$C$29=$C35,L$3:L$29,""))</f>
        <v>10.5</v>
      </c>
      <c r="M35">
        <f t="array" ref="M35">MEDIAN(IF($C$3:$C$29=$C35,M$3:M$29,""))</f>
        <v>17.25</v>
      </c>
      <c r="N35">
        <f t="array" ref="N35">MEDIAN(IF($C$3:$C$29=$C35,N$3:N$29,""))</f>
        <v>17</v>
      </c>
      <c r="O35">
        <f t="array" ref="O35">MEDIAN(IF($C$3:$C$29=$C35,O$3:O$29,""))</f>
        <v>18.899999999999999</v>
      </c>
      <c r="P35">
        <f t="array" ref="P35">MEDIAN(IF($C$3:$C$29=$C35,P$3:P$29,""))</f>
        <v>19.2</v>
      </c>
      <c r="Q35">
        <f t="array" ref="Q35">MEDIAN(IF($C$3:$C$29=$C35,Q$3:Q$29,""))</f>
        <v>17.3</v>
      </c>
      <c r="R35">
        <f t="array" ref="R35">MEDIAN(IF($C$3:$C$29=$C35,R$3:R$29,""))</f>
        <v>16.149999999999999</v>
      </c>
      <c r="S35">
        <f t="array" ref="S35">MEDIAN(IF($C$3:$C$29=$C35,S$3:S$29,""))</f>
        <v>16.850000000000001</v>
      </c>
      <c r="T35">
        <f t="array" ref="T35">MEDIAN(IF($C$3:$C$29=$C35,T$3:T$29,""))</f>
        <v>17.899999999999999</v>
      </c>
      <c r="U35">
        <f t="array" ref="U35">MEDIAN(IF($C$3:$C$29=$C35,U$3:U$29,""))</f>
        <v>18.350000000000001</v>
      </c>
      <c r="V35">
        <f t="array" ref="V35">MEDIAN(IF($C$3:$C$29=$C35,V$3:V$29,""))</f>
        <v>19.350000000000001</v>
      </c>
      <c r="W35">
        <f t="array" ref="W35">MEDIAN(IF($C$3:$C$29=$C35,W$3:W$29,""))</f>
        <v>20.049999999999997</v>
      </c>
      <c r="X35">
        <f t="array" ref="X35">MEDIAN(IF($C$3:$C$29=$C35,X$3:X$29,""))</f>
        <v>21.25</v>
      </c>
      <c r="Y35">
        <f t="array" ref="Y35">MEDIAN(IF($C$3:$C$29=$C35,Y$3:Y$29,""))</f>
        <v>24.7</v>
      </c>
      <c r="Z35">
        <f t="array" ref="Z35">MEDIAN(IF($C$3:$C$29=$C35,Z$3:Z$29,""))</f>
        <v>24.1</v>
      </c>
      <c r="AA35">
        <f t="array" ref="AA35">MEDIAN(IF($C$3:$C$29=$C35,AA$3:AA$29,""))</f>
        <v>28.2</v>
      </c>
    </row>
    <row r="36" spans="3:27" x14ac:dyDescent="0.25">
      <c r="C36">
        <v>6</v>
      </c>
      <c r="D36">
        <f t="array" ref="D36">MEDIAN(IF($C$3:$C$29=$C36,D$3:D$29,""))</f>
        <v>31.4</v>
      </c>
      <c r="E36">
        <f t="array" ref="E36">MEDIAN(IF($C$3:$C$29=$C36,E$3:E$29,""))</f>
        <v>38.700000000000003</v>
      </c>
      <c r="F36">
        <f t="array" ref="F36">MEDIAN(IF($C$3:$C$29=$C36,F$3:F$29,""))</f>
        <v>38.299999999999997</v>
      </c>
      <c r="G36">
        <f t="array" ref="G36">MEDIAN(IF($C$3:$C$29=$C36,G$3:G$29,""))</f>
        <v>36.1</v>
      </c>
      <c r="H36">
        <f t="array" ref="H36">MEDIAN(IF($C$3:$C$29=$C36,H$3:H$29,""))</f>
        <v>33.200000000000003</v>
      </c>
      <c r="I36">
        <f t="array" ref="I36">MEDIAN(IF($C$3:$C$29=$C36,I$3:I$29,""))</f>
        <v>24.3</v>
      </c>
      <c r="J36">
        <f t="array" ref="J36">MEDIAN(IF($C$3:$C$29=$C36,J$3:J$29,""))</f>
        <v>17.5</v>
      </c>
      <c r="K36">
        <f t="array" ref="K36">MEDIAN(IF($C$3:$C$29=$C36,K$3:K$29,""))</f>
        <v>12.6</v>
      </c>
      <c r="L36">
        <f t="array" ref="L36">MEDIAN(IF($C$3:$C$29=$C36,L$3:L$29,""))</f>
        <v>11.4</v>
      </c>
      <c r="M36">
        <f t="array" ref="M36">MEDIAN(IF($C$3:$C$29=$C36,M$3:M$29,""))</f>
        <v>15.7</v>
      </c>
      <c r="N36">
        <f t="array" ref="N36">MEDIAN(IF($C$3:$C$29=$C36,N$3:N$29,""))</f>
        <v>18.600000000000001</v>
      </c>
      <c r="O36">
        <f t="array" ref="O36">MEDIAN(IF($C$3:$C$29=$C36,O$3:O$29,""))</f>
        <v>17.3</v>
      </c>
      <c r="P36">
        <f t="array" ref="P36">MEDIAN(IF($C$3:$C$29=$C36,P$3:P$29,""))</f>
        <v>18</v>
      </c>
      <c r="Q36">
        <f t="array" ref="Q36">MEDIAN(IF($C$3:$C$29=$C36,Q$3:Q$29,""))</f>
        <v>19.3</v>
      </c>
      <c r="R36">
        <f t="array" ref="R36">MEDIAN(IF($C$3:$C$29=$C36,R$3:R$29,""))</f>
        <v>18.3</v>
      </c>
      <c r="S36">
        <f t="array" ref="S36">MEDIAN(IF($C$3:$C$29=$C36,S$3:S$29,""))</f>
        <v>19.8</v>
      </c>
      <c r="T36">
        <f t="array" ref="T36">MEDIAN(IF($C$3:$C$29=$C36,T$3:T$29,""))</f>
        <v>17.600000000000001</v>
      </c>
      <c r="U36">
        <f t="array" ref="U36">MEDIAN(IF($C$3:$C$29=$C36,U$3:U$29,""))</f>
        <v>19.5</v>
      </c>
      <c r="V36">
        <f t="array" ref="V36">MEDIAN(IF($C$3:$C$29=$C36,V$3:V$29,""))</f>
        <v>18</v>
      </c>
      <c r="W36">
        <f t="array" ref="W36">MEDIAN(IF($C$3:$C$29=$C36,W$3:W$29,""))</f>
        <v>17.7</v>
      </c>
      <c r="X36">
        <f t="array" ref="X36">MEDIAN(IF($C$3:$C$29=$C36,X$3:X$29,""))</f>
        <v>20.6</v>
      </c>
      <c r="Y36">
        <f t="array" ref="Y36">MEDIAN(IF($C$3:$C$29=$C36,Y$3:Y$29,""))</f>
        <v>21.8</v>
      </c>
      <c r="Z36">
        <f t="array" ref="Z36">MEDIAN(IF($C$3:$C$29=$C36,Z$3:Z$29,""))</f>
        <v>26.7</v>
      </c>
      <c r="AA36">
        <f t="array" ref="AA36">MEDIAN(IF($C$3:$C$29=$C36,AA$3:AA$29,""))</f>
        <v>31</v>
      </c>
    </row>
    <row r="37" spans="3:27" x14ac:dyDescent="0.25">
      <c r="C37">
        <v>7</v>
      </c>
      <c r="D37">
        <f t="array" ref="D37">MEDIAN(IF($C$3:$C$29=$C37,D$3:D$29,""))</f>
        <v>33.450000000000003</v>
      </c>
      <c r="E37">
        <f t="array" ref="E37">MEDIAN(IF($C$3:$C$29=$C37,E$3:E$29,""))</f>
        <v>34.849999999999994</v>
      </c>
      <c r="F37">
        <f t="array" ref="F37">MEDIAN(IF($C$3:$C$29=$C37,F$3:F$29,""))</f>
        <v>37.700000000000003</v>
      </c>
      <c r="G37">
        <f t="array" ref="G37">MEDIAN(IF($C$3:$C$29=$C37,G$3:G$29,""))</f>
        <v>37.6</v>
      </c>
      <c r="H37">
        <f t="array" ref="H37">MEDIAN(IF($C$3:$C$29=$C37,H$3:H$29,""))</f>
        <v>34.450000000000003</v>
      </c>
      <c r="I37">
        <f t="array" ref="I37">MEDIAN(IF($C$3:$C$29=$C37,I$3:I$29,""))</f>
        <v>24</v>
      </c>
      <c r="J37">
        <f t="array" ref="J37">MEDIAN(IF($C$3:$C$29=$C37,J$3:J$29,""))</f>
        <v>17.3</v>
      </c>
      <c r="K37">
        <f t="array" ref="K37">MEDIAN(IF($C$3:$C$29=$C37,K$3:K$29,""))</f>
        <v>17.05</v>
      </c>
      <c r="L37">
        <f t="array" ref="L37">MEDIAN(IF($C$3:$C$29=$C37,L$3:L$29,""))</f>
        <v>14.1</v>
      </c>
      <c r="M37">
        <f t="array" ref="M37">MEDIAN(IF($C$3:$C$29=$C37,M$3:M$29,""))</f>
        <v>17.05</v>
      </c>
      <c r="N37">
        <f t="array" ref="N37">MEDIAN(IF($C$3:$C$29=$C37,N$3:N$29,""))</f>
        <v>20.100000000000001</v>
      </c>
      <c r="O37">
        <f t="array" ref="O37">MEDIAN(IF($C$3:$C$29=$C37,O$3:O$29,""))</f>
        <v>22.25</v>
      </c>
      <c r="P37">
        <f t="array" ref="P37">MEDIAN(IF($C$3:$C$29=$C37,P$3:P$29,""))</f>
        <v>18.7</v>
      </c>
      <c r="Q37">
        <f t="array" ref="Q37">MEDIAN(IF($C$3:$C$29=$C37,Q$3:Q$29,""))</f>
        <v>18.45</v>
      </c>
      <c r="R37">
        <f t="array" ref="R37">MEDIAN(IF($C$3:$C$29=$C37,R$3:R$29,""))</f>
        <v>18</v>
      </c>
      <c r="S37">
        <f t="array" ref="S37">MEDIAN(IF($C$3:$C$29=$C37,S$3:S$29,""))</f>
        <v>18.8</v>
      </c>
      <c r="T37">
        <f t="array" ref="T37">MEDIAN(IF($C$3:$C$29=$C37,T$3:T$29,""))</f>
        <v>18.2</v>
      </c>
      <c r="U37">
        <f t="array" ref="U37">MEDIAN(IF($C$3:$C$29=$C37,U$3:U$29,""))</f>
        <v>17.75</v>
      </c>
      <c r="V37">
        <f t="array" ref="V37">MEDIAN(IF($C$3:$C$29=$C37,V$3:V$29,""))</f>
        <v>18.600000000000001</v>
      </c>
      <c r="W37">
        <f t="array" ref="W37">MEDIAN(IF($C$3:$C$29=$C37,W$3:W$29,""))</f>
        <v>19.3</v>
      </c>
      <c r="X37">
        <f t="array" ref="X37">MEDIAN(IF($C$3:$C$29=$C37,X$3:X$29,""))</f>
        <v>20.7</v>
      </c>
      <c r="Y37">
        <f t="array" ref="Y37">MEDIAN(IF($C$3:$C$29=$C37,Y$3:Y$29,""))</f>
        <v>22</v>
      </c>
      <c r="Z37">
        <f t="array" ref="Z37">MEDIAN(IF($C$3:$C$29=$C37,Z$3:Z$29,""))</f>
        <v>24.2</v>
      </c>
      <c r="AA37">
        <f t="array" ref="AA37">MEDIAN(IF($C$3:$C$29=$C37,AA$3:AA$29,""))</f>
        <v>28.55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3"/>
  <dimension ref="A1:AA37"/>
  <sheetViews>
    <sheetView workbookViewId="0">
      <selection activeCell="G31" sqref="G31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31.8</v>
      </c>
      <c r="E3">
        <v>35.6</v>
      </c>
      <c r="F3">
        <v>30.2</v>
      </c>
      <c r="G3">
        <v>31.6</v>
      </c>
      <c r="H3">
        <v>24.4</v>
      </c>
      <c r="I3">
        <v>22.6</v>
      </c>
      <c r="J3">
        <v>18.100000000000001</v>
      </c>
      <c r="K3">
        <v>14.2</v>
      </c>
      <c r="L3">
        <v>15.4</v>
      </c>
      <c r="M3">
        <v>8.9</v>
      </c>
      <c r="N3">
        <v>19.899999999999999</v>
      </c>
      <c r="O3">
        <v>19.600000000000001</v>
      </c>
      <c r="P3">
        <v>23</v>
      </c>
      <c r="Q3">
        <v>17.3</v>
      </c>
      <c r="R3">
        <v>23.3</v>
      </c>
      <c r="S3">
        <v>22</v>
      </c>
      <c r="T3">
        <v>17.600000000000001</v>
      </c>
      <c r="U3">
        <v>18.2</v>
      </c>
      <c r="V3">
        <v>18.7</v>
      </c>
      <c r="W3">
        <v>19.8</v>
      </c>
      <c r="X3">
        <v>21.7</v>
      </c>
      <c r="Y3">
        <v>20.7</v>
      </c>
      <c r="Z3">
        <v>23.1</v>
      </c>
      <c r="AA3">
        <v>27.9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22.7</v>
      </c>
      <c r="E4">
        <v>33.4</v>
      </c>
      <c r="F4">
        <v>35.5</v>
      </c>
      <c r="G4">
        <v>30.6</v>
      </c>
      <c r="H4">
        <v>31.7</v>
      </c>
      <c r="I4">
        <v>26.6</v>
      </c>
      <c r="J4">
        <v>24.2</v>
      </c>
      <c r="K4">
        <v>18.399999999999999</v>
      </c>
      <c r="L4">
        <v>22.7</v>
      </c>
      <c r="M4">
        <v>18.3</v>
      </c>
      <c r="N4">
        <v>15.4</v>
      </c>
      <c r="O4">
        <v>19.8</v>
      </c>
      <c r="P4">
        <v>24.6</v>
      </c>
      <c r="Q4">
        <v>22.9</v>
      </c>
      <c r="R4">
        <v>16.899999999999999</v>
      </c>
      <c r="S4">
        <v>23.4</v>
      </c>
      <c r="T4">
        <v>26.2</v>
      </c>
      <c r="U4">
        <v>20.100000000000001</v>
      </c>
      <c r="V4">
        <v>23.1</v>
      </c>
      <c r="W4">
        <v>21.7</v>
      </c>
      <c r="X4">
        <v>19.7</v>
      </c>
      <c r="Y4">
        <v>25.9</v>
      </c>
      <c r="Z4">
        <v>32.1</v>
      </c>
      <c r="AA4">
        <v>30.4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30.9</v>
      </c>
      <c r="E5">
        <v>34.6</v>
      </c>
      <c r="F5">
        <v>29</v>
      </c>
      <c r="G5">
        <v>28.2</v>
      </c>
      <c r="H5">
        <v>35.9</v>
      </c>
      <c r="I5">
        <v>35.700000000000003</v>
      </c>
      <c r="J5">
        <v>28.8</v>
      </c>
      <c r="K5">
        <v>25.9</v>
      </c>
      <c r="L5">
        <v>26.2</v>
      </c>
      <c r="M5">
        <v>22.2</v>
      </c>
      <c r="N5">
        <v>22.2</v>
      </c>
      <c r="O5">
        <v>23.4</v>
      </c>
      <c r="P5">
        <v>24.1</v>
      </c>
      <c r="Q5">
        <v>18.5</v>
      </c>
      <c r="R5">
        <v>23.4</v>
      </c>
      <c r="S5">
        <v>22.8</v>
      </c>
      <c r="T5">
        <v>23.2</v>
      </c>
      <c r="U5">
        <v>29.8</v>
      </c>
      <c r="V5">
        <v>20.7</v>
      </c>
      <c r="W5">
        <v>19.8</v>
      </c>
      <c r="X5">
        <v>23.5</v>
      </c>
      <c r="Y5">
        <v>24</v>
      </c>
      <c r="Z5">
        <v>26.4</v>
      </c>
      <c r="AA5">
        <v>30.2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31.1</v>
      </c>
      <c r="E6">
        <v>35.200000000000003</v>
      </c>
      <c r="F6">
        <v>34.4</v>
      </c>
      <c r="G6">
        <v>27.8</v>
      </c>
      <c r="H6">
        <v>19.3</v>
      </c>
      <c r="I6">
        <v>24</v>
      </c>
      <c r="J6">
        <v>17.3</v>
      </c>
      <c r="K6">
        <v>13.1</v>
      </c>
      <c r="L6">
        <v>6.9</v>
      </c>
      <c r="M6">
        <v>10</v>
      </c>
      <c r="N6">
        <v>17.8</v>
      </c>
      <c r="O6">
        <v>19.3</v>
      </c>
      <c r="P6">
        <v>18.100000000000001</v>
      </c>
      <c r="Q6">
        <v>17.5</v>
      </c>
      <c r="R6">
        <v>16.399999999999999</v>
      </c>
      <c r="S6">
        <v>16.399999999999999</v>
      </c>
      <c r="T6">
        <v>17.3</v>
      </c>
      <c r="U6">
        <v>17.2</v>
      </c>
      <c r="V6">
        <v>19.399999999999999</v>
      </c>
      <c r="W6">
        <v>21.2</v>
      </c>
      <c r="X6">
        <v>23.3</v>
      </c>
      <c r="Y6">
        <v>22.5</v>
      </c>
      <c r="Z6">
        <v>22.9</v>
      </c>
      <c r="AA6">
        <v>33.4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28.4</v>
      </c>
      <c r="E7">
        <v>38.799999999999997</v>
      </c>
      <c r="F7">
        <v>32.6</v>
      </c>
      <c r="G7">
        <v>25.2</v>
      </c>
      <c r="H7">
        <v>28</v>
      </c>
      <c r="I7">
        <v>21.7</v>
      </c>
      <c r="J7">
        <v>15.7</v>
      </c>
      <c r="K7">
        <v>6.9</v>
      </c>
      <c r="L7">
        <v>4.5999999999999996</v>
      </c>
      <c r="M7">
        <v>10.4</v>
      </c>
      <c r="N7">
        <v>14.1</v>
      </c>
      <c r="O7">
        <v>16.600000000000001</v>
      </c>
      <c r="P7">
        <v>18.600000000000001</v>
      </c>
      <c r="Q7">
        <v>18.3</v>
      </c>
      <c r="R7">
        <v>15.8</v>
      </c>
      <c r="S7">
        <v>18.399999999999999</v>
      </c>
      <c r="T7">
        <v>21.9</v>
      </c>
      <c r="U7">
        <v>18.5</v>
      </c>
      <c r="V7">
        <v>18.7</v>
      </c>
      <c r="W7">
        <v>19.3</v>
      </c>
      <c r="X7">
        <v>27</v>
      </c>
      <c r="Y7">
        <v>28</v>
      </c>
      <c r="Z7">
        <v>25.7</v>
      </c>
      <c r="AA7">
        <v>32.200000000000003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30.5</v>
      </c>
      <c r="E8">
        <v>18.399999999999999</v>
      </c>
      <c r="F8">
        <v>34.299999999999997</v>
      </c>
      <c r="G8">
        <v>33.1</v>
      </c>
      <c r="H8">
        <v>28.8</v>
      </c>
      <c r="I8">
        <v>24.8</v>
      </c>
      <c r="J8">
        <v>16.7</v>
      </c>
      <c r="K8">
        <v>5.5</v>
      </c>
      <c r="L8">
        <v>6.1</v>
      </c>
      <c r="M8">
        <v>10.1</v>
      </c>
      <c r="N8">
        <v>16.600000000000001</v>
      </c>
      <c r="O8">
        <v>2.9</v>
      </c>
      <c r="P8">
        <v>15.6</v>
      </c>
      <c r="Q8">
        <v>16.899999999999999</v>
      </c>
      <c r="R8">
        <v>19.8</v>
      </c>
      <c r="S8">
        <v>20.5</v>
      </c>
      <c r="T8">
        <v>15.3</v>
      </c>
      <c r="U8">
        <v>18.100000000000001</v>
      </c>
      <c r="V8">
        <v>19.7</v>
      </c>
      <c r="W8">
        <v>19.5</v>
      </c>
      <c r="X8">
        <v>21</v>
      </c>
      <c r="Y8">
        <v>24.9</v>
      </c>
      <c r="Z8">
        <v>27.1</v>
      </c>
      <c r="AA8">
        <v>24.6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29</v>
      </c>
      <c r="E9">
        <v>29.4</v>
      </c>
      <c r="F9">
        <v>33.9</v>
      </c>
      <c r="G9">
        <v>45</v>
      </c>
      <c r="H9">
        <v>28</v>
      </c>
      <c r="I9">
        <v>24.6</v>
      </c>
      <c r="J9">
        <v>13.8</v>
      </c>
      <c r="K9">
        <v>7.4</v>
      </c>
      <c r="L9">
        <v>4.3</v>
      </c>
      <c r="M9">
        <v>7.2</v>
      </c>
      <c r="N9">
        <v>21.3</v>
      </c>
      <c r="O9">
        <v>18.2</v>
      </c>
      <c r="P9">
        <v>19.7</v>
      </c>
      <c r="Q9">
        <v>20.5</v>
      </c>
      <c r="R9">
        <v>18.899999999999999</v>
      </c>
      <c r="S9">
        <v>20.100000000000001</v>
      </c>
      <c r="T9">
        <v>15.5</v>
      </c>
      <c r="U9">
        <v>20.7</v>
      </c>
      <c r="V9">
        <v>21</v>
      </c>
      <c r="W9">
        <v>19.899999999999999</v>
      </c>
      <c r="X9">
        <v>19</v>
      </c>
      <c r="Y9">
        <v>26</v>
      </c>
      <c r="Z9">
        <v>25.3</v>
      </c>
      <c r="AA9">
        <v>30.9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33.299999999999997</v>
      </c>
      <c r="E10">
        <v>37</v>
      </c>
      <c r="F10">
        <v>36.4</v>
      </c>
      <c r="G10">
        <v>33.5</v>
      </c>
      <c r="H10">
        <v>24.5</v>
      </c>
      <c r="I10">
        <v>20.5</v>
      </c>
      <c r="J10">
        <v>15</v>
      </c>
      <c r="K10">
        <v>9.9</v>
      </c>
      <c r="L10">
        <v>9.9</v>
      </c>
      <c r="M10">
        <v>13.7</v>
      </c>
      <c r="N10">
        <v>20.3</v>
      </c>
      <c r="O10">
        <v>22.8</v>
      </c>
      <c r="P10">
        <v>21.2</v>
      </c>
      <c r="Q10">
        <v>20.8</v>
      </c>
      <c r="R10">
        <v>15.7</v>
      </c>
      <c r="S10">
        <v>19.600000000000001</v>
      </c>
      <c r="T10">
        <v>17</v>
      </c>
      <c r="U10">
        <v>16.600000000000001</v>
      </c>
      <c r="V10">
        <v>17.5</v>
      </c>
      <c r="W10">
        <v>22.9</v>
      </c>
      <c r="X10">
        <v>17.3</v>
      </c>
      <c r="Y10">
        <v>21.2</v>
      </c>
      <c r="Z10">
        <v>25.8</v>
      </c>
      <c r="AA10">
        <v>29.9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28.1</v>
      </c>
      <c r="E11">
        <v>32.6</v>
      </c>
      <c r="F11">
        <v>27.7</v>
      </c>
      <c r="G11">
        <v>27</v>
      </c>
      <c r="H11">
        <v>28.6</v>
      </c>
      <c r="I11">
        <v>26.4</v>
      </c>
      <c r="J11">
        <v>22.4</v>
      </c>
      <c r="K11">
        <v>23.6</v>
      </c>
      <c r="L11">
        <v>21.3</v>
      </c>
      <c r="M11">
        <v>19.399999999999999</v>
      </c>
      <c r="N11">
        <v>21</v>
      </c>
      <c r="O11">
        <v>21.6</v>
      </c>
      <c r="P11">
        <v>18.8</v>
      </c>
      <c r="Q11">
        <v>20.2</v>
      </c>
      <c r="R11">
        <v>16.100000000000001</v>
      </c>
      <c r="S11">
        <v>23</v>
      </c>
      <c r="T11">
        <v>19.8</v>
      </c>
      <c r="U11">
        <v>22.2</v>
      </c>
      <c r="V11">
        <v>18.100000000000001</v>
      </c>
      <c r="W11">
        <v>20.3</v>
      </c>
      <c r="X11">
        <v>23</v>
      </c>
      <c r="Y11">
        <v>28.5</v>
      </c>
      <c r="Z11">
        <v>26</v>
      </c>
      <c r="AA11">
        <v>32.1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33.299999999999997</v>
      </c>
      <c r="E12">
        <v>31.9</v>
      </c>
      <c r="F12">
        <v>29.5</v>
      </c>
      <c r="G12">
        <v>29.3</v>
      </c>
      <c r="H12">
        <v>35.799999999999997</v>
      </c>
      <c r="I12">
        <v>25</v>
      </c>
      <c r="J12">
        <v>30.4</v>
      </c>
      <c r="K12">
        <v>28</v>
      </c>
      <c r="L12">
        <v>21.4</v>
      </c>
      <c r="M12">
        <v>19.2</v>
      </c>
      <c r="N12">
        <v>18.2</v>
      </c>
      <c r="O12">
        <v>21.6</v>
      </c>
      <c r="P12">
        <v>21.6</v>
      </c>
      <c r="Q12">
        <v>21.5</v>
      </c>
      <c r="R12">
        <v>21.8</v>
      </c>
      <c r="S12">
        <v>24</v>
      </c>
      <c r="T12">
        <v>25.4</v>
      </c>
      <c r="U12">
        <v>22.1</v>
      </c>
      <c r="V12">
        <v>25.1</v>
      </c>
      <c r="W12">
        <v>24.5</v>
      </c>
      <c r="X12">
        <v>31</v>
      </c>
      <c r="Y12">
        <v>24.7</v>
      </c>
      <c r="Z12">
        <v>27.5</v>
      </c>
      <c r="AA12">
        <v>27.8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29</v>
      </c>
      <c r="E13">
        <v>35.4</v>
      </c>
      <c r="F13">
        <v>38.299999999999997</v>
      </c>
      <c r="G13">
        <v>35.4</v>
      </c>
      <c r="H13">
        <v>21.8</v>
      </c>
      <c r="I13">
        <v>22.6</v>
      </c>
      <c r="J13">
        <v>13.2</v>
      </c>
      <c r="K13">
        <v>4.4000000000000004</v>
      </c>
      <c r="L13">
        <v>4.9000000000000004</v>
      </c>
      <c r="M13">
        <v>14.3</v>
      </c>
      <c r="N13">
        <v>15.8</v>
      </c>
      <c r="O13">
        <v>23.8</v>
      </c>
      <c r="P13">
        <v>22.6</v>
      </c>
      <c r="Q13">
        <v>17.7</v>
      </c>
      <c r="R13">
        <v>20.5</v>
      </c>
      <c r="S13">
        <v>17.100000000000001</v>
      </c>
      <c r="T13">
        <v>20</v>
      </c>
      <c r="U13">
        <v>17.7</v>
      </c>
      <c r="V13">
        <v>20.100000000000001</v>
      </c>
      <c r="W13">
        <v>18.899999999999999</v>
      </c>
      <c r="X13">
        <v>17.899999999999999</v>
      </c>
      <c r="Y13">
        <v>25.8</v>
      </c>
      <c r="Z13">
        <v>21.5</v>
      </c>
      <c r="AA13">
        <v>34.4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31</v>
      </c>
      <c r="E14">
        <v>33.9</v>
      </c>
      <c r="F14">
        <v>34.299999999999997</v>
      </c>
      <c r="G14">
        <v>31.1</v>
      </c>
      <c r="H14">
        <v>21.2</v>
      </c>
      <c r="I14">
        <v>24.7</v>
      </c>
      <c r="J14">
        <v>14.6</v>
      </c>
      <c r="K14">
        <v>10.9</v>
      </c>
      <c r="L14">
        <v>3.4</v>
      </c>
      <c r="M14">
        <v>6.1</v>
      </c>
      <c r="N14">
        <v>19.600000000000001</v>
      </c>
      <c r="O14">
        <v>15.6</v>
      </c>
      <c r="P14">
        <v>19.2</v>
      </c>
      <c r="Q14">
        <v>21.6</v>
      </c>
      <c r="R14">
        <v>20.3</v>
      </c>
      <c r="S14">
        <v>16.5</v>
      </c>
      <c r="T14">
        <v>19.5</v>
      </c>
      <c r="U14">
        <v>18.600000000000001</v>
      </c>
      <c r="V14">
        <v>19.3</v>
      </c>
      <c r="W14">
        <v>17.399999999999999</v>
      </c>
      <c r="X14">
        <v>16.8</v>
      </c>
      <c r="Y14">
        <v>22.6</v>
      </c>
      <c r="Z14">
        <v>20</v>
      </c>
      <c r="AA14">
        <v>29.3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31.9</v>
      </c>
      <c r="E15">
        <v>34.299999999999997</v>
      </c>
      <c r="F15">
        <v>34</v>
      </c>
      <c r="G15">
        <v>33.200000000000003</v>
      </c>
      <c r="H15">
        <v>31.5</v>
      </c>
      <c r="I15">
        <v>27</v>
      </c>
      <c r="J15">
        <v>16.3</v>
      </c>
      <c r="K15">
        <v>6.8</v>
      </c>
      <c r="L15">
        <v>4.9000000000000004</v>
      </c>
      <c r="M15">
        <v>9.6999999999999993</v>
      </c>
      <c r="N15">
        <v>17.2</v>
      </c>
      <c r="O15">
        <v>15.1</v>
      </c>
      <c r="P15">
        <v>16.8</v>
      </c>
      <c r="Q15">
        <v>17.2</v>
      </c>
      <c r="R15">
        <v>19.100000000000001</v>
      </c>
      <c r="S15">
        <v>18.3</v>
      </c>
      <c r="T15">
        <v>16.899999999999999</v>
      </c>
      <c r="U15">
        <v>18.100000000000001</v>
      </c>
      <c r="V15">
        <v>18.7</v>
      </c>
      <c r="W15">
        <v>21.4</v>
      </c>
      <c r="X15">
        <v>24.4</v>
      </c>
      <c r="Y15">
        <v>26.8</v>
      </c>
      <c r="Z15">
        <v>21.4</v>
      </c>
      <c r="AA15">
        <v>32.5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33.5</v>
      </c>
      <c r="E16">
        <v>37.9</v>
      </c>
      <c r="F16">
        <v>46.1</v>
      </c>
      <c r="G16">
        <v>30.4</v>
      </c>
      <c r="H16">
        <v>25.6</v>
      </c>
      <c r="I16">
        <v>25</v>
      </c>
      <c r="J16">
        <v>11.6</v>
      </c>
      <c r="K16">
        <v>7.4</v>
      </c>
      <c r="L16">
        <v>9.6</v>
      </c>
      <c r="M16">
        <v>8.6999999999999993</v>
      </c>
      <c r="N16">
        <v>7.9</v>
      </c>
      <c r="O16">
        <v>8.9</v>
      </c>
      <c r="P16">
        <v>13.5</v>
      </c>
      <c r="Q16">
        <v>12.8</v>
      </c>
      <c r="R16">
        <v>16</v>
      </c>
      <c r="S16">
        <v>15.9</v>
      </c>
      <c r="T16">
        <v>17.600000000000001</v>
      </c>
      <c r="U16">
        <v>20.2</v>
      </c>
      <c r="V16">
        <v>17.100000000000001</v>
      </c>
      <c r="W16">
        <v>13.3</v>
      </c>
      <c r="X16">
        <v>20.100000000000001</v>
      </c>
      <c r="Y16">
        <v>23.4</v>
      </c>
      <c r="Z16">
        <v>21</v>
      </c>
      <c r="AA16">
        <v>28.8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32.799999999999997</v>
      </c>
      <c r="E17">
        <v>30.1</v>
      </c>
      <c r="F17">
        <v>34.299999999999997</v>
      </c>
      <c r="G17">
        <v>32.299999999999997</v>
      </c>
      <c r="H17">
        <v>32.5</v>
      </c>
      <c r="I17">
        <v>28</v>
      </c>
      <c r="J17">
        <v>16.399999999999999</v>
      </c>
      <c r="K17">
        <v>10.8</v>
      </c>
      <c r="L17">
        <v>5.6</v>
      </c>
      <c r="M17">
        <v>10.199999999999999</v>
      </c>
      <c r="N17">
        <v>18.5</v>
      </c>
      <c r="O17">
        <v>22.9</v>
      </c>
      <c r="P17">
        <v>20</v>
      </c>
      <c r="Q17">
        <v>18.7</v>
      </c>
      <c r="R17">
        <v>13.5</v>
      </c>
      <c r="S17">
        <v>15.1</v>
      </c>
      <c r="T17">
        <v>17.100000000000001</v>
      </c>
      <c r="U17">
        <v>17.8</v>
      </c>
      <c r="V17">
        <v>20.3</v>
      </c>
      <c r="W17">
        <v>16.7</v>
      </c>
      <c r="X17">
        <v>21.8</v>
      </c>
      <c r="Y17">
        <v>18.600000000000001</v>
      </c>
      <c r="Z17">
        <v>22.3</v>
      </c>
      <c r="AA17">
        <v>30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32</v>
      </c>
      <c r="E18">
        <v>38</v>
      </c>
      <c r="F18">
        <v>29.3</v>
      </c>
      <c r="G18">
        <v>27.3</v>
      </c>
      <c r="H18">
        <v>24.9</v>
      </c>
      <c r="I18">
        <v>21.6</v>
      </c>
      <c r="J18">
        <v>25.4</v>
      </c>
      <c r="K18">
        <v>22.5</v>
      </c>
      <c r="L18">
        <v>7.7</v>
      </c>
      <c r="M18">
        <v>5.5</v>
      </c>
      <c r="N18">
        <v>10.3</v>
      </c>
      <c r="O18">
        <v>12</v>
      </c>
      <c r="P18">
        <v>18.399999999999999</v>
      </c>
      <c r="Q18">
        <v>20.3</v>
      </c>
      <c r="R18">
        <v>19.3</v>
      </c>
      <c r="S18">
        <v>25.1</v>
      </c>
      <c r="T18">
        <v>24.5</v>
      </c>
      <c r="U18">
        <v>23.1</v>
      </c>
      <c r="V18">
        <v>20.2</v>
      </c>
      <c r="W18">
        <v>26.5</v>
      </c>
      <c r="X18">
        <v>31.7</v>
      </c>
      <c r="Y18">
        <v>32.700000000000003</v>
      </c>
      <c r="Z18">
        <v>30</v>
      </c>
      <c r="AA18">
        <v>31.1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30</v>
      </c>
      <c r="E19">
        <v>31.8</v>
      </c>
      <c r="F19">
        <v>31.3</v>
      </c>
      <c r="G19">
        <v>30</v>
      </c>
      <c r="H19">
        <v>33.4</v>
      </c>
      <c r="I19">
        <v>22.4</v>
      </c>
      <c r="J19">
        <v>25.6</v>
      </c>
      <c r="K19">
        <v>26.4</v>
      </c>
      <c r="L19">
        <v>24.1</v>
      </c>
      <c r="M19">
        <v>21.2</v>
      </c>
      <c r="N19">
        <v>36.6</v>
      </c>
      <c r="O19">
        <v>22.2</v>
      </c>
      <c r="P19">
        <v>22.8</v>
      </c>
      <c r="Q19">
        <v>22.5</v>
      </c>
      <c r="R19">
        <v>23.5</v>
      </c>
      <c r="S19">
        <v>23.5</v>
      </c>
      <c r="T19">
        <v>23.7</v>
      </c>
      <c r="U19">
        <v>21.9</v>
      </c>
      <c r="V19">
        <v>22.5</v>
      </c>
      <c r="W19">
        <v>22</v>
      </c>
      <c r="X19">
        <v>24.6</v>
      </c>
      <c r="Y19">
        <v>23.3</v>
      </c>
      <c r="Z19">
        <v>21.1</v>
      </c>
      <c r="AA19">
        <v>34.6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36</v>
      </c>
      <c r="E20">
        <v>32.299999999999997</v>
      </c>
      <c r="F20">
        <v>41.3</v>
      </c>
      <c r="G20">
        <v>32</v>
      </c>
      <c r="H20">
        <v>30</v>
      </c>
      <c r="I20">
        <v>25.1</v>
      </c>
      <c r="J20">
        <v>13.2</v>
      </c>
      <c r="K20">
        <v>11.3</v>
      </c>
      <c r="L20">
        <v>10.4</v>
      </c>
      <c r="M20">
        <v>20.100000000000001</v>
      </c>
      <c r="N20">
        <v>7.2</v>
      </c>
      <c r="O20">
        <v>20</v>
      </c>
      <c r="P20">
        <v>17.399999999999999</v>
      </c>
      <c r="Q20">
        <v>19.399999999999999</v>
      </c>
      <c r="R20">
        <v>13.3</v>
      </c>
      <c r="S20">
        <v>19.3</v>
      </c>
      <c r="T20">
        <v>19.899999999999999</v>
      </c>
      <c r="U20">
        <v>17.600000000000001</v>
      </c>
      <c r="V20">
        <v>18.7</v>
      </c>
      <c r="W20">
        <v>18.8</v>
      </c>
      <c r="X20">
        <v>25</v>
      </c>
      <c r="Y20">
        <v>19</v>
      </c>
      <c r="Z20">
        <v>25.9</v>
      </c>
      <c r="AA20">
        <v>33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34.6</v>
      </c>
      <c r="E21">
        <v>36.6</v>
      </c>
      <c r="F21">
        <v>31.3</v>
      </c>
      <c r="G21">
        <v>36.6</v>
      </c>
      <c r="H21">
        <v>31.1</v>
      </c>
      <c r="I21">
        <v>23.2</v>
      </c>
      <c r="J21">
        <v>13.5</v>
      </c>
      <c r="K21">
        <v>8.1</v>
      </c>
      <c r="L21">
        <v>6.4</v>
      </c>
      <c r="M21">
        <v>9.1</v>
      </c>
      <c r="N21">
        <v>16.8</v>
      </c>
      <c r="O21">
        <v>23.1</v>
      </c>
      <c r="P21">
        <v>18.899999999999999</v>
      </c>
      <c r="Q21">
        <v>19.600000000000001</v>
      </c>
      <c r="R21">
        <v>18.8</v>
      </c>
      <c r="S21">
        <v>16.8</v>
      </c>
      <c r="T21">
        <v>16.100000000000001</v>
      </c>
      <c r="U21">
        <v>15.9</v>
      </c>
      <c r="V21">
        <v>20.100000000000001</v>
      </c>
      <c r="W21">
        <v>18.8</v>
      </c>
      <c r="X21">
        <v>16.899999999999999</v>
      </c>
      <c r="Y21">
        <v>22.6</v>
      </c>
      <c r="Z21">
        <v>24.7</v>
      </c>
      <c r="AA21">
        <v>31.4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34.9</v>
      </c>
      <c r="E22">
        <v>32.5</v>
      </c>
      <c r="F22">
        <v>37.700000000000003</v>
      </c>
      <c r="G22">
        <v>40.5</v>
      </c>
      <c r="H22">
        <v>23.8</v>
      </c>
      <c r="I22">
        <v>18.7</v>
      </c>
      <c r="J22">
        <v>12.5</v>
      </c>
      <c r="K22">
        <v>10.3</v>
      </c>
      <c r="L22">
        <v>8.1</v>
      </c>
      <c r="M22">
        <v>15.4</v>
      </c>
      <c r="N22">
        <v>17.3</v>
      </c>
      <c r="O22">
        <v>16.5</v>
      </c>
      <c r="P22">
        <v>19.3</v>
      </c>
      <c r="Q22">
        <v>19.399999999999999</v>
      </c>
      <c r="R22">
        <v>15.1</v>
      </c>
      <c r="S22">
        <v>17.2</v>
      </c>
      <c r="T22">
        <v>19.899999999999999</v>
      </c>
      <c r="U22">
        <v>18</v>
      </c>
      <c r="V22">
        <v>18.8</v>
      </c>
      <c r="W22">
        <v>19.100000000000001</v>
      </c>
      <c r="X22">
        <v>23.3</v>
      </c>
      <c r="Y22">
        <v>24.4</v>
      </c>
      <c r="Z22">
        <v>22.4</v>
      </c>
      <c r="AA22">
        <v>29.8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30.3</v>
      </c>
      <c r="E23">
        <v>28.3</v>
      </c>
      <c r="F23">
        <v>34.6</v>
      </c>
      <c r="G23">
        <v>29.8</v>
      </c>
      <c r="H23">
        <v>23.5</v>
      </c>
      <c r="I23">
        <v>25.2</v>
      </c>
      <c r="J23">
        <v>18.100000000000001</v>
      </c>
      <c r="K23">
        <v>8.9</v>
      </c>
      <c r="L23">
        <v>6.5</v>
      </c>
      <c r="M23">
        <v>13.2</v>
      </c>
      <c r="N23">
        <v>19.399999999999999</v>
      </c>
      <c r="O23">
        <v>23.9</v>
      </c>
      <c r="P23">
        <v>16.7</v>
      </c>
      <c r="Q23">
        <v>11.2</v>
      </c>
      <c r="R23">
        <v>20.2</v>
      </c>
      <c r="S23">
        <v>17.8</v>
      </c>
      <c r="T23">
        <v>16.100000000000001</v>
      </c>
      <c r="U23">
        <v>19.2</v>
      </c>
      <c r="V23">
        <v>14.3</v>
      </c>
      <c r="W23">
        <v>16</v>
      </c>
      <c r="X23">
        <v>21.7</v>
      </c>
      <c r="Y23">
        <v>19.7</v>
      </c>
      <c r="Z23">
        <v>25.7</v>
      </c>
      <c r="AA23">
        <v>30.8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32</v>
      </c>
      <c r="E24">
        <v>38.799999999999997</v>
      </c>
      <c r="F24">
        <v>39.1</v>
      </c>
      <c r="G24">
        <v>37.299999999999997</v>
      </c>
      <c r="H24">
        <v>22.1</v>
      </c>
      <c r="I24">
        <v>22.5</v>
      </c>
      <c r="J24">
        <v>15.9</v>
      </c>
      <c r="K24">
        <v>10.3</v>
      </c>
      <c r="L24">
        <v>5</v>
      </c>
      <c r="M24">
        <v>11</v>
      </c>
      <c r="N24">
        <v>14.4</v>
      </c>
      <c r="O24">
        <v>20.5</v>
      </c>
      <c r="P24">
        <v>16.7</v>
      </c>
      <c r="Q24">
        <v>16.3</v>
      </c>
      <c r="R24">
        <v>18.5</v>
      </c>
      <c r="S24">
        <v>19.600000000000001</v>
      </c>
      <c r="T24">
        <v>17.5</v>
      </c>
      <c r="U24">
        <v>18.3</v>
      </c>
      <c r="V24">
        <v>14.2</v>
      </c>
      <c r="W24">
        <v>20.100000000000001</v>
      </c>
      <c r="X24">
        <v>20.3</v>
      </c>
      <c r="Y24">
        <v>21.6</v>
      </c>
      <c r="Z24">
        <v>23</v>
      </c>
      <c r="AA24">
        <v>28.7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26.2</v>
      </c>
      <c r="E25">
        <v>42.3</v>
      </c>
      <c r="F25">
        <v>33.6</v>
      </c>
      <c r="G25">
        <v>31.4</v>
      </c>
      <c r="H25">
        <v>32.4</v>
      </c>
      <c r="I25">
        <v>28.1</v>
      </c>
      <c r="J25">
        <v>20.2</v>
      </c>
      <c r="K25">
        <v>26.1</v>
      </c>
      <c r="L25">
        <v>20.399999999999999</v>
      </c>
      <c r="M25">
        <v>19.8</v>
      </c>
      <c r="N25">
        <v>17.399999999999999</v>
      </c>
      <c r="O25">
        <v>16.899999999999999</v>
      </c>
      <c r="P25">
        <v>15</v>
      </c>
      <c r="Q25">
        <v>21.2</v>
      </c>
      <c r="R25">
        <v>16.399999999999999</v>
      </c>
      <c r="S25">
        <v>19.3</v>
      </c>
      <c r="T25">
        <v>20.2</v>
      </c>
      <c r="U25">
        <v>16.7</v>
      </c>
      <c r="V25">
        <v>22.6</v>
      </c>
      <c r="X25">
        <v>15.9</v>
      </c>
      <c r="Y25">
        <v>14.9</v>
      </c>
      <c r="Z25">
        <v>17.3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34.299999999999997</v>
      </c>
      <c r="E26">
        <v>28.2</v>
      </c>
      <c r="F26">
        <v>30.5</v>
      </c>
      <c r="G26">
        <v>33.6</v>
      </c>
      <c r="H26">
        <v>28.8</v>
      </c>
      <c r="I26">
        <v>25.2</v>
      </c>
      <c r="J26">
        <v>29.5</v>
      </c>
      <c r="K26">
        <v>25</v>
      </c>
      <c r="L26">
        <v>22.5</v>
      </c>
      <c r="M26">
        <v>25.7</v>
      </c>
      <c r="N26">
        <v>21.7</v>
      </c>
      <c r="O26">
        <v>23.4</v>
      </c>
      <c r="P26">
        <v>17.7</v>
      </c>
      <c r="Q26">
        <v>18.8</v>
      </c>
      <c r="R26">
        <v>18.5</v>
      </c>
      <c r="S26">
        <v>17.5</v>
      </c>
      <c r="T26">
        <v>22.4</v>
      </c>
      <c r="U26">
        <v>20.8</v>
      </c>
      <c r="V26">
        <v>31.9</v>
      </c>
      <c r="W26">
        <v>22.8</v>
      </c>
      <c r="X26">
        <v>26</v>
      </c>
      <c r="Y26">
        <v>20.2</v>
      </c>
      <c r="Z26">
        <v>23.7</v>
      </c>
      <c r="AA26">
        <v>24.1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27.9</v>
      </c>
      <c r="E27">
        <v>31.3</v>
      </c>
      <c r="F27">
        <v>39</v>
      </c>
      <c r="G27">
        <v>33.1</v>
      </c>
      <c r="H27">
        <v>28.2</v>
      </c>
      <c r="I27">
        <v>23</v>
      </c>
      <c r="J27">
        <v>8.6</v>
      </c>
      <c r="K27">
        <v>8.1</v>
      </c>
      <c r="L27">
        <v>6.8</v>
      </c>
      <c r="M27">
        <v>15.5</v>
      </c>
      <c r="N27">
        <v>13.5</v>
      </c>
      <c r="O27">
        <v>18.5</v>
      </c>
      <c r="P27">
        <v>15.8</v>
      </c>
      <c r="Q27">
        <v>17.8</v>
      </c>
      <c r="R27">
        <v>19.600000000000001</v>
      </c>
      <c r="S27">
        <v>18.5</v>
      </c>
      <c r="T27">
        <v>13</v>
      </c>
      <c r="U27">
        <v>16.7</v>
      </c>
      <c r="V27">
        <v>14.9</v>
      </c>
      <c r="W27">
        <v>16</v>
      </c>
      <c r="X27">
        <v>23.5</v>
      </c>
      <c r="Y27">
        <v>19.7</v>
      </c>
      <c r="Z27">
        <v>21.9</v>
      </c>
      <c r="AA27">
        <v>27.5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30.1</v>
      </c>
      <c r="E28">
        <v>32.799999999999997</v>
      </c>
      <c r="F28">
        <v>33.5</v>
      </c>
      <c r="G28">
        <v>37.6</v>
      </c>
      <c r="H28">
        <v>19.8</v>
      </c>
      <c r="I28">
        <v>22.6</v>
      </c>
      <c r="J28">
        <v>8</v>
      </c>
      <c r="K28">
        <v>5.3</v>
      </c>
      <c r="L28">
        <v>5.8</v>
      </c>
      <c r="M28">
        <v>9.1999999999999993</v>
      </c>
      <c r="N28">
        <v>11.9</v>
      </c>
      <c r="O28">
        <v>16.399999999999999</v>
      </c>
      <c r="P28">
        <v>15.7</v>
      </c>
      <c r="Q28">
        <v>14.2</v>
      </c>
      <c r="R28">
        <v>17.399999999999999</v>
      </c>
      <c r="S28">
        <v>15.5</v>
      </c>
      <c r="T28">
        <v>19.399999999999999</v>
      </c>
      <c r="U28">
        <v>19.100000000000001</v>
      </c>
      <c r="V28">
        <v>15</v>
      </c>
      <c r="W28">
        <v>20.100000000000001</v>
      </c>
      <c r="X28">
        <v>22.3</v>
      </c>
      <c r="Y28">
        <v>31.3</v>
      </c>
      <c r="Z28">
        <v>25.4</v>
      </c>
      <c r="AA28">
        <v>28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30</v>
      </c>
      <c r="E29">
        <v>34.299999999999997</v>
      </c>
      <c r="F29">
        <v>38.299999999999997</v>
      </c>
      <c r="G29">
        <v>31.5</v>
      </c>
      <c r="H29">
        <v>22.7</v>
      </c>
      <c r="I29">
        <v>17.8</v>
      </c>
      <c r="J29">
        <v>13.8</v>
      </c>
      <c r="K29">
        <v>6.5</v>
      </c>
      <c r="L29">
        <v>4.5999999999999996</v>
      </c>
      <c r="M29">
        <v>11.2</v>
      </c>
      <c r="N29">
        <v>9.3000000000000007</v>
      </c>
      <c r="O29">
        <v>21.5</v>
      </c>
      <c r="P29">
        <v>19</v>
      </c>
      <c r="Q29">
        <v>14.8</v>
      </c>
      <c r="R29">
        <v>18.100000000000001</v>
      </c>
      <c r="S29">
        <v>15</v>
      </c>
      <c r="T29">
        <v>15.4</v>
      </c>
      <c r="U29">
        <v>15.7</v>
      </c>
      <c r="V29">
        <v>14.9</v>
      </c>
      <c r="W29">
        <v>17</v>
      </c>
      <c r="X29">
        <v>19.2</v>
      </c>
      <c r="Y29">
        <v>16.3</v>
      </c>
      <c r="Z29">
        <v>25.2</v>
      </c>
      <c r="AA29">
        <v>24.5</v>
      </c>
    </row>
    <row r="31" spans="1:27" x14ac:dyDescent="0.25">
      <c r="C31">
        <v>1</v>
      </c>
      <c r="D31">
        <f t="array" ref="D31">MEDIAN(IF($C$3:$C$29=$C31,D$3:D$29,""))</f>
        <v>32.099999999999994</v>
      </c>
      <c r="E31">
        <f t="array" ref="E31">MEDIAN(IF($C$3:$C$29=$C31,E$3:E$29,""))</f>
        <v>31.85</v>
      </c>
      <c r="F31">
        <f t="array" ref="F31">MEDIAN(IF($C$3:$C$29=$C31,F$3:F$29,""))</f>
        <v>30</v>
      </c>
      <c r="G31">
        <f t="array" ref="G31">MEDIAN(IF($C$3:$C$29=$C31,G$3:G$29,""))</f>
        <v>29.65</v>
      </c>
      <c r="H31">
        <f t="array" ref="H31">MEDIAN(IF($C$3:$C$29=$C31,H$3:H$29,""))</f>
        <v>34.599999999999994</v>
      </c>
      <c r="I31">
        <f t="array" ref="I31">MEDIAN(IF($C$3:$C$29=$C31,I$3:I$29,""))</f>
        <v>25.1</v>
      </c>
      <c r="J31">
        <f t="array" ref="J31">MEDIAN(IF($C$3:$C$29=$C31,J$3:J$29,""))</f>
        <v>29.15</v>
      </c>
      <c r="K31">
        <f t="array" ref="K31">MEDIAN(IF($C$3:$C$29=$C31,K$3:K$29,""))</f>
        <v>26.15</v>
      </c>
      <c r="L31">
        <f t="array" ref="L31">MEDIAN(IF($C$3:$C$29=$C31,L$3:L$29,""))</f>
        <v>23.3</v>
      </c>
      <c r="M31">
        <f t="array" ref="M31">MEDIAN(IF($C$3:$C$29=$C31,M$3:M$29,""))</f>
        <v>21.7</v>
      </c>
      <c r="N31">
        <f t="array" ref="N31">MEDIAN(IF($C$3:$C$29=$C31,N$3:N$29,""))</f>
        <v>21.95</v>
      </c>
      <c r="O31">
        <f t="array" ref="O31">MEDIAN(IF($C$3:$C$29=$C31,O$3:O$29,""))</f>
        <v>22.799999999999997</v>
      </c>
      <c r="P31">
        <f t="array" ref="P31">MEDIAN(IF($C$3:$C$29=$C31,P$3:P$29,""))</f>
        <v>22.200000000000003</v>
      </c>
      <c r="Q31">
        <f t="array" ref="Q31">MEDIAN(IF($C$3:$C$29=$C31,Q$3:Q$29,""))</f>
        <v>20.149999999999999</v>
      </c>
      <c r="R31">
        <f t="array" ref="R31">MEDIAN(IF($C$3:$C$29=$C31,R$3:R$29,""))</f>
        <v>22.6</v>
      </c>
      <c r="S31">
        <f t="array" ref="S31">MEDIAN(IF($C$3:$C$29=$C31,S$3:S$29,""))</f>
        <v>23.15</v>
      </c>
      <c r="T31">
        <f t="array" ref="T31">MEDIAN(IF($C$3:$C$29=$C31,T$3:T$29,""))</f>
        <v>23.45</v>
      </c>
      <c r="U31">
        <f t="array" ref="U31">MEDIAN(IF($C$3:$C$29=$C31,U$3:U$29,""))</f>
        <v>22</v>
      </c>
      <c r="V31">
        <f t="array" ref="V31">MEDIAN(IF($C$3:$C$29=$C31,V$3:V$29,""))</f>
        <v>23.8</v>
      </c>
      <c r="W31">
        <f t="array" ref="W31">MEDIAN(IF($C$3:$C$29=$C31,W$3:W$29,""))</f>
        <v>22.4</v>
      </c>
      <c r="X31">
        <f t="array" ref="X31">MEDIAN(IF($C$3:$C$29=$C31,X$3:X$29,""))</f>
        <v>25.3</v>
      </c>
      <c r="Y31">
        <f t="array" ref="Y31">MEDIAN(IF($C$3:$C$29=$C31,Y$3:Y$29,""))</f>
        <v>23.65</v>
      </c>
      <c r="Z31">
        <f t="array" ref="Z31">MEDIAN(IF($C$3:$C$29=$C31,Z$3:Z$29,""))</f>
        <v>25.049999999999997</v>
      </c>
      <c r="AA31">
        <f t="array" ref="AA31">MEDIAN(IF($C$3:$C$29=$C31,AA$3:AA$29,""))</f>
        <v>29</v>
      </c>
    </row>
    <row r="32" spans="1:27" x14ac:dyDescent="0.25">
      <c r="C32">
        <v>2</v>
      </c>
      <c r="D32">
        <f t="array" ref="D32">MEDIAN(IF($C$3:$C$29=$C32,D$3:D$29,""))</f>
        <v>27.15</v>
      </c>
      <c r="E32">
        <f t="array" ref="E32">MEDIAN(IF($C$3:$C$29=$C32,E$3:E$29,""))</f>
        <v>35.700000000000003</v>
      </c>
      <c r="F32">
        <f t="array" ref="F32">MEDIAN(IF($C$3:$C$29=$C32,F$3:F$29,""))</f>
        <v>31.450000000000003</v>
      </c>
      <c r="G32">
        <f t="array" ref="G32">MEDIAN(IF($C$3:$C$29=$C32,G$3:G$29,""))</f>
        <v>28.950000000000003</v>
      </c>
      <c r="H32">
        <f t="array" ref="H32">MEDIAN(IF($C$3:$C$29=$C32,H$3:H$29,""))</f>
        <v>30.15</v>
      </c>
      <c r="I32">
        <f t="array" ref="I32">MEDIAN(IF($C$3:$C$29=$C32,I$3:I$29,""))</f>
        <v>26.5</v>
      </c>
      <c r="J32">
        <f t="array" ref="J32">MEDIAN(IF($C$3:$C$29=$C32,J$3:J$29,""))</f>
        <v>23.299999999999997</v>
      </c>
      <c r="K32">
        <f t="array" ref="K32">MEDIAN(IF($C$3:$C$29=$C32,K$3:K$29,""))</f>
        <v>23.05</v>
      </c>
      <c r="L32">
        <f t="array" ref="L32">MEDIAN(IF($C$3:$C$29=$C32,L$3:L$29,""))</f>
        <v>20.85</v>
      </c>
      <c r="M32">
        <f t="array" ref="M32">MEDIAN(IF($C$3:$C$29=$C32,M$3:M$29,""))</f>
        <v>18.850000000000001</v>
      </c>
      <c r="N32">
        <f t="array" ref="N32">MEDIAN(IF($C$3:$C$29=$C32,N$3:N$29,""))</f>
        <v>16.399999999999999</v>
      </c>
      <c r="O32">
        <f t="array" ref="O32">MEDIAN(IF($C$3:$C$29=$C32,O$3:O$29,""))</f>
        <v>18.350000000000001</v>
      </c>
      <c r="P32">
        <f t="array" ref="P32">MEDIAN(IF($C$3:$C$29=$C32,P$3:P$29,""))</f>
        <v>18.600000000000001</v>
      </c>
      <c r="Q32">
        <f t="array" ref="Q32">MEDIAN(IF($C$3:$C$29=$C32,Q$3:Q$29,""))</f>
        <v>20.75</v>
      </c>
      <c r="R32">
        <f t="array" ref="R32">MEDIAN(IF($C$3:$C$29=$C32,R$3:R$29,""))</f>
        <v>16.649999999999999</v>
      </c>
      <c r="S32">
        <f t="array" ref="S32">MEDIAN(IF($C$3:$C$29=$C32,S$3:S$29,""))</f>
        <v>23.2</v>
      </c>
      <c r="T32">
        <f t="array" ref="T32">MEDIAN(IF($C$3:$C$29=$C32,T$3:T$29,""))</f>
        <v>22.35</v>
      </c>
      <c r="U32">
        <f t="array" ref="U32">MEDIAN(IF($C$3:$C$29=$C32,U$3:U$29,""))</f>
        <v>21.15</v>
      </c>
      <c r="V32">
        <f t="array" ref="V32">MEDIAN(IF($C$3:$C$29=$C32,V$3:V$29,""))</f>
        <v>21.4</v>
      </c>
      <c r="W32">
        <f t="array" ref="W32">MEDIAN(IF($C$3:$C$29=$C32,W$3:W$29,""))</f>
        <v>21</v>
      </c>
      <c r="X32">
        <f t="array" ref="X32">MEDIAN(IF($C$3:$C$29=$C32,X$3:X$29,""))</f>
        <v>21.35</v>
      </c>
      <c r="Y32">
        <f t="array" ref="Y32">MEDIAN(IF($C$3:$C$29=$C32,Y$3:Y$29,""))</f>
        <v>27.2</v>
      </c>
      <c r="Z32">
        <f t="array" ref="Z32">MEDIAN(IF($C$3:$C$29=$C32,Z$3:Z$29,""))</f>
        <v>28</v>
      </c>
      <c r="AA32">
        <f t="array" ref="AA32">MEDIAN(IF($C$3:$C$29=$C32,AA$3:AA$29,""))</f>
        <v>30.75</v>
      </c>
    </row>
    <row r="33" spans="3:27" x14ac:dyDescent="0.25">
      <c r="C33">
        <v>3</v>
      </c>
      <c r="D33">
        <f t="array" ref="D33">MEDIAN(IF($C$3:$C$29=$C33,D$3:D$29,""))</f>
        <v>30.05</v>
      </c>
      <c r="E33">
        <f t="array" ref="E33">MEDIAN(IF($C$3:$C$29=$C33,E$3:E$29,""))</f>
        <v>33.75</v>
      </c>
      <c r="F33">
        <f t="array" ref="F33">MEDIAN(IF($C$3:$C$29=$C33,F$3:F$29,""))</f>
        <v>38.65</v>
      </c>
      <c r="G33">
        <f t="array" ref="G33">MEDIAN(IF($C$3:$C$29=$C33,G$3:G$29,""))</f>
        <v>32.549999999999997</v>
      </c>
      <c r="H33">
        <f t="array" ref="H33">MEDIAN(IF($C$3:$C$29=$C33,H$3:H$29,""))</f>
        <v>25</v>
      </c>
      <c r="I33">
        <f t="array" ref="I33">MEDIAN(IF($C$3:$C$29=$C33,I$3:I$29,""))</f>
        <v>23.5</v>
      </c>
      <c r="J33">
        <f t="array" ref="J33">MEDIAN(IF($C$3:$C$29=$C33,J$3:J$29,""))</f>
        <v>13.2</v>
      </c>
      <c r="K33">
        <f t="array" ref="K33">MEDIAN(IF($C$3:$C$29=$C33,K$3:K$29,""))</f>
        <v>9.6999999999999993</v>
      </c>
      <c r="L33">
        <f t="array" ref="L33">MEDIAN(IF($C$3:$C$29=$C33,L$3:L$29,""))</f>
        <v>6.85</v>
      </c>
      <c r="M33">
        <f t="array" ref="M33">MEDIAN(IF($C$3:$C$29=$C33,M$3:M$29,""))</f>
        <v>14.9</v>
      </c>
      <c r="N33">
        <f t="array" ref="N33">MEDIAN(IF($C$3:$C$29=$C33,N$3:N$29,""))</f>
        <v>14.65</v>
      </c>
      <c r="O33">
        <f t="array" ref="O33">MEDIAN(IF($C$3:$C$29=$C33,O$3:O$29,""))</f>
        <v>19.649999999999999</v>
      </c>
      <c r="P33">
        <f t="array" ref="P33">MEDIAN(IF($C$3:$C$29=$C33,P$3:P$29,""))</f>
        <v>17.75</v>
      </c>
      <c r="Q33">
        <f t="array" ref="Q33">MEDIAN(IF($C$3:$C$29=$C33,Q$3:Q$29,""))</f>
        <v>17.75</v>
      </c>
      <c r="R33">
        <f t="array" ref="R33">MEDIAN(IF($C$3:$C$29=$C33,R$3:R$29,""))</f>
        <v>18</v>
      </c>
      <c r="S33">
        <f t="array" ref="S33">MEDIAN(IF($C$3:$C$29=$C33,S$3:S$29,""))</f>
        <v>17.8</v>
      </c>
      <c r="T33">
        <f t="array" ref="T33">MEDIAN(IF($C$3:$C$29=$C33,T$3:T$29,""))</f>
        <v>18.600000000000001</v>
      </c>
      <c r="U33">
        <f t="array" ref="U33">MEDIAN(IF($C$3:$C$29=$C33,U$3:U$29,""))</f>
        <v>17.399999999999999</v>
      </c>
      <c r="V33">
        <f t="array" ref="V33">MEDIAN(IF($C$3:$C$29=$C33,V$3:V$29,""))</f>
        <v>19.049999999999997</v>
      </c>
      <c r="W33">
        <f t="array" ref="W33">MEDIAN(IF($C$3:$C$29=$C33,W$3:W$29,""))</f>
        <v>18.850000000000001</v>
      </c>
      <c r="X33">
        <f t="array" ref="X33">MEDIAN(IF($C$3:$C$29=$C33,X$3:X$29,""))</f>
        <v>23.4</v>
      </c>
      <c r="Y33">
        <f t="array" ref="Y33">MEDIAN(IF($C$3:$C$29=$C33,Y$3:Y$29,""))</f>
        <v>21.1</v>
      </c>
      <c r="Z33">
        <f t="array" ref="Z33">MEDIAN(IF($C$3:$C$29=$C33,Z$3:Z$29,""))</f>
        <v>22.4</v>
      </c>
      <c r="AA33">
        <f t="array" ref="AA33">MEDIAN(IF($C$3:$C$29=$C33,AA$3:AA$29,""))</f>
        <v>33.200000000000003</v>
      </c>
    </row>
    <row r="34" spans="3:27" x14ac:dyDescent="0.25">
      <c r="C34">
        <v>4</v>
      </c>
      <c r="D34">
        <f t="array" ref="D34">MEDIAN(IF($C$3:$C$29=$C34,D$3:D$29,""))</f>
        <v>30.55</v>
      </c>
      <c r="E34">
        <f t="array" ref="E34">MEDIAN(IF($C$3:$C$29=$C34,E$3:E$29,""))</f>
        <v>35.25</v>
      </c>
      <c r="F34">
        <f t="array" ref="F34">MEDIAN(IF($C$3:$C$29=$C34,F$3:F$29,""))</f>
        <v>33.049999999999997</v>
      </c>
      <c r="G34">
        <f t="array" ref="G34">MEDIAN(IF($C$3:$C$29=$C34,G$3:G$29,""))</f>
        <v>33.85</v>
      </c>
      <c r="H34">
        <f t="array" ref="H34">MEDIAN(IF($C$3:$C$29=$C34,H$3:H$29,""))</f>
        <v>24.6</v>
      </c>
      <c r="I34">
        <f t="array" ref="I34">MEDIAN(IF($C$3:$C$29=$C34,I$3:I$29,""))</f>
        <v>22.9</v>
      </c>
      <c r="J34">
        <f t="array" ref="J34">MEDIAN(IF($C$3:$C$29=$C34,J$3:J$29,""))</f>
        <v>14.05</v>
      </c>
      <c r="K34">
        <f t="array" ref="K34">MEDIAN(IF($C$3:$C$29=$C34,K$3:K$29,""))</f>
        <v>7.5</v>
      </c>
      <c r="L34">
        <f t="array" ref="L34">MEDIAN(IF($C$3:$C$29=$C34,L$3:L$29,""))</f>
        <v>5.1999999999999993</v>
      </c>
      <c r="M34">
        <f t="array" ref="M34">MEDIAN(IF($C$3:$C$29=$C34,M$3:M$29,""))</f>
        <v>9.1499999999999986</v>
      </c>
      <c r="N34">
        <f t="array" ref="N34">MEDIAN(IF($C$3:$C$29=$C34,N$3:N$29,""))</f>
        <v>15.45</v>
      </c>
      <c r="O34">
        <f t="array" ref="O34">MEDIAN(IF($C$3:$C$29=$C34,O$3:O$29,""))</f>
        <v>16.5</v>
      </c>
      <c r="P34">
        <f t="array" ref="P34">MEDIAN(IF($C$3:$C$29=$C34,P$3:P$29,""))</f>
        <v>18.75</v>
      </c>
      <c r="Q34">
        <f t="array" ref="Q34">MEDIAN(IF($C$3:$C$29=$C34,Q$3:Q$29,""))</f>
        <v>18.950000000000003</v>
      </c>
      <c r="R34">
        <f t="array" ref="R34">MEDIAN(IF($C$3:$C$29=$C34,R$3:R$29,""))</f>
        <v>18.100000000000001</v>
      </c>
      <c r="S34">
        <f t="array" ref="S34">MEDIAN(IF($C$3:$C$29=$C34,S$3:S$29,""))</f>
        <v>16.649999999999999</v>
      </c>
      <c r="T34">
        <f t="array" ref="T34">MEDIAN(IF($C$3:$C$29=$C34,T$3:T$29,""))</f>
        <v>19.45</v>
      </c>
      <c r="U34">
        <f t="array" ref="U34">MEDIAN(IF($C$3:$C$29=$C34,U$3:U$29,""))</f>
        <v>18.55</v>
      </c>
      <c r="V34">
        <f t="array" ref="V34">MEDIAN(IF($C$3:$C$29=$C34,V$3:V$29,""))</f>
        <v>19</v>
      </c>
      <c r="W34">
        <f t="array" ref="W34">MEDIAN(IF($C$3:$C$29=$C34,W$3:W$29,""))</f>
        <v>19.05</v>
      </c>
      <c r="X34">
        <f t="array" ref="X34">MEDIAN(IF($C$3:$C$29=$C34,X$3:X$29,""))</f>
        <v>19.600000000000001</v>
      </c>
      <c r="Y34">
        <f t="array" ref="Y34">MEDIAN(IF($C$3:$C$29=$C34,Y$3:Y$29,""))</f>
        <v>25.3</v>
      </c>
      <c r="Z34">
        <f t="array" ref="Z34">MEDIAN(IF($C$3:$C$29=$C34,Z$3:Z$29,""))</f>
        <v>25.049999999999997</v>
      </c>
      <c r="AA34">
        <f t="array" ref="AA34">MEDIAN(IF($C$3:$C$29=$C34,AA$3:AA$29,""))</f>
        <v>30.35</v>
      </c>
    </row>
    <row r="35" spans="3:27" x14ac:dyDescent="0.25">
      <c r="C35">
        <v>5</v>
      </c>
      <c r="D35">
        <f t="array" ref="D35">MEDIAN(IF($C$3:$C$29=$C35,D$3:D$29,""))</f>
        <v>31.2</v>
      </c>
      <c r="E35">
        <f t="array" ref="E35">MEDIAN(IF($C$3:$C$29=$C35,E$3:E$29,""))</f>
        <v>33.4</v>
      </c>
      <c r="F35">
        <f t="array" ref="F35">MEDIAN(IF($C$3:$C$29=$C35,F$3:F$29,""))</f>
        <v>36</v>
      </c>
      <c r="G35">
        <f t="array" ref="G35">MEDIAN(IF($C$3:$C$29=$C35,G$3:G$29,""))</f>
        <v>33.150000000000006</v>
      </c>
      <c r="H35">
        <f t="array" ref="H35">MEDIAN(IF($C$3:$C$29=$C35,H$3:H$29,""))</f>
        <v>26.3</v>
      </c>
      <c r="I35">
        <f t="array" ref="I35">MEDIAN(IF($C$3:$C$29=$C35,I$3:I$29,""))</f>
        <v>21.75</v>
      </c>
      <c r="J35">
        <f t="array" ref="J35">MEDIAN(IF($C$3:$C$29=$C35,J$3:J$29,""))</f>
        <v>15.05</v>
      </c>
      <c r="K35">
        <f t="array" ref="K35">MEDIAN(IF($C$3:$C$29=$C35,K$3:K$29,""))</f>
        <v>6.65</v>
      </c>
      <c r="L35">
        <f t="array" ref="L35">MEDIAN(IF($C$3:$C$29=$C35,L$3:L$29,""))</f>
        <v>5.5</v>
      </c>
      <c r="M35">
        <f t="array" ref="M35">MEDIAN(IF($C$3:$C$29=$C35,M$3:M$29,""))</f>
        <v>10.649999999999999</v>
      </c>
      <c r="N35">
        <f t="array" ref="N35">MEDIAN(IF($C$3:$C$29=$C35,N$3:N$29,""))</f>
        <v>16.899999999999999</v>
      </c>
      <c r="O35">
        <f t="array" ref="O35">MEDIAN(IF($C$3:$C$29=$C35,O$3:O$29,""))</f>
        <v>15.8</v>
      </c>
      <c r="P35">
        <f t="array" ref="P35">MEDIAN(IF($C$3:$C$29=$C35,P$3:P$29,""))</f>
        <v>17.899999999999999</v>
      </c>
      <c r="Q35">
        <f t="array" ref="Q35">MEDIAN(IF($C$3:$C$29=$C35,Q$3:Q$29,""))</f>
        <v>17.049999999999997</v>
      </c>
      <c r="R35">
        <f t="array" ref="R35">MEDIAN(IF($C$3:$C$29=$C35,R$3:R$29,""))</f>
        <v>18.600000000000001</v>
      </c>
      <c r="S35">
        <f t="array" ref="S35">MEDIAN(IF($C$3:$C$29=$C35,S$3:S$29,""))</f>
        <v>17.75</v>
      </c>
      <c r="T35">
        <f t="array" ref="T35">MEDIAN(IF($C$3:$C$29=$C35,T$3:T$29,""))</f>
        <v>16.149999999999999</v>
      </c>
      <c r="U35">
        <f t="array" ref="U35">MEDIAN(IF($C$3:$C$29=$C35,U$3:U$29,""))</f>
        <v>18.05</v>
      </c>
      <c r="V35">
        <f t="array" ref="V35">MEDIAN(IF($C$3:$C$29=$C35,V$3:V$29,""))</f>
        <v>18.75</v>
      </c>
      <c r="W35">
        <f t="array" ref="W35">MEDIAN(IF($C$3:$C$29=$C35,W$3:W$29,""))</f>
        <v>19.3</v>
      </c>
      <c r="X35">
        <f t="array" ref="X35">MEDIAN(IF($C$3:$C$29=$C35,X$3:X$29,""))</f>
        <v>22.15</v>
      </c>
      <c r="Y35">
        <f t="array" ref="Y35">MEDIAN(IF($C$3:$C$29=$C35,Y$3:Y$29,""))</f>
        <v>24.65</v>
      </c>
      <c r="Z35">
        <f t="array" ref="Z35">MEDIAN(IF($C$3:$C$29=$C35,Z$3:Z$29,""))</f>
        <v>23.799999999999997</v>
      </c>
      <c r="AA35">
        <f t="array" ref="AA35">MEDIAN(IF($C$3:$C$29=$C35,AA$3:AA$29,""))</f>
        <v>27.200000000000003</v>
      </c>
    </row>
    <row r="36" spans="3:27" x14ac:dyDescent="0.25">
      <c r="C36">
        <v>6</v>
      </c>
      <c r="D36">
        <f t="array" ref="D36">MEDIAN(IF($C$3:$C$29=$C36,D$3:D$29,""))</f>
        <v>30.3</v>
      </c>
      <c r="E36">
        <f t="array" ref="E36">MEDIAN(IF($C$3:$C$29=$C36,E$3:E$29,""))</f>
        <v>29.4</v>
      </c>
      <c r="F36">
        <f t="array" ref="F36">MEDIAN(IF($C$3:$C$29=$C36,F$3:F$29,""))</f>
        <v>34.6</v>
      </c>
      <c r="G36">
        <f t="array" ref="G36">MEDIAN(IF($C$3:$C$29=$C36,G$3:G$29,""))</f>
        <v>30.4</v>
      </c>
      <c r="H36">
        <f t="array" ref="H36">MEDIAN(IF($C$3:$C$29=$C36,H$3:H$29,""))</f>
        <v>25.6</v>
      </c>
      <c r="I36">
        <f t="array" ref="I36">MEDIAN(IF($C$3:$C$29=$C36,I$3:I$29,""))</f>
        <v>25</v>
      </c>
      <c r="J36">
        <f t="array" ref="J36">MEDIAN(IF($C$3:$C$29=$C36,J$3:J$29,""))</f>
        <v>13.8</v>
      </c>
      <c r="K36">
        <f t="array" ref="K36">MEDIAN(IF($C$3:$C$29=$C36,K$3:K$29,""))</f>
        <v>7.4</v>
      </c>
      <c r="L36">
        <f t="array" ref="L36">MEDIAN(IF($C$3:$C$29=$C36,L$3:L$29,""))</f>
        <v>6.5</v>
      </c>
      <c r="M36">
        <f t="array" ref="M36">MEDIAN(IF($C$3:$C$29=$C36,M$3:M$29,""))</f>
        <v>8.6999999999999993</v>
      </c>
      <c r="N36">
        <f t="array" ref="N36">MEDIAN(IF($C$3:$C$29=$C36,N$3:N$29,""))</f>
        <v>19.399999999999999</v>
      </c>
      <c r="O36">
        <f t="array" ref="O36">MEDIAN(IF($C$3:$C$29=$C36,O$3:O$29,""))</f>
        <v>18.2</v>
      </c>
      <c r="P36">
        <f t="array" ref="P36">MEDIAN(IF($C$3:$C$29=$C36,P$3:P$29,""))</f>
        <v>16.7</v>
      </c>
      <c r="Q36">
        <f t="array" ref="Q36">MEDIAN(IF($C$3:$C$29=$C36,Q$3:Q$29,""))</f>
        <v>12.8</v>
      </c>
      <c r="R36">
        <f t="array" ref="R36">MEDIAN(IF($C$3:$C$29=$C36,R$3:R$29,""))</f>
        <v>18.899999999999999</v>
      </c>
      <c r="S36">
        <f t="array" ref="S36">MEDIAN(IF($C$3:$C$29=$C36,S$3:S$29,""))</f>
        <v>17.8</v>
      </c>
      <c r="T36">
        <f t="array" ref="T36">MEDIAN(IF($C$3:$C$29=$C36,T$3:T$29,""))</f>
        <v>16.100000000000001</v>
      </c>
      <c r="U36">
        <f t="array" ref="U36">MEDIAN(IF($C$3:$C$29=$C36,U$3:U$29,""))</f>
        <v>20.2</v>
      </c>
      <c r="V36">
        <f t="array" ref="V36">MEDIAN(IF($C$3:$C$29=$C36,V$3:V$29,""))</f>
        <v>17.100000000000001</v>
      </c>
      <c r="W36">
        <f t="array" ref="W36">MEDIAN(IF($C$3:$C$29=$C36,W$3:W$29,""))</f>
        <v>16</v>
      </c>
      <c r="X36">
        <f t="array" ref="X36">MEDIAN(IF($C$3:$C$29=$C36,X$3:X$29,""))</f>
        <v>20.100000000000001</v>
      </c>
      <c r="Y36">
        <f t="array" ref="Y36">MEDIAN(IF($C$3:$C$29=$C36,Y$3:Y$29,""))</f>
        <v>23.4</v>
      </c>
      <c r="Z36">
        <f t="array" ref="Z36">MEDIAN(IF($C$3:$C$29=$C36,Z$3:Z$29,""))</f>
        <v>25.3</v>
      </c>
      <c r="AA36">
        <f t="array" ref="AA36">MEDIAN(IF($C$3:$C$29=$C36,AA$3:AA$29,""))</f>
        <v>30.8</v>
      </c>
    </row>
    <row r="37" spans="3:27" x14ac:dyDescent="0.25">
      <c r="C37">
        <v>7</v>
      </c>
      <c r="D37">
        <f t="array" ref="D37">MEDIAN(IF($C$3:$C$29=$C37,D$3:D$29,""))</f>
        <v>32.4</v>
      </c>
      <c r="E37">
        <f t="array" ref="E37">MEDIAN(IF($C$3:$C$29=$C37,E$3:E$29,""))</f>
        <v>36.299999999999997</v>
      </c>
      <c r="F37">
        <f t="array" ref="F37">MEDIAN(IF($C$3:$C$29=$C37,F$3:F$29,""))</f>
        <v>35.349999999999994</v>
      </c>
      <c r="G37">
        <f t="array" ref="G37">MEDIAN(IF($C$3:$C$29=$C37,G$3:G$29,""))</f>
        <v>32.9</v>
      </c>
      <c r="H37">
        <f t="array" ref="H37">MEDIAN(IF($C$3:$C$29=$C37,H$3:H$29,""))</f>
        <v>24.45</v>
      </c>
      <c r="I37">
        <f t="array" ref="I37">MEDIAN(IF($C$3:$C$29=$C37,I$3:I$29,""))</f>
        <v>22.55</v>
      </c>
      <c r="J37">
        <f t="array" ref="J37">MEDIAN(IF($C$3:$C$29=$C37,J$3:J$29,""))</f>
        <v>16.149999999999999</v>
      </c>
      <c r="K37">
        <f t="array" ref="K37">MEDIAN(IF($C$3:$C$29=$C37,K$3:K$29,""))</f>
        <v>10.55</v>
      </c>
      <c r="L37">
        <f t="array" ref="L37">MEDIAN(IF($C$3:$C$29=$C37,L$3:L$29,""))</f>
        <v>7.75</v>
      </c>
      <c r="M37">
        <f t="array" ref="M37">MEDIAN(IF($C$3:$C$29=$C37,M$3:M$29,""))</f>
        <v>10.6</v>
      </c>
      <c r="N37">
        <f t="array" ref="N37">MEDIAN(IF($C$3:$C$29=$C37,N$3:N$29,""))</f>
        <v>19.2</v>
      </c>
      <c r="O37">
        <f t="array" ref="O37">MEDIAN(IF($C$3:$C$29=$C37,O$3:O$29,""))</f>
        <v>21.65</v>
      </c>
      <c r="P37">
        <f t="array" ref="P37">MEDIAN(IF($C$3:$C$29=$C37,P$3:P$29,""))</f>
        <v>20.6</v>
      </c>
      <c r="Q37">
        <f t="array" ref="Q37">MEDIAN(IF($C$3:$C$29=$C37,Q$3:Q$29,""))</f>
        <v>18</v>
      </c>
      <c r="R37">
        <f t="array" ref="R37">MEDIAN(IF($C$3:$C$29=$C37,R$3:R$29,""))</f>
        <v>17.100000000000001</v>
      </c>
      <c r="S37">
        <f t="array" ref="S37">MEDIAN(IF($C$3:$C$29=$C37,S$3:S$29,""))</f>
        <v>19.600000000000001</v>
      </c>
      <c r="T37">
        <f t="array" ref="T37">MEDIAN(IF($C$3:$C$29=$C37,T$3:T$29,""))</f>
        <v>17.3</v>
      </c>
      <c r="U37">
        <f t="array" ref="U37">MEDIAN(IF($C$3:$C$29=$C37,U$3:U$29,""))</f>
        <v>18</v>
      </c>
      <c r="V37">
        <f t="array" ref="V37">MEDIAN(IF($C$3:$C$29=$C37,V$3:V$29,""))</f>
        <v>18.100000000000001</v>
      </c>
      <c r="W37">
        <f t="array" ref="W37">MEDIAN(IF($C$3:$C$29=$C37,W$3:W$29,""))</f>
        <v>19.950000000000003</v>
      </c>
      <c r="X37">
        <f t="array" ref="X37">MEDIAN(IF($C$3:$C$29=$C37,X$3:X$29,""))</f>
        <v>21</v>
      </c>
      <c r="Y37">
        <f t="array" ref="Y37">MEDIAN(IF($C$3:$C$29=$C37,Y$3:Y$29,""))</f>
        <v>20.95</v>
      </c>
      <c r="Z37">
        <f t="array" ref="Z37">MEDIAN(IF($C$3:$C$29=$C37,Z$3:Z$29,""))</f>
        <v>23.05</v>
      </c>
      <c r="AA37">
        <f t="array" ref="AA37">MEDIAN(IF($C$3:$C$29=$C37,AA$3:AA$29,""))</f>
        <v>29.299999999999997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4"/>
  <dimension ref="A1:AA37"/>
  <sheetViews>
    <sheetView workbookViewId="0">
      <selection activeCell="G31" sqref="G31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22.7</v>
      </c>
      <c r="E3">
        <v>30.5</v>
      </c>
      <c r="F3">
        <v>30</v>
      </c>
      <c r="G3">
        <v>27.5</v>
      </c>
      <c r="H3">
        <v>24</v>
      </c>
      <c r="I3">
        <v>20.5</v>
      </c>
      <c r="J3">
        <v>14.6</v>
      </c>
      <c r="K3">
        <v>10.5</v>
      </c>
      <c r="L3">
        <v>9.1</v>
      </c>
      <c r="M3">
        <v>7.4</v>
      </c>
      <c r="N3">
        <v>14</v>
      </c>
      <c r="O3">
        <v>14.9</v>
      </c>
      <c r="P3">
        <v>12.7</v>
      </c>
      <c r="Q3">
        <v>15.9</v>
      </c>
      <c r="R3">
        <v>15.6</v>
      </c>
      <c r="S3">
        <v>19.100000000000001</v>
      </c>
      <c r="T3">
        <v>19.100000000000001</v>
      </c>
      <c r="U3">
        <v>15.5</v>
      </c>
      <c r="V3">
        <v>15</v>
      </c>
      <c r="W3">
        <v>17.899999999999999</v>
      </c>
      <c r="X3">
        <v>18.2</v>
      </c>
      <c r="Y3">
        <v>18.2</v>
      </c>
      <c r="Z3">
        <v>18.899999999999999</v>
      </c>
      <c r="AA3">
        <v>22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19.7</v>
      </c>
      <c r="E4">
        <v>26.3</v>
      </c>
      <c r="F4">
        <v>22.3</v>
      </c>
      <c r="G4">
        <v>22.9</v>
      </c>
      <c r="H4">
        <v>23.6</v>
      </c>
      <c r="I4">
        <v>23.9</v>
      </c>
      <c r="J4">
        <v>20</v>
      </c>
      <c r="K4">
        <v>15.2</v>
      </c>
      <c r="L4">
        <v>20.5</v>
      </c>
      <c r="M4">
        <v>14.1</v>
      </c>
      <c r="N4">
        <v>12.6</v>
      </c>
      <c r="O4">
        <v>13.7</v>
      </c>
      <c r="P4">
        <v>16.5</v>
      </c>
      <c r="Q4">
        <v>20</v>
      </c>
      <c r="R4">
        <v>14.8</v>
      </c>
      <c r="S4">
        <v>14.8</v>
      </c>
      <c r="T4">
        <v>15.9</v>
      </c>
      <c r="U4">
        <v>17.899999999999999</v>
      </c>
      <c r="V4">
        <v>19.2</v>
      </c>
      <c r="W4">
        <v>20.399999999999999</v>
      </c>
      <c r="X4">
        <v>18.899999999999999</v>
      </c>
      <c r="Y4">
        <v>14.4</v>
      </c>
      <c r="Z4">
        <v>21.8</v>
      </c>
      <c r="AA4">
        <v>24.8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21.8</v>
      </c>
      <c r="E5">
        <v>26.4</v>
      </c>
      <c r="F5">
        <v>20.9</v>
      </c>
      <c r="G5">
        <v>22.4</v>
      </c>
      <c r="H5">
        <v>29.8</v>
      </c>
      <c r="I5">
        <v>25.2</v>
      </c>
      <c r="J5">
        <v>25.6</v>
      </c>
      <c r="K5">
        <v>20.6</v>
      </c>
      <c r="L5">
        <v>21.1</v>
      </c>
      <c r="M5">
        <v>18.5</v>
      </c>
      <c r="N5">
        <v>17.399999999999999</v>
      </c>
      <c r="O5">
        <v>18.5</v>
      </c>
      <c r="P5">
        <v>18.100000000000001</v>
      </c>
      <c r="Q5">
        <v>14.7</v>
      </c>
      <c r="R5">
        <v>19.399999999999999</v>
      </c>
      <c r="S5">
        <v>16.899999999999999</v>
      </c>
      <c r="T5">
        <v>14.9</v>
      </c>
      <c r="U5">
        <v>19.5</v>
      </c>
      <c r="V5">
        <v>13.6</v>
      </c>
      <c r="W5">
        <v>16.2</v>
      </c>
      <c r="X5">
        <v>17.100000000000001</v>
      </c>
      <c r="Y5">
        <v>16</v>
      </c>
      <c r="Z5">
        <v>17.399999999999999</v>
      </c>
      <c r="AA5">
        <v>26.2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23.1</v>
      </c>
      <c r="E6">
        <v>30.1</v>
      </c>
      <c r="F6">
        <v>26.9</v>
      </c>
      <c r="G6">
        <v>29.4</v>
      </c>
      <c r="H6">
        <v>23</v>
      </c>
      <c r="I6">
        <v>20.6</v>
      </c>
      <c r="J6">
        <v>13.7</v>
      </c>
      <c r="K6">
        <v>9.6</v>
      </c>
      <c r="L6">
        <v>6.5</v>
      </c>
      <c r="M6">
        <v>7.8</v>
      </c>
      <c r="N6">
        <v>9.1999999999999993</v>
      </c>
      <c r="O6">
        <v>15.4</v>
      </c>
      <c r="P6">
        <v>15.1</v>
      </c>
      <c r="Q6">
        <v>15.8</v>
      </c>
      <c r="R6">
        <v>13.8</v>
      </c>
      <c r="S6">
        <v>15.2</v>
      </c>
      <c r="T6">
        <v>16.899999999999999</v>
      </c>
      <c r="U6">
        <v>16.600000000000001</v>
      </c>
      <c r="V6">
        <v>17.2</v>
      </c>
      <c r="W6">
        <v>15.1</v>
      </c>
      <c r="X6">
        <v>19.3</v>
      </c>
      <c r="Y6">
        <v>19</v>
      </c>
      <c r="Z6">
        <v>21.5</v>
      </c>
      <c r="AA6">
        <v>25.5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22.7</v>
      </c>
      <c r="E7">
        <v>28.9</v>
      </c>
      <c r="F7">
        <v>27.7</v>
      </c>
      <c r="G7">
        <v>23.2</v>
      </c>
      <c r="H7">
        <v>26.3</v>
      </c>
      <c r="I7">
        <v>20.3</v>
      </c>
      <c r="J7">
        <v>11.3</v>
      </c>
      <c r="K7">
        <v>5.7</v>
      </c>
      <c r="L7">
        <v>4.5999999999999996</v>
      </c>
      <c r="M7">
        <v>9.1999999999999993</v>
      </c>
      <c r="N7">
        <v>11.2</v>
      </c>
      <c r="O7">
        <v>11.7</v>
      </c>
      <c r="P7">
        <v>18.600000000000001</v>
      </c>
      <c r="Q7">
        <v>14.6</v>
      </c>
      <c r="R7">
        <v>11.6</v>
      </c>
      <c r="S7">
        <v>15.5</v>
      </c>
      <c r="T7">
        <v>16.100000000000001</v>
      </c>
      <c r="U7">
        <v>15.8</v>
      </c>
      <c r="V7">
        <v>9.1999999999999993</v>
      </c>
      <c r="W7">
        <v>17.899999999999999</v>
      </c>
      <c r="X7">
        <v>22.7</v>
      </c>
      <c r="Y7">
        <v>26</v>
      </c>
      <c r="Z7">
        <v>17.3</v>
      </c>
      <c r="AA7">
        <v>24.6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24.3</v>
      </c>
      <c r="E8">
        <v>17</v>
      </c>
      <c r="F8">
        <v>20.9</v>
      </c>
      <c r="G8">
        <v>22.7</v>
      </c>
      <c r="H8">
        <v>25</v>
      </c>
      <c r="I8">
        <v>23.3</v>
      </c>
      <c r="J8">
        <v>12.4</v>
      </c>
      <c r="K8">
        <v>5.5</v>
      </c>
      <c r="L8">
        <v>4.7</v>
      </c>
      <c r="M8">
        <v>8.1999999999999993</v>
      </c>
      <c r="N8">
        <v>12.1</v>
      </c>
      <c r="O8">
        <v>3.3</v>
      </c>
      <c r="P8">
        <v>11.6</v>
      </c>
      <c r="Q8">
        <v>11</v>
      </c>
      <c r="R8">
        <v>13.4</v>
      </c>
      <c r="S8">
        <v>16.899999999999999</v>
      </c>
      <c r="T8">
        <v>10.4</v>
      </c>
      <c r="U8">
        <v>14.4</v>
      </c>
      <c r="V8">
        <v>16.899999999999999</v>
      </c>
      <c r="W8">
        <v>19</v>
      </c>
      <c r="X8">
        <v>18.5</v>
      </c>
      <c r="Y8">
        <v>22.6</v>
      </c>
      <c r="Z8">
        <v>24.7</v>
      </c>
      <c r="AA8">
        <v>22.9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23.1</v>
      </c>
      <c r="E9">
        <v>22.2</v>
      </c>
      <c r="F9">
        <v>25.9</v>
      </c>
      <c r="G9">
        <v>32.200000000000003</v>
      </c>
      <c r="H9">
        <v>24.9</v>
      </c>
      <c r="I9">
        <v>19.100000000000001</v>
      </c>
      <c r="J9">
        <v>10</v>
      </c>
      <c r="K9">
        <v>5.8</v>
      </c>
      <c r="L9">
        <v>3.8</v>
      </c>
      <c r="M9">
        <v>6.6</v>
      </c>
      <c r="N9">
        <v>13.3</v>
      </c>
      <c r="O9">
        <v>15</v>
      </c>
      <c r="P9">
        <v>16.600000000000001</v>
      </c>
      <c r="Q9">
        <v>11.4</v>
      </c>
      <c r="R9">
        <v>14.9</v>
      </c>
      <c r="S9">
        <v>15.3</v>
      </c>
      <c r="T9">
        <v>13.2</v>
      </c>
      <c r="U9">
        <v>16.7</v>
      </c>
      <c r="V9">
        <v>15.2</v>
      </c>
      <c r="W9">
        <v>16.5</v>
      </c>
      <c r="X9">
        <v>16.2</v>
      </c>
      <c r="Y9">
        <v>19.7</v>
      </c>
      <c r="Z9">
        <v>19.399999999999999</v>
      </c>
      <c r="AA9">
        <v>22.3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25.9</v>
      </c>
      <c r="E10">
        <v>33.700000000000003</v>
      </c>
      <c r="F10">
        <v>30.4</v>
      </c>
      <c r="G10">
        <v>23.8</v>
      </c>
      <c r="H10">
        <v>21.5</v>
      </c>
      <c r="I10">
        <v>19.100000000000001</v>
      </c>
      <c r="J10">
        <v>11.2</v>
      </c>
      <c r="K10">
        <v>6.9</v>
      </c>
      <c r="L10">
        <v>6.9</v>
      </c>
      <c r="M10">
        <v>9.8000000000000007</v>
      </c>
      <c r="N10">
        <v>15.6</v>
      </c>
      <c r="O10">
        <v>14.8</v>
      </c>
      <c r="P10">
        <v>10.8</v>
      </c>
      <c r="Q10">
        <v>13.5</v>
      </c>
      <c r="R10">
        <v>13.8</v>
      </c>
      <c r="S10">
        <v>15.7</v>
      </c>
      <c r="T10">
        <v>15.6</v>
      </c>
      <c r="U10">
        <v>13.6</v>
      </c>
      <c r="V10">
        <v>14.4</v>
      </c>
      <c r="W10">
        <v>15</v>
      </c>
      <c r="X10">
        <v>18.5</v>
      </c>
      <c r="Y10">
        <v>17.5</v>
      </c>
      <c r="Z10">
        <v>23.1</v>
      </c>
      <c r="AA10">
        <v>19.8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21.3</v>
      </c>
      <c r="E11">
        <v>29</v>
      </c>
      <c r="F11">
        <v>23.5</v>
      </c>
      <c r="G11">
        <v>23.3</v>
      </c>
      <c r="H11">
        <v>22.3</v>
      </c>
      <c r="I11">
        <v>21.8</v>
      </c>
      <c r="J11">
        <v>20.7</v>
      </c>
      <c r="K11">
        <v>19.7</v>
      </c>
      <c r="L11">
        <v>16.399999999999999</v>
      </c>
      <c r="M11">
        <v>14.5</v>
      </c>
      <c r="N11">
        <v>13.6</v>
      </c>
      <c r="O11">
        <v>14</v>
      </c>
      <c r="P11">
        <v>12.7</v>
      </c>
      <c r="Q11">
        <v>11.8</v>
      </c>
      <c r="R11">
        <v>12.4</v>
      </c>
      <c r="S11">
        <v>18.600000000000001</v>
      </c>
      <c r="T11">
        <v>17.100000000000001</v>
      </c>
      <c r="U11">
        <v>17</v>
      </c>
      <c r="V11">
        <v>15.8</v>
      </c>
      <c r="W11">
        <v>17.5</v>
      </c>
      <c r="X11">
        <v>17.5</v>
      </c>
      <c r="Y11">
        <v>26.2</v>
      </c>
      <c r="Z11">
        <v>20.100000000000001</v>
      </c>
      <c r="AA11">
        <v>26.3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26.1</v>
      </c>
      <c r="E12">
        <v>26.5</v>
      </c>
      <c r="F12">
        <v>22.8</v>
      </c>
      <c r="G12">
        <v>25.7</v>
      </c>
      <c r="H12">
        <v>30.6</v>
      </c>
      <c r="I12">
        <v>27</v>
      </c>
      <c r="J12">
        <v>19.7</v>
      </c>
      <c r="K12">
        <v>21.7</v>
      </c>
      <c r="L12">
        <v>21.3</v>
      </c>
      <c r="M12">
        <v>16.7</v>
      </c>
      <c r="N12">
        <v>18.5</v>
      </c>
      <c r="O12">
        <v>19</v>
      </c>
      <c r="P12">
        <v>19.5</v>
      </c>
      <c r="Q12">
        <v>16.7</v>
      </c>
      <c r="R12">
        <v>17.8</v>
      </c>
      <c r="S12">
        <v>15.4</v>
      </c>
      <c r="T12">
        <v>19.8</v>
      </c>
      <c r="U12">
        <v>16.899999999999999</v>
      </c>
      <c r="V12">
        <v>21</v>
      </c>
      <c r="W12">
        <v>21.7</v>
      </c>
      <c r="X12">
        <v>21.9</v>
      </c>
      <c r="Y12">
        <v>17.7</v>
      </c>
      <c r="Z12">
        <v>22.1</v>
      </c>
      <c r="AA12">
        <v>23.9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25.2</v>
      </c>
      <c r="E13">
        <v>32.799999999999997</v>
      </c>
      <c r="F13">
        <v>28.2</v>
      </c>
      <c r="G13">
        <v>31.7</v>
      </c>
      <c r="H13">
        <v>21.9</v>
      </c>
      <c r="I13">
        <v>19.8</v>
      </c>
      <c r="J13">
        <v>6.4</v>
      </c>
      <c r="K13">
        <v>4</v>
      </c>
      <c r="L13">
        <v>4.7</v>
      </c>
      <c r="M13">
        <v>9.1</v>
      </c>
      <c r="N13">
        <v>13</v>
      </c>
      <c r="O13">
        <v>16.600000000000001</v>
      </c>
      <c r="P13">
        <v>15</v>
      </c>
      <c r="Q13">
        <v>13.6</v>
      </c>
      <c r="R13">
        <v>15.8</v>
      </c>
      <c r="S13">
        <v>16.3</v>
      </c>
      <c r="T13">
        <v>17.5</v>
      </c>
      <c r="U13">
        <v>9.1</v>
      </c>
      <c r="V13">
        <v>14.6</v>
      </c>
      <c r="W13">
        <v>14</v>
      </c>
      <c r="X13">
        <v>17.5</v>
      </c>
      <c r="Y13">
        <v>21.4</v>
      </c>
      <c r="Z13">
        <v>20.9</v>
      </c>
      <c r="AA13">
        <v>24.1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28.4</v>
      </c>
      <c r="E14">
        <v>24.3</v>
      </c>
      <c r="F14">
        <v>27.4</v>
      </c>
      <c r="G14">
        <v>26.2</v>
      </c>
      <c r="H14">
        <v>20.5</v>
      </c>
      <c r="I14">
        <v>20.399999999999999</v>
      </c>
      <c r="J14">
        <v>11.6</v>
      </c>
      <c r="K14">
        <v>7.7</v>
      </c>
      <c r="L14">
        <v>3.8</v>
      </c>
      <c r="M14">
        <v>6.6</v>
      </c>
      <c r="N14">
        <v>14.4</v>
      </c>
      <c r="O14">
        <v>14.6</v>
      </c>
      <c r="P14">
        <v>15</v>
      </c>
      <c r="Q14">
        <v>16.8</v>
      </c>
      <c r="R14">
        <v>16.600000000000001</v>
      </c>
      <c r="S14">
        <v>13.1</v>
      </c>
      <c r="T14">
        <v>18.7</v>
      </c>
      <c r="U14">
        <v>14.2</v>
      </c>
      <c r="V14">
        <v>12.2</v>
      </c>
      <c r="W14">
        <v>17.100000000000001</v>
      </c>
      <c r="X14">
        <v>17.899999999999999</v>
      </c>
      <c r="Y14">
        <v>19.100000000000001</v>
      </c>
      <c r="Z14">
        <v>18.899999999999999</v>
      </c>
      <c r="AA14">
        <v>20.100000000000001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26.8</v>
      </c>
      <c r="E15">
        <v>29.2</v>
      </c>
      <c r="F15">
        <v>32.1</v>
      </c>
      <c r="G15">
        <v>25.4</v>
      </c>
      <c r="H15">
        <v>24.4</v>
      </c>
      <c r="I15">
        <v>21.6</v>
      </c>
      <c r="J15">
        <v>11.5</v>
      </c>
      <c r="K15">
        <v>7.2</v>
      </c>
      <c r="L15">
        <v>4.9000000000000004</v>
      </c>
      <c r="M15">
        <v>7.5</v>
      </c>
      <c r="N15">
        <v>11.2</v>
      </c>
      <c r="O15">
        <v>13.1</v>
      </c>
      <c r="P15">
        <v>12.3</v>
      </c>
      <c r="Q15">
        <v>14.1</v>
      </c>
      <c r="R15">
        <v>14.1</v>
      </c>
      <c r="S15">
        <v>14.7</v>
      </c>
      <c r="T15">
        <v>11.9</v>
      </c>
      <c r="U15">
        <v>9.8000000000000007</v>
      </c>
      <c r="V15">
        <v>14.8</v>
      </c>
      <c r="W15">
        <v>17.399999999999999</v>
      </c>
      <c r="X15">
        <v>17.899999999999999</v>
      </c>
      <c r="Y15">
        <v>21.4</v>
      </c>
      <c r="Z15">
        <v>19.2</v>
      </c>
      <c r="AA15">
        <v>24.5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25.2</v>
      </c>
      <c r="E16">
        <v>30.6</v>
      </c>
      <c r="F16">
        <v>33.5</v>
      </c>
      <c r="G16">
        <v>25.1</v>
      </c>
      <c r="H16">
        <v>26.9</v>
      </c>
      <c r="I16">
        <v>20</v>
      </c>
      <c r="J16">
        <v>11.4</v>
      </c>
      <c r="K16">
        <v>6.8</v>
      </c>
      <c r="L16">
        <v>5.9</v>
      </c>
      <c r="M16">
        <v>6.3</v>
      </c>
      <c r="N16">
        <v>6.5</v>
      </c>
      <c r="O16">
        <v>7.1</v>
      </c>
      <c r="P16">
        <v>8.1999999999999993</v>
      </c>
      <c r="Q16">
        <v>8.1</v>
      </c>
      <c r="R16">
        <v>10.199999999999999</v>
      </c>
      <c r="S16">
        <v>13.4</v>
      </c>
      <c r="T16">
        <v>14.9</v>
      </c>
      <c r="U16">
        <v>17.399999999999999</v>
      </c>
      <c r="V16">
        <v>15</v>
      </c>
      <c r="W16">
        <v>12.3</v>
      </c>
      <c r="X16">
        <v>19.399999999999999</v>
      </c>
      <c r="Y16">
        <v>18.2</v>
      </c>
      <c r="Z16">
        <v>15.7</v>
      </c>
      <c r="AA16">
        <v>25.1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25.9</v>
      </c>
      <c r="E17">
        <v>28</v>
      </c>
      <c r="F17">
        <v>24.7</v>
      </c>
      <c r="G17">
        <v>29.9</v>
      </c>
      <c r="H17">
        <v>29</v>
      </c>
      <c r="I17">
        <v>25.3</v>
      </c>
      <c r="J17">
        <v>14.3</v>
      </c>
      <c r="K17">
        <v>8.1999999999999993</v>
      </c>
      <c r="L17">
        <v>4.7</v>
      </c>
      <c r="M17">
        <v>7.4</v>
      </c>
      <c r="N17">
        <v>14.5</v>
      </c>
      <c r="O17">
        <v>13.2</v>
      </c>
      <c r="P17">
        <v>16.3</v>
      </c>
      <c r="Q17">
        <v>14.9</v>
      </c>
      <c r="R17">
        <v>11.4</v>
      </c>
      <c r="S17">
        <v>12.5</v>
      </c>
      <c r="T17">
        <v>15.2</v>
      </c>
      <c r="U17">
        <v>15.3</v>
      </c>
      <c r="V17">
        <v>14.9</v>
      </c>
      <c r="W17">
        <v>14.8</v>
      </c>
      <c r="X17">
        <v>18.899999999999999</v>
      </c>
      <c r="Y17">
        <v>15.9</v>
      </c>
      <c r="Z17">
        <v>17.100000000000001</v>
      </c>
      <c r="AA17">
        <v>26.6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23.3</v>
      </c>
      <c r="E18">
        <v>25.6</v>
      </c>
      <c r="F18">
        <v>25.5</v>
      </c>
      <c r="G18">
        <v>26</v>
      </c>
      <c r="H18">
        <v>24.3</v>
      </c>
      <c r="I18">
        <v>20</v>
      </c>
      <c r="J18">
        <v>22.3</v>
      </c>
      <c r="K18">
        <v>17.5</v>
      </c>
      <c r="L18">
        <v>5.9</v>
      </c>
      <c r="M18">
        <v>4.7</v>
      </c>
      <c r="N18">
        <v>6.8</v>
      </c>
      <c r="O18">
        <v>11</v>
      </c>
      <c r="P18">
        <v>10.199999999999999</v>
      </c>
      <c r="Q18">
        <v>12.9</v>
      </c>
      <c r="R18">
        <v>15.8</v>
      </c>
      <c r="S18">
        <v>20.100000000000001</v>
      </c>
      <c r="T18">
        <v>17.7</v>
      </c>
      <c r="U18">
        <v>16.399999999999999</v>
      </c>
      <c r="V18">
        <v>20.9</v>
      </c>
      <c r="W18">
        <v>14.3</v>
      </c>
      <c r="X18">
        <v>13.9</v>
      </c>
      <c r="Y18">
        <v>17.100000000000001</v>
      </c>
      <c r="Z18">
        <v>27.2</v>
      </c>
      <c r="AA18">
        <v>24.7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21.4</v>
      </c>
      <c r="E19">
        <v>24.9</v>
      </c>
      <c r="F19">
        <v>26.5</v>
      </c>
      <c r="G19">
        <v>21.8</v>
      </c>
      <c r="H19">
        <v>29</v>
      </c>
      <c r="I19">
        <v>18.8</v>
      </c>
      <c r="J19">
        <v>24.8</v>
      </c>
      <c r="K19">
        <v>17.399999999999999</v>
      </c>
      <c r="L19">
        <v>21.1</v>
      </c>
      <c r="M19">
        <v>18.7</v>
      </c>
      <c r="N19">
        <v>18.2</v>
      </c>
      <c r="O19">
        <v>19.8</v>
      </c>
      <c r="P19">
        <v>14.3</v>
      </c>
      <c r="Q19">
        <v>16.899999999999999</v>
      </c>
      <c r="R19">
        <v>17.600000000000001</v>
      </c>
      <c r="S19">
        <v>17.600000000000001</v>
      </c>
      <c r="T19">
        <v>16.399999999999999</v>
      </c>
      <c r="U19">
        <v>18.399999999999999</v>
      </c>
      <c r="V19">
        <v>17.100000000000001</v>
      </c>
      <c r="W19">
        <v>20</v>
      </c>
      <c r="X19">
        <v>19.3</v>
      </c>
      <c r="Y19">
        <v>20</v>
      </c>
      <c r="Z19">
        <v>23.3</v>
      </c>
      <c r="AA19">
        <v>24.8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27.9</v>
      </c>
      <c r="E20">
        <v>22.9</v>
      </c>
      <c r="F20">
        <v>34.9</v>
      </c>
      <c r="G20">
        <v>27.8</v>
      </c>
      <c r="H20">
        <v>26.2</v>
      </c>
      <c r="I20">
        <v>22.6</v>
      </c>
      <c r="J20">
        <v>11</v>
      </c>
      <c r="K20">
        <v>7.8</v>
      </c>
      <c r="L20">
        <v>7.1</v>
      </c>
      <c r="M20">
        <v>10.8</v>
      </c>
      <c r="N20">
        <v>5.6</v>
      </c>
      <c r="O20">
        <v>15.9</v>
      </c>
      <c r="P20">
        <v>16</v>
      </c>
      <c r="Q20">
        <v>15.6</v>
      </c>
      <c r="R20">
        <v>10.9</v>
      </c>
      <c r="S20">
        <v>16.100000000000001</v>
      </c>
      <c r="T20">
        <v>15.4</v>
      </c>
      <c r="U20">
        <v>15.4</v>
      </c>
      <c r="V20">
        <v>16.8</v>
      </c>
      <c r="W20">
        <v>14</v>
      </c>
      <c r="X20">
        <v>19.899999999999999</v>
      </c>
      <c r="Y20">
        <v>16.399999999999999</v>
      </c>
      <c r="Z20">
        <v>21.6</v>
      </c>
      <c r="AA20">
        <v>30.4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22.2</v>
      </c>
      <c r="E21">
        <v>29.7</v>
      </c>
      <c r="F21">
        <v>27.1</v>
      </c>
      <c r="G21">
        <v>30.6</v>
      </c>
      <c r="H21">
        <v>26.8</v>
      </c>
      <c r="I21">
        <v>19.2</v>
      </c>
      <c r="J21">
        <v>12.1</v>
      </c>
      <c r="K21">
        <v>6.1</v>
      </c>
      <c r="L21">
        <v>5</v>
      </c>
      <c r="M21">
        <v>6.7</v>
      </c>
      <c r="N21">
        <v>11.7</v>
      </c>
      <c r="O21">
        <v>14.9</v>
      </c>
      <c r="P21">
        <v>14.2</v>
      </c>
      <c r="Q21">
        <v>13.2</v>
      </c>
      <c r="R21">
        <v>13.7</v>
      </c>
      <c r="S21">
        <v>14</v>
      </c>
      <c r="T21">
        <v>15.2</v>
      </c>
      <c r="U21">
        <v>15.1</v>
      </c>
      <c r="V21">
        <v>10.9</v>
      </c>
      <c r="W21">
        <v>17.3</v>
      </c>
      <c r="X21">
        <v>15.8</v>
      </c>
      <c r="Y21">
        <v>19.2</v>
      </c>
      <c r="Z21">
        <v>19.399999999999999</v>
      </c>
      <c r="AA21">
        <v>23.9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29.3</v>
      </c>
      <c r="E22">
        <v>28.1</v>
      </c>
      <c r="F22">
        <v>27.3</v>
      </c>
      <c r="G22">
        <v>31.1</v>
      </c>
      <c r="H22">
        <v>22.2</v>
      </c>
      <c r="I22">
        <v>17</v>
      </c>
      <c r="J22">
        <v>10.8</v>
      </c>
      <c r="K22">
        <v>6.9</v>
      </c>
      <c r="L22">
        <v>6</v>
      </c>
      <c r="M22">
        <v>11.9</v>
      </c>
      <c r="N22">
        <v>12.1</v>
      </c>
      <c r="O22">
        <v>15.2</v>
      </c>
      <c r="P22">
        <v>12.5</v>
      </c>
      <c r="Q22">
        <v>13.9</v>
      </c>
      <c r="R22">
        <v>16.600000000000001</v>
      </c>
      <c r="S22">
        <v>16.2</v>
      </c>
      <c r="T22">
        <v>14.2</v>
      </c>
      <c r="U22">
        <v>15</v>
      </c>
      <c r="V22">
        <v>15.3</v>
      </c>
      <c r="W22">
        <v>15.5</v>
      </c>
      <c r="X22">
        <v>13.2</v>
      </c>
      <c r="Y22">
        <v>22.3</v>
      </c>
      <c r="Z22">
        <v>20.5</v>
      </c>
      <c r="AA22">
        <v>23.7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25.1</v>
      </c>
      <c r="E23">
        <v>27.1</v>
      </c>
      <c r="F23">
        <v>31.2</v>
      </c>
      <c r="G23">
        <v>26.2</v>
      </c>
      <c r="H23">
        <v>18.399999999999999</v>
      </c>
      <c r="I23">
        <v>23.1</v>
      </c>
      <c r="J23">
        <v>12.4</v>
      </c>
      <c r="K23">
        <v>6.3</v>
      </c>
      <c r="L23">
        <v>6</v>
      </c>
      <c r="M23">
        <v>9.6</v>
      </c>
      <c r="N23">
        <v>11.8</v>
      </c>
      <c r="O23">
        <v>14.7</v>
      </c>
      <c r="P23">
        <v>12.9</v>
      </c>
      <c r="Q23">
        <v>9.6</v>
      </c>
      <c r="R23">
        <v>15.1</v>
      </c>
      <c r="S23">
        <v>16.8</v>
      </c>
      <c r="T23">
        <v>15.6</v>
      </c>
      <c r="U23">
        <v>16.7</v>
      </c>
      <c r="V23">
        <v>14.5</v>
      </c>
      <c r="W23">
        <v>10.7</v>
      </c>
      <c r="X23">
        <v>17.2</v>
      </c>
      <c r="Y23">
        <v>21</v>
      </c>
      <c r="Z23">
        <v>18</v>
      </c>
      <c r="AA23">
        <v>17.7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25</v>
      </c>
      <c r="E24">
        <v>25.2</v>
      </c>
      <c r="F24">
        <v>31.2</v>
      </c>
      <c r="G24">
        <v>28.9</v>
      </c>
      <c r="H24">
        <v>17.5</v>
      </c>
      <c r="I24">
        <v>19.399999999999999</v>
      </c>
      <c r="J24">
        <v>13.2</v>
      </c>
      <c r="K24">
        <v>6.4</v>
      </c>
      <c r="L24">
        <v>5.2</v>
      </c>
      <c r="M24">
        <v>8.1</v>
      </c>
      <c r="N24">
        <v>10.1</v>
      </c>
      <c r="O24">
        <v>11.1</v>
      </c>
      <c r="P24">
        <v>8.6</v>
      </c>
      <c r="Q24">
        <v>10.8</v>
      </c>
      <c r="R24">
        <v>14.3</v>
      </c>
      <c r="S24">
        <v>15.9</v>
      </c>
      <c r="T24">
        <v>17.2</v>
      </c>
      <c r="U24">
        <v>13</v>
      </c>
      <c r="V24">
        <v>13.6</v>
      </c>
      <c r="W24">
        <v>14.5</v>
      </c>
      <c r="X24">
        <v>17.2</v>
      </c>
      <c r="Y24">
        <v>15.2</v>
      </c>
      <c r="Z24">
        <v>22.8</v>
      </c>
      <c r="AA24">
        <v>23.7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26.8</v>
      </c>
      <c r="E25">
        <v>27.8</v>
      </c>
      <c r="F25">
        <v>27.3</v>
      </c>
      <c r="G25">
        <v>27.6</v>
      </c>
      <c r="H25">
        <v>24.7</v>
      </c>
      <c r="I25">
        <v>26.2</v>
      </c>
      <c r="J25">
        <v>20</v>
      </c>
      <c r="K25">
        <v>17.7</v>
      </c>
      <c r="L25">
        <v>13.7</v>
      </c>
      <c r="M25">
        <v>12.3</v>
      </c>
      <c r="N25">
        <v>11.2</v>
      </c>
      <c r="O25">
        <v>14.7</v>
      </c>
      <c r="P25">
        <v>11.9</v>
      </c>
      <c r="Q25">
        <v>13.5</v>
      </c>
      <c r="R25">
        <v>10.1</v>
      </c>
      <c r="S25">
        <v>11.1</v>
      </c>
      <c r="T25">
        <v>12.2</v>
      </c>
      <c r="U25">
        <v>18.100000000000001</v>
      </c>
      <c r="V25">
        <v>22.3</v>
      </c>
      <c r="X25">
        <v>11.6</v>
      </c>
      <c r="Y25">
        <v>18</v>
      </c>
      <c r="Z25">
        <v>12.8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24.1</v>
      </c>
      <c r="E26">
        <v>19.899999999999999</v>
      </c>
      <c r="F26">
        <v>27.3</v>
      </c>
      <c r="G26">
        <v>26</v>
      </c>
      <c r="H26">
        <v>20.6</v>
      </c>
      <c r="I26">
        <v>19.600000000000001</v>
      </c>
      <c r="J26">
        <v>20.5</v>
      </c>
      <c r="K26">
        <v>18.3</v>
      </c>
      <c r="L26">
        <v>19.8</v>
      </c>
      <c r="M26">
        <v>18.100000000000001</v>
      </c>
      <c r="N26">
        <v>16.8</v>
      </c>
      <c r="O26">
        <v>16.8</v>
      </c>
      <c r="P26">
        <v>13.3</v>
      </c>
      <c r="Q26">
        <v>13.6</v>
      </c>
      <c r="R26">
        <v>16.3</v>
      </c>
      <c r="S26">
        <v>14.9</v>
      </c>
      <c r="T26">
        <v>18</v>
      </c>
      <c r="U26">
        <v>17.8</v>
      </c>
      <c r="V26">
        <v>15.7</v>
      </c>
      <c r="W26">
        <v>17.399999999999999</v>
      </c>
      <c r="X26">
        <v>23.4</v>
      </c>
      <c r="Y26">
        <v>16.399999999999999</v>
      </c>
      <c r="Z26">
        <v>20.7</v>
      </c>
      <c r="AA26">
        <v>23.3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25.2</v>
      </c>
      <c r="E27">
        <v>26.7</v>
      </c>
      <c r="F27">
        <v>32.5</v>
      </c>
      <c r="G27">
        <v>27.5</v>
      </c>
      <c r="H27">
        <v>24.2</v>
      </c>
      <c r="I27">
        <v>18.7</v>
      </c>
      <c r="J27">
        <v>8.4</v>
      </c>
      <c r="K27">
        <v>5.9</v>
      </c>
      <c r="L27">
        <v>5.2</v>
      </c>
      <c r="M27">
        <v>13.6</v>
      </c>
      <c r="N27">
        <v>9.4</v>
      </c>
      <c r="O27">
        <v>12.5</v>
      </c>
      <c r="P27">
        <v>11.1</v>
      </c>
      <c r="Q27">
        <v>11.4</v>
      </c>
      <c r="R27">
        <v>14.4</v>
      </c>
      <c r="S27">
        <v>17.3</v>
      </c>
      <c r="T27">
        <v>15.1</v>
      </c>
      <c r="U27">
        <v>12.2</v>
      </c>
      <c r="V27">
        <v>11.2</v>
      </c>
      <c r="W27">
        <v>13.5</v>
      </c>
      <c r="X27">
        <v>17.8</v>
      </c>
      <c r="Y27">
        <v>18.3</v>
      </c>
      <c r="Z27">
        <v>18.7</v>
      </c>
      <c r="AA27">
        <v>24.5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25.9</v>
      </c>
      <c r="E28">
        <v>27.9</v>
      </c>
      <c r="F28">
        <v>29.8</v>
      </c>
      <c r="G28">
        <v>29.3</v>
      </c>
      <c r="H28">
        <v>23.6</v>
      </c>
      <c r="I28">
        <v>20.7</v>
      </c>
      <c r="J28">
        <v>6.3</v>
      </c>
      <c r="K28">
        <v>5.6</v>
      </c>
      <c r="L28">
        <v>4.7</v>
      </c>
      <c r="M28">
        <v>6.9</v>
      </c>
      <c r="N28">
        <v>9</v>
      </c>
      <c r="O28">
        <v>14.2</v>
      </c>
      <c r="P28">
        <v>13.1</v>
      </c>
      <c r="Q28">
        <v>12.1</v>
      </c>
      <c r="R28">
        <v>11.3</v>
      </c>
      <c r="S28">
        <v>15</v>
      </c>
      <c r="T28">
        <v>16.8</v>
      </c>
      <c r="U28">
        <v>14.5</v>
      </c>
      <c r="V28">
        <v>14.4</v>
      </c>
      <c r="W28">
        <v>17.8</v>
      </c>
      <c r="X28">
        <v>19.600000000000001</v>
      </c>
      <c r="Y28">
        <v>21.1</v>
      </c>
      <c r="Z28">
        <v>22.1</v>
      </c>
      <c r="AA28">
        <v>13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22.8</v>
      </c>
      <c r="E29">
        <v>25.7</v>
      </c>
      <c r="F29">
        <v>26</v>
      </c>
      <c r="G29">
        <v>27.3</v>
      </c>
      <c r="H29">
        <v>22.1</v>
      </c>
      <c r="I29">
        <v>15.9</v>
      </c>
      <c r="J29">
        <v>11</v>
      </c>
      <c r="K29">
        <v>5.6</v>
      </c>
      <c r="L29">
        <v>5</v>
      </c>
      <c r="M29">
        <v>9</v>
      </c>
      <c r="N29">
        <v>7.6</v>
      </c>
      <c r="O29">
        <v>14.4</v>
      </c>
      <c r="P29">
        <v>12.5</v>
      </c>
      <c r="Q29">
        <v>13.9</v>
      </c>
      <c r="R29">
        <v>17.2</v>
      </c>
      <c r="S29">
        <v>14.5</v>
      </c>
      <c r="T29">
        <v>17</v>
      </c>
      <c r="U29">
        <v>14.3</v>
      </c>
      <c r="V29">
        <v>13.2</v>
      </c>
      <c r="W29">
        <v>13</v>
      </c>
      <c r="X29">
        <v>16.2</v>
      </c>
      <c r="Y29">
        <v>14.4</v>
      </c>
      <c r="Z29">
        <v>17.899999999999999</v>
      </c>
      <c r="AA29">
        <v>23.6</v>
      </c>
    </row>
    <row r="31" spans="1:27" x14ac:dyDescent="0.25">
      <c r="C31">
        <v>1</v>
      </c>
      <c r="D31">
        <f t="array" ref="D31">MEDIAN(IF($C$3:$C$29=$C31,D$3:D$29,""))</f>
        <v>22.950000000000003</v>
      </c>
      <c r="E31">
        <f t="array" ref="E31">MEDIAN(IF($C$3:$C$29=$C31,E$3:E$29,""))</f>
        <v>25.65</v>
      </c>
      <c r="F31">
        <f t="array" ref="F31">MEDIAN(IF($C$3:$C$29=$C31,F$3:F$29,""))</f>
        <v>24.65</v>
      </c>
      <c r="G31">
        <f t="array" ref="G31">MEDIAN(IF($C$3:$C$29=$C31,G$3:G$29,""))</f>
        <v>24.049999999999997</v>
      </c>
      <c r="H31">
        <f t="array" ref="H31">MEDIAN(IF($C$3:$C$29=$C31,H$3:H$29,""))</f>
        <v>29.4</v>
      </c>
      <c r="I31">
        <f t="array" ref="I31">MEDIAN(IF($C$3:$C$29=$C31,I$3:I$29,""))</f>
        <v>22.4</v>
      </c>
      <c r="J31">
        <f t="array" ref="J31">MEDIAN(IF($C$3:$C$29=$C31,J$3:J$29,""))</f>
        <v>22.65</v>
      </c>
      <c r="K31">
        <f t="array" ref="K31">MEDIAN(IF($C$3:$C$29=$C31,K$3:K$29,""))</f>
        <v>19.450000000000003</v>
      </c>
      <c r="L31">
        <f t="array" ref="L31">MEDIAN(IF($C$3:$C$29=$C31,L$3:L$29,""))</f>
        <v>21.1</v>
      </c>
      <c r="M31">
        <f t="array" ref="M31">MEDIAN(IF($C$3:$C$29=$C31,M$3:M$29,""))</f>
        <v>18.3</v>
      </c>
      <c r="N31">
        <f t="array" ref="N31">MEDIAN(IF($C$3:$C$29=$C31,N$3:N$29,""))</f>
        <v>17.799999999999997</v>
      </c>
      <c r="O31">
        <f t="array" ref="O31">MEDIAN(IF($C$3:$C$29=$C31,O$3:O$29,""))</f>
        <v>18.75</v>
      </c>
      <c r="P31">
        <f t="array" ref="P31">MEDIAN(IF($C$3:$C$29=$C31,P$3:P$29,""))</f>
        <v>16.200000000000003</v>
      </c>
      <c r="Q31">
        <f t="array" ref="Q31">MEDIAN(IF($C$3:$C$29=$C31,Q$3:Q$29,""))</f>
        <v>15.7</v>
      </c>
      <c r="R31">
        <f t="array" ref="R31">MEDIAN(IF($C$3:$C$29=$C31,R$3:R$29,""))</f>
        <v>17.700000000000003</v>
      </c>
      <c r="S31">
        <f t="array" ref="S31">MEDIAN(IF($C$3:$C$29=$C31,S$3:S$29,""))</f>
        <v>16.149999999999999</v>
      </c>
      <c r="T31">
        <f t="array" ref="T31">MEDIAN(IF($C$3:$C$29=$C31,T$3:T$29,""))</f>
        <v>17.2</v>
      </c>
      <c r="U31">
        <f t="array" ref="U31">MEDIAN(IF($C$3:$C$29=$C31,U$3:U$29,""))</f>
        <v>18.100000000000001</v>
      </c>
      <c r="V31">
        <f t="array" ref="V31">MEDIAN(IF($C$3:$C$29=$C31,V$3:V$29,""))</f>
        <v>16.399999999999999</v>
      </c>
      <c r="W31">
        <f t="array" ref="W31">MEDIAN(IF($C$3:$C$29=$C31,W$3:W$29,""))</f>
        <v>18.7</v>
      </c>
      <c r="X31">
        <f t="array" ref="X31">MEDIAN(IF($C$3:$C$29=$C31,X$3:X$29,""))</f>
        <v>20.6</v>
      </c>
      <c r="Y31">
        <f t="array" ref="Y31">MEDIAN(IF($C$3:$C$29=$C31,Y$3:Y$29,""))</f>
        <v>17.049999999999997</v>
      </c>
      <c r="Z31">
        <f t="array" ref="Z31">MEDIAN(IF($C$3:$C$29=$C31,Z$3:Z$29,""))</f>
        <v>21.4</v>
      </c>
      <c r="AA31">
        <f t="array" ref="AA31">MEDIAN(IF($C$3:$C$29=$C31,AA$3:AA$29,""))</f>
        <v>24.35</v>
      </c>
    </row>
    <row r="32" spans="1:27" x14ac:dyDescent="0.25">
      <c r="C32">
        <v>2</v>
      </c>
      <c r="D32">
        <f t="array" ref="D32">MEDIAN(IF($C$3:$C$29=$C32,D$3:D$29,""))</f>
        <v>22.3</v>
      </c>
      <c r="E32">
        <f t="array" ref="E32">MEDIAN(IF($C$3:$C$29=$C32,E$3:E$29,""))</f>
        <v>27.05</v>
      </c>
      <c r="F32">
        <f t="array" ref="F32">MEDIAN(IF($C$3:$C$29=$C32,F$3:F$29,""))</f>
        <v>24.5</v>
      </c>
      <c r="G32">
        <f t="array" ref="G32">MEDIAN(IF($C$3:$C$29=$C32,G$3:G$29,""))</f>
        <v>24.65</v>
      </c>
      <c r="H32">
        <f t="array" ref="H32">MEDIAN(IF($C$3:$C$29=$C32,H$3:H$29,""))</f>
        <v>23.950000000000003</v>
      </c>
      <c r="I32">
        <f t="array" ref="I32">MEDIAN(IF($C$3:$C$29=$C32,I$3:I$29,""))</f>
        <v>22.85</v>
      </c>
      <c r="J32">
        <f t="array" ref="J32">MEDIAN(IF($C$3:$C$29=$C32,J$3:J$29,""))</f>
        <v>20.350000000000001</v>
      </c>
      <c r="K32">
        <f t="array" ref="K32">MEDIAN(IF($C$3:$C$29=$C32,K$3:K$29,""))</f>
        <v>17.600000000000001</v>
      </c>
      <c r="L32">
        <f t="array" ref="L32">MEDIAN(IF($C$3:$C$29=$C32,L$3:L$29,""))</f>
        <v>15.049999999999999</v>
      </c>
      <c r="M32">
        <f t="array" ref="M32">MEDIAN(IF($C$3:$C$29=$C32,M$3:M$29,""))</f>
        <v>13.2</v>
      </c>
      <c r="N32">
        <f t="array" ref="N32">MEDIAN(IF($C$3:$C$29=$C32,N$3:N$29,""))</f>
        <v>11.899999999999999</v>
      </c>
      <c r="O32">
        <f t="array" ref="O32">MEDIAN(IF($C$3:$C$29=$C32,O$3:O$29,""))</f>
        <v>13.85</v>
      </c>
      <c r="P32">
        <f t="array" ref="P32">MEDIAN(IF($C$3:$C$29=$C32,P$3:P$29,""))</f>
        <v>12.3</v>
      </c>
      <c r="Q32">
        <f t="array" ref="Q32">MEDIAN(IF($C$3:$C$29=$C32,Q$3:Q$29,""))</f>
        <v>13.2</v>
      </c>
      <c r="R32">
        <f t="array" ref="R32">MEDIAN(IF($C$3:$C$29=$C32,R$3:R$29,""))</f>
        <v>13.600000000000001</v>
      </c>
      <c r="S32">
        <f t="array" ref="S32">MEDIAN(IF($C$3:$C$29=$C32,S$3:S$29,""))</f>
        <v>16.700000000000003</v>
      </c>
      <c r="T32">
        <f t="array" ref="T32">MEDIAN(IF($C$3:$C$29=$C32,T$3:T$29,""))</f>
        <v>16.5</v>
      </c>
      <c r="U32">
        <f t="array" ref="U32">MEDIAN(IF($C$3:$C$29=$C32,U$3:U$29,""))</f>
        <v>17.45</v>
      </c>
      <c r="V32">
        <f t="array" ref="V32">MEDIAN(IF($C$3:$C$29=$C32,V$3:V$29,""))</f>
        <v>20.049999999999997</v>
      </c>
      <c r="W32">
        <f t="array" ref="W32">MEDIAN(IF($C$3:$C$29=$C32,W$3:W$29,""))</f>
        <v>15.9</v>
      </c>
      <c r="X32">
        <f t="array" ref="X32">MEDIAN(IF($C$3:$C$29=$C32,X$3:X$29,""))</f>
        <v>15.7</v>
      </c>
      <c r="Y32">
        <f t="array" ref="Y32">MEDIAN(IF($C$3:$C$29=$C32,Y$3:Y$29,""))</f>
        <v>17.55</v>
      </c>
      <c r="Z32">
        <f t="array" ref="Z32">MEDIAN(IF($C$3:$C$29=$C32,Z$3:Z$29,""))</f>
        <v>20.950000000000003</v>
      </c>
      <c r="AA32">
        <f t="array" ref="AA32">MEDIAN(IF($C$3:$C$29=$C32,AA$3:AA$29,""))</f>
        <v>24.75</v>
      </c>
    </row>
    <row r="33" spans="3:27" x14ac:dyDescent="0.25">
      <c r="C33">
        <v>3</v>
      </c>
      <c r="D33">
        <f t="array" ref="D33">MEDIAN(IF($C$3:$C$29=$C33,D$3:D$29,""))</f>
        <v>25.2</v>
      </c>
      <c r="E33">
        <f t="array" ref="E33">MEDIAN(IF($C$3:$C$29=$C33,E$3:E$29,""))</f>
        <v>28.4</v>
      </c>
      <c r="F33">
        <f t="array" ref="F33">MEDIAN(IF($C$3:$C$29=$C33,F$3:F$29,""))</f>
        <v>30.35</v>
      </c>
      <c r="G33">
        <f t="array" ref="G33">MEDIAN(IF($C$3:$C$29=$C33,G$3:G$29,""))</f>
        <v>28.6</v>
      </c>
      <c r="H33">
        <f t="array" ref="H33">MEDIAN(IF($C$3:$C$29=$C33,H$3:H$29,""))</f>
        <v>23.6</v>
      </c>
      <c r="I33">
        <f t="array" ref="I33">MEDIAN(IF($C$3:$C$29=$C33,I$3:I$29,""))</f>
        <v>20.200000000000003</v>
      </c>
      <c r="J33">
        <f t="array" ref="J33">MEDIAN(IF($C$3:$C$29=$C33,J$3:J$29,""))</f>
        <v>9.6999999999999993</v>
      </c>
      <c r="K33">
        <f t="array" ref="K33">MEDIAN(IF($C$3:$C$29=$C33,K$3:K$29,""))</f>
        <v>6.85</v>
      </c>
      <c r="L33">
        <f t="array" ref="L33">MEDIAN(IF($C$3:$C$29=$C33,L$3:L$29,""))</f>
        <v>5.85</v>
      </c>
      <c r="M33">
        <f t="array" ref="M33">MEDIAN(IF($C$3:$C$29=$C33,M$3:M$29,""))</f>
        <v>9.9499999999999993</v>
      </c>
      <c r="N33">
        <f t="array" ref="N33">MEDIAN(IF($C$3:$C$29=$C33,N$3:N$29,""))</f>
        <v>9.3000000000000007</v>
      </c>
      <c r="O33">
        <f t="array" ref="O33">MEDIAN(IF($C$3:$C$29=$C33,O$3:O$29,""))</f>
        <v>15.65</v>
      </c>
      <c r="P33">
        <f t="array" ref="P33">MEDIAN(IF($C$3:$C$29=$C33,P$3:P$29,""))</f>
        <v>15.05</v>
      </c>
      <c r="Q33">
        <f t="array" ref="Q33">MEDIAN(IF($C$3:$C$29=$C33,Q$3:Q$29,""))</f>
        <v>14.6</v>
      </c>
      <c r="R33">
        <f t="array" ref="R33">MEDIAN(IF($C$3:$C$29=$C33,R$3:R$29,""))</f>
        <v>14.100000000000001</v>
      </c>
      <c r="S33">
        <f t="array" ref="S33">MEDIAN(IF($C$3:$C$29=$C33,S$3:S$29,""))</f>
        <v>16.200000000000003</v>
      </c>
      <c r="T33">
        <f t="array" ref="T33">MEDIAN(IF($C$3:$C$29=$C33,T$3:T$29,""))</f>
        <v>16.149999999999999</v>
      </c>
      <c r="U33">
        <f t="array" ref="U33">MEDIAN(IF($C$3:$C$29=$C33,U$3:U$29,""))</f>
        <v>13.8</v>
      </c>
      <c r="V33">
        <f t="array" ref="V33">MEDIAN(IF($C$3:$C$29=$C33,V$3:V$29,""))</f>
        <v>15.7</v>
      </c>
      <c r="W33">
        <f t="array" ref="W33">MEDIAN(IF($C$3:$C$29=$C33,W$3:W$29,""))</f>
        <v>14</v>
      </c>
      <c r="X33">
        <f t="array" ref="X33">MEDIAN(IF($C$3:$C$29=$C33,X$3:X$29,""))</f>
        <v>18.55</v>
      </c>
      <c r="Y33">
        <f t="array" ref="Y33">MEDIAN(IF($C$3:$C$29=$C33,Y$3:Y$29,""))</f>
        <v>18.649999999999999</v>
      </c>
      <c r="Z33">
        <f t="array" ref="Z33">MEDIAN(IF($C$3:$C$29=$C33,Z$3:Z$29,""))</f>
        <v>21.2</v>
      </c>
      <c r="AA33">
        <f t="array" ref="AA33">MEDIAN(IF($C$3:$C$29=$C33,AA$3:AA$29,""))</f>
        <v>25</v>
      </c>
    </row>
    <row r="34" spans="3:27" x14ac:dyDescent="0.25">
      <c r="C34">
        <v>4</v>
      </c>
      <c r="D34">
        <f t="array" ref="D34">MEDIAN(IF($C$3:$C$29=$C34,D$3:D$29,""))</f>
        <v>24.299999999999997</v>
      </c>
      <c r="E34">
        <f t="array" ref="E34">MEDIAN(IF($C$3:$C$29=$C34,E$3:E$29,""))</f>
        <v>28.4</v>
      </c>
      <c r="F34">
        <f t="array" ref="F34">MEDIAN(IF($C$3:$C$29=$C34,F$3:F$29,""))</f>
        <v>27.549999999999997</v>
      </c>
      <c r="G34">
        <f t="array" ref="G34">MEDIAN(IF($C$3:$C$29=$C34,G$3:G$29,""))</f>
        <v>27.75</v>
      </c>
      <c r="H34">
        <f t="array" ref="H34">MEDIAN(IF($C$3:$C$29=$C34,H$3:H$29,""))</f>
        <v>24.950000000000003</v>
      </c>
      <c r="I34">
        <f t="array" ref="I34">MEDIAN(IF($C$3:$C$29=$C34,I$3:I$29,""))</f>
        <v>20.350000000000001</v>
      </c>
      <c r="J34">
        <f t="array" ref="J34">MEDIAN(IF($C$3:$C$29=$C34,J$3:J$29,""))</f>
        <v>11.45</v>
      </c>
      <c r="K34">
        <f t="array" ref="K34">MEDIAN(IF($C$3:$C$29=$C34,K$3:K$29,""))</f>
        <v>5.9</v>
      </c>
      <c r="L34">
        <f t="array" ref="L34">MEDIAN(IF($C$3:$C$29=$C34,L$3:L$29,""))</f>
        <v>4.6500000000000004</v>
      </c>
      <c r="M34">
        <f t="array" ref="M34">MEDIAN(IF($C$3:$C$29=$C34,M$3:M$29,""))</f>
        <v>6.8000000000000007</v>
      </c>
      <c r="N34">
        <f t="array" ref="N34">MEDIAN(IF($C$3:$C$29=$C34,N$3:N$29,""))</f>
        <v>11.45</v>
      </c>
      <c r="O34">
        <f t="array" ref="O34">MEDIAN(IF($C$3:$C$29=$C34,O$3:O$29,""))</f>
        <v>14.399999999999999</v>
      </c>
      <c r="P34">
        <f t="array" ref="P34">MEDIAN(IF($C$3:$C$29=$C34,P$3:P$29,""))</f>
        <v>14.6</v>
      </c>
      <c r="Q34">
        <f t="array" ref="Q34">MEDIAN(IF($C$3:$C$29=$C34,Q$3:Q$29,""))</f>
        <v>13.899999999999999</v>
      </c>
      <c r="R34">
        <f t="array" ref="R34">MEDIAN(IF($C$3:$C$29=$C34,R$3:R$29,""))</f>
        <v>12.649999999999999</v>
      </c>
      <c r="S34">
        <f t="array" ref="S34">MEDIAN(IF($C$3:$C$29=$C34,S$3:S$29,""))</f>
        <v>14.5</v>
      </c>
      <c r="T34">
        <f t="array" ref="T34">MEDIAN(IF($C$3:$C$29=$C34,T$3:T$29,""))</f>
        <v>16.450000000000003</v>
      </c>
      <c r="U34">
        <f t="array" ref="U34">MEDIAN(IF($C$3:$C$29=$C34,U$3:U$29,""))</f>
        <v>14.8</v>
      </c>
      <c r="V34">
        <f t="array" ref="V34">MEDIAN(IF($C$3:$C$29=$C34,V$3:V$29,""))</f>
        <v>11.55</v>
      </c>
      <c r="W34">
        <f t="array" ref="W34">MEDIAN(IF($C$3:$C$29=$C34,W$3:W$29,""))</f>
        <v>17.55</v>
      </c>
      <c r="X34">
        <f t="array" ref="X34">MEDIAN(IF($C$3:$C$29=$C34,X$3:X$29,""))</f>
        <v>18.75</v>
      </c>
      <c r="Y34">
        <f t="array" ref="Y34">MEDIAN(IF($C$3:$C$29=$C34,Y$3:Y$29,""))</f>
        <v>20.149999999999999</v>
      </c>
      <c r="Z34">
        <f t="array" ref="Z34">MEDIAN(IF($C$3:$C$29=$C34,Z$3:Z$29,""))</f>
        <v>19.149999999999999</v>
      </c>
      <c r="AA34">
        <f t="array" ref="AA34">MEDIAN(IF($C$3:$C$29=$C34,AA$3:AA$29,""))</f>
        <v>22</v>
      </c>
    </row>
    <row r="35" spans="3:27" x14ac:dyDescent="0.25">
      <c r="C35">
        <v>5</v>
      </c>
      <c r="D35">
        <f t="array" ref="D35">MEDIAN(IF($C$3:$C$29=$C35,D$3:D$29,""))</f>
        <v>25.55</v>
      </c>
      <c r="E35">
        <f t="array" ref="E35">MEDIAN(IF($C$3:$C$29=$C35,E$3:E$29,""))</f>
        <v>26.9</v>
      </c>
      <c r="F35">
        <f t="array" ref="F35">MEDIAN(IF($C$3:$C$29=$C35,F$3:F$29,""))</f>
        <v>26.65</v>
      </c>
      <c r="G35">
        <f t="array" ref="G35">MEDIAN(IF($C$3:$C$29=$C35,G$3:G$29,""))</f>
        <v>26.35</v>
      </c>
      <c r="H35">
        <f t="array" ref="H35">MEDIAN(IF($C$3:$C$29=$C35,H$3:H$29,""))</f>
        <v>23.299999999999997</v>
      </c>
      <c r="I35">
        <f t="array" ref="I35">MEDIAN(IF($C$3:$C$29=$C35,I$3:I$29,""))</f>
        <v>19.3</v>
      </c>
      <c r="J35">
        <f t="array" ref="J35">MEDIAN(IF($C$3:$C$29=$C35,J$3:J$29,""))</f>
        <v>11.25</v>
      </c>
      <c r="K35">
        <f t="array" ref="K35">MEDIAN(IF($C$3:$C$29=$C35,K$3:K$29,""))</f>
        <v>6.25</v>
      </c>
      <c r="L35">
        <f t="array" ref="L35">MEDIAN(IF($C$3:$C$29=$C35,L$3:L$29,""))</f>
        <v>4.95</v>
      </c>
      <c r="M35">
        <f t="array" ref="M35">MEDIAN(IF($C$3:$C$29=$C35,M$3:M$29,""))</f>
        <v>8.6</v>
      </c>
      <c r="N35">
        <f t="array" ref="N35">MEDIAN(IF($C$3:$C$29=$C35,N$3:N$29,""))</f>
        <v>11.649999999999999</v>
      </c>
      <c r="O35">
        <f t="array" ref="O35">MEDIAN(IF($C$3:$C$29=$C35,O$3:O$29,""))</f>
        <v>13.75</v>
      </c>
      <c r="P35">
        <f t="array" ref="P35">MEDIAN(IF($C$3:$C$29=$C35,P$3:P$29,""))</f>
        <v>12.4</v>
      </c>
      <c r="Q35">
        <f t="array" ref="Q35">MEDIAN(IF($C$3:$C$29=$C35,Q$3:Q$29,""))</f>
        <v>13.9</v>
      </c>
      <c r="R35">
        <f t="array" ref="R35">MEDIAN(IF($C$3:$C$29=$C35,R$3:R$29,""))</f>
        <v>15.350000000000001</v>
      </c>
      <c r="S35">
        <f t="array" ref="S35">MEDIAN(IF($C$3:$C$29=$C35,S$3:S$29,""))</f>
        <v>15.45</v>
      </c>
      <c r="T35">
        <f t="array" ref="T35">MEDIAN(IF($C$3:$C$29=$C35,T$3:T$29,""))</f>
        <v>13.05</v>
      </c>
      <c r="U35">
        <f t="array" ref="U35">MEDIAN(IF($C$3:$C$29=$C35,U$3:U$29,""))</f>
        <v>14.350000000000001</v>
      </c>
      <c r="V35">
        <f t="array" ref="V35">MEDIAN(IF($C$3:$C$29=$C35,V$3:V$29,""))</f>
        <v>15.05</v>
      </c>
      <c r="W35">
        <f t="array" ref="W35">MEDIAN(IF($C$3:$C$29=$C35,W$3:W$29,""))</f>
        <v>16.45</v>
      </c>
      <c r="X35">
        <f t="array" ref="X35">MEDIAN(IF($C$3:$C$29=$C35,X$3:X$29,""))</f>
        <v>17.049999999999997</v>
      </c>
      <c r="Y35">
        <f t="array" ref="Y35">MEDIAN(IF($C$3:$C$29=$C35,Y$3:Y$29,""))</f>
        <v>21.85</v>
      </c>
      <c r="Z35">
        <f t="array" ref="Z35">MEDIAN(IF($C$3:$C$29=$C35,Z$3:Z$29,""))</f>
        <v>19.850000000000001</v>
      </c>
      <c r="AA35">
        <f t="array" ref="AA35">MEDIAN(IF($C$3:$C$29=$C35,AA$3:AA$29,""))</f>
        <v>23.65</v>
      </c>
    </row>
    <row r="36" spans="3:27" x14ac:dyDescent="0.25">
      <c r="C36">
        <v>6</v>
      </c>
      <c r="D36">
        <f t="array" ref="D36">MEDIAN(IF($C$3:$C$29=$C36,D$3:D$29,""))</f>
        <v>25.1</v>
      </c>
      <c r="E36">
        <f t="array" ref="E36">MEDIAN(IF($C$3:$C$29=$C36,E$3:E$29,""))</f>
        <v>27.1</v>
      </c>
      <c r="F36">
        <f t="array" ref="F36">MEDIAN(IF($C$3:$C$29=$C36,F$3:F$29,""))</f>
        <v>31.2</v>
      </c>
      <c r="G36">
        <f t="array" ref="G36">MEDIAN(IF($C$3:$C$29=$C36,G$3:G$29,""))</f>
        <v>26.2</v>
      </c>
      <c r="H36">
        <f t="array" ref="H36">MEDIAN(IF($C$3:$C$29=$C36,H$3:H$29,""))</f>
        <v>24.9</v>
      </c>
      <c r="I36">
        <f t="array" ref="I36">MEDIAN(IF($C$3:$C$29=$C36,I$3:I$29,""))</f>
        <v>20</v>
      </c>
      <c r="J36">
        <f t="array" ref="J36">MEDIAN(IF($C$3:$C$29=$C36,J$3:J$29,""))</f>
        <v>11.4</v>
      </c>
      <c r="K36">
        <f t="array" ref="K36">MEDIAN(IF($C$3:$C$29=$C36,K$3:K$29,""))</f>
        <v>6.3</v>
      </c>
      <c r="L36">
        <f t="array" ref="L36">MEDIAN(IF($C$3:$C$29=$C36,L$3:L$29,""))</f>
        <v>5.9</v>
      </c>
      <c r="M36">
        <f t="array" ref="M36">MEDIAN(IF($C$3:$C$29=$C36,M$3:M$29,""))</f>
        <v>6.6</v>
      </c>
      <c r="N36">
        <f t="array" ref="N36">MEDIAN(IF($C$3:$C$29=$C36,N$3:N$29,""))</f>
        <v>11.8</v>
      </c>
      <c r="O36">
        <f t="array" ref="O36">MEDIAN(IF($C$3:$C$29=$C36,O$3:O$29,""))</f>
        <v>14.7</v>
      </c>
      <c r="P36">
        <f t="array" ref="P36">MEDIAN(IF($C$3:$C$29=$C36,P$3:P$29,""))</f>
        <v>12.9</v>
      </c>
      <c r="Q36">
        <f t="array" ref="Q36">MEDIAN(IF($C$3:$C$29=$C36,Q$3:Q$29,""))</f>
        <v>9.6</v>
      </c>
      <c r="R36">
        <f t="array" ref="R36">MEDIAN(IF($C$3:$C$29=$C36,R$3:R$29,""))</f>
        <v>14.9</v>
      </c>
      <c r="S36">
        <f t="array" ref="S36">MEDIAN(IF($C$3:$C$29=$C36,S$3:S$29,""))</f>
        <v>15.3</v>
      </c>
      <c r="T36">
        <f t="array" ref="T36">MEDIAN(IF($C$3:$C$29=$C36,T$3:T$29,""))</f>
        <v>14.9</v>
      </c>
      <c r="U36">
        <f t="array" ref="U36">MEDIAN(IF($C$3:$C$29=$C36,U$3:U$29,""))</f>
        <v>16.7</v>
      </c>
      <c r="V36">
        <f t="array" ref="V36">MEDIAN(IF($C$3:$C$29=$C36,V$3:V$29,""))</f>
        <v>15</v>
      </c>
      <c r="W36">
        <f t="array" ref="W36">MEDIAN(IF($C$3:$C$29=$C36,W$3:W$29,""))</f>
        <v>12.3</v>
      </c>
      <c r="X36">
        <f t="array" ref="X36">MEDIAN(IF($C$3:$C$29=$C36,X$3:X$29,""))</f>
        <v>17.2</v>
      </c>
      <c r="Y36">
        <f t="array" ref="Y36">MEDIAN(IF($C$3:$C$29=$C36,Y$3:Y$29,""))</f>
        <v>19.7</v>
      </c>
      <c r="Z36">
        <f t="array" ref="Z36">MEDIAN(IF($C$3:$C$29=$C36,Z$3:Z$29,""))</f>
        <v>18</v>
      </c>
      <c r="AA36">
        <f t="array" ref="AA36">MEDIAN(IF($C$3:$C$29=$C36,AA$3:AA$29,""))</f>
        <v>22.3</v>
      </c>
    </row>
    <row r="37" spans="3:27" x14ac:dyDescent="0.25">
      <c r="C37">
        <v>7</v>
      </c>
      <c r="D37">
        <f t="array" ref="D37">MEDIAN(IF($C$3:$C$29=$C37,D$3:D$29,""))</f>
        <v>25.45</v>
      </c>
      <c r="E37">
        <f t="array" ref="E37">MEDIAN(IF($C$3:$C$29=$C37,E$3:E$29,""))</f>
        <v>29.25</v>
      </c>
      <c r="F37">
        <f t="array" ref="F37">MEDIAN(IF($C$3:$C$29=$C37,F$3:F$29,""))</f>
        <v>30.2</v>
      </c>
      <c r="G37">
        <f t="array" ref="G37">MEDIAN(IF($C$3:$C$29=$C37,G$3:G$29,""))</f>
        <v>28.2</v>
      </c>
      <c r="H37">
        <f t="array" ref="H37">MEDIAN(IF($C$3:$C$29=$C37,H$3:H$29,""))</f>
        <v>22.75</v>
      </c>
      <c r="I37">
        <f t="array" ref="I37">MEDIAN(IF($C$3:$C$29=$C37,I$3:I$29,""))</f>
        <v>19.95</v>
      </c>
      <c r="J37">
        <f t="array" ref="J37">MEDIAN(IF($C$3:$C$29=$C37,J$3:J$29,""))</f>
        <v>13.75</v>
      </c>
      <c r="K37">
        <f t="array" ref="K37">MEDIAN(IF($C$3:$C$29=$C37,K$3:K$29,""))</f>
        <v>7.55</v>
      </c>
      <c r="L37">
        <f t="array" ref="L37">MEDIAN(IF($C$3:$C$29=$C37,L$3:L$29,""))</f>
        <v>6.0500000000000007</v>
      </c>
      <c r="M37">
        <f t="array" ref="M37">MEDIAN(IF($C$3:$C$29=$C37,M$3:M$29,""))</f>
        <v>7.75</v>
      </c>
      <c r="N37">
        <f t="array" ref="N37">MEDIAN(IF($C$3:$C$29=$C37,N$3:N$29,""))</f>
        <v>14.25</v>
      </c>
      <c r="O37">
        <f t="array" ref="O37">MEDIAN(IF($C$3:$C$29=$C37,O$3:O$29,""))</f>
        <v>14</v>
      </c>
      <c r="P37">
        <f t="array" ref="P37">MEDIAN(IF($C$3:$C$29=$C37,P$3:P$29,""))</f>
        <v>11.75</v>
      </c>
      <c r="Q37">
        <f t="array" ref="Q37">MEDIAN(IF($C$3:$C$29=$C37,Q$3:Q$29,""))</f>
        <v>14.2</v>
      </c>
      <c r="R37">
        <f t="array" ref="R37">MEDIAN(IF($C$3:$C$29=$C37,R$3:R$29,""))</f>
        <v>14.05</v>
      </c>
      <c r="S37">
        <f t="array" ref="S37">MEDIAN(IF($C$3:$C$29=$C37,S$3:S$29,""))</f>
        <v>15.8</v>
      </c>
      <c r="T37">
        <f t="array" ref="T37">MEDIAN(IF($C$3:$C$29=$C37,T$3:T$29,""))</f>
        <v>16.399999999999999</v>
      </c>
      <c r="U37">
        <f t="array" ref="U37">MEDIAN(IF($C$3:$C$29=$C37,U$3:U$29,""))</f>
        <v>14.45</v>
      </c>
      <c r="V37">
        <f t="array" ref="V37">MEDIAN(IF($C$3:$C$29=$C37,V$3:V$29,""))</f>
        <v>14.65</v>
      </c>
      <c r="W37">
        <f t="array" ref="W37">MEDIAN(IF($C$3:$C$29=$C37,W$3:W$29,""))</f>
        <v>14.9</v>
      </c>
      <c r="X37">
        <f t="array" ref="X37">MEDIAN(IF($C$3:$C$29=$C37,X$3:X$29,""))</f>
        <v>18.350000000000001</v>
      </c>
      <c r="Y37">
        <f t="array" ref="Y37">MEDIAN(IF($C$3:$C$29=$C37,Y$3:Y$29,""))</f>
        <v>16.7</v>
      </c>
      <c r="Z37">
        <f t="array" ref="Z37">MEDIAN(IF($C$3:$C$29=$C37,Z$3:Z$29,""))</f>
        <v>20.85</v>
      </c>
      <c r="AA37">
        <f t="array" ref="AA37">MEDIAN(IF($C$3:$C$29=$C37,AA$3:AA$29,""))</f>
        <v>22.85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5"/>
  <dimension ref="A1:AA37"/>
  <sheetViews>
    <sheetView workbookViewId="0">
      <selection activeCell="G31" sqref="G31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17.3</v>
      </c>
      <c r="E3">
        <v>24.5</v>
      </c>
      <c r="F3">
        <v>26.7</v>
      </c>
      <c r="G3">
        <v>25.7</v>
      </c>
      <c r="H3">
        <v>20.9</v>
      </c>
      <c r="I3">
        <v>22.2</v>
      </c>
      <c r="J3">
        <v>13.6</v>
      </c>
      <c r="K3">
        <v>10.6</v>
      </c>
      <c r="L3">
        <v>7.1</v>
      </c>
      <c r="M3">
        <v>9.6999999999999993</v>
      </c>
      <c r="N3">
        <v>10.6</v>
      </c>
      <c r="O3">
        <v>10.9</v>
      </c>
      <c r="P3">
        <v>10.4</v>
      </c>
      <c r="Q3">
        <v>13.9</v>
      </c>
      <c r="R3">
        <v>12.3</v>
      </c>
      <c r="S3">
        <v>16.2</v>
      </c>
      <c r="T3">
        <v>15.8</v>
      </c>
      <c r="U3">
        <v>13.9</v>
      </c>
      <c r="V3">
        <v>13</v>
      </c>
      <c r="W3">
        <v>13.8</v>
      </c>
      <c r="X3">
        <v>15.2</v>
      </c>
      <c r="Y3">
        <v>15.2</v>
      </c>
      <c r="Z3">
        <v>17.5</v>
      </c>
      <c r="AA3">
        <v>18.100000000000001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16.2</v>
      </c>
      <c r="E4">
        <v>23.7</v>
      </c>
      <c r="F4">
        <v>16.2</v>
      </c>
      <c r="G4">
        <v>19.399999999999999</v>
      </c>
      <c r="H4">
        <v>21.1</v>
      </c>
      <c r="I4">
        <v>20.6</v>
      </c>
      <c r="J4">
        <v>18.3</v>
      </c>
      <c r="K4">
        <v>14.2</v>
      </c>
      <c r="L4">
        <v>21.5</v>
      </c>
      <c r="M4">
        <v>13.6</v>
      </c>
      <c r="N4">
        <v>12.3</v>
      </c>
      <c r="O4">
        <v>13</v>
      </c>
      <c r="P4">
        <v>14.1</v>
      </c>
      <c r="Q4">
        <v>17.3</v>
      </c>
      <c r="R4">
        <v>13.7</v>
      </c>
      <c r="S4">
        <v>13.9</v>
      </c>
      <c r="T4">
        <v>13.8</v>
      </c>
      <c r="U4">
        <v>21.1</v>
      </c>
      <c r="V4">
        <v>17.2</v>
      </c>
      <c r="W4">
        <v>19.899999999999999</v>
      </c>
      <c r="X4">
        <v>18.2</v>
      </c>
      <c r="Y4">
        <v>13.9</v>
      </c>
      <c r="Z4">
        <v>16.7</v>
      </c>
      <c r="AA4">
        <v>21.3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17.600000000000001</v>
      </c>
      <c r="E5">
        <v>20.8</v>
      </c>
      <c r="F5">
        <v>17.5</v>
      </c>
      <c r="G5">
        <v>20.7</v>
      </c>
      <c r="H5">
        <v>25.5</v>
      </c>
      <c r="I5">
        <v>19.5</v>
      </c>
      <c r="J5">
        <v>22.6</v>
      </c>
      <c r="K5">
        <v>18.3</v>
      </c>
      <c r="L5">
        <v>17.8</v>
      </c>
      <c r="M5">
        <v>15.8</v>
      </c>
      <c r="N5">
        <v>15.6</v>
      </c>
      <c r="O5">
        <v>15.6</v>
      </c>
      <c r="P5">
        <v>14.7</v>
      </c>
      <c r="Q5">
        <v>12.2</v>
      </c>
      <c r="R5">
        <v>16.2</v>
      </c>
      <c r="S5">
        <v>14</v>
      </c>
      <c r="T5">
        <v>11.8</v>
      </c>
      <c r="U5">
        <v>14.6</v>
      </c>
      <c r="V5">
        <v>10.199999999999999</v>
      </c>
      <c r="W5">
        <v>15</v>
      </c>
      <c r="X5">
        <v>14.4</v>
      </c>
      <c r="Y5">
        <v>12.2</v>
      </c>
      <c r="Z5">
        <v>12.9</v>
      </c>
      <c r="AA5">
        <v>21.6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18.5</v>
      </c>
      <c r="E6">
        <v>29.5</v>
      </c>
      <c r="F6">
        <v>22.8</v>
      </c>
      <c r="G6">
        <v>31.1</v>
      </c>
      <c r="H6">
        <v>25</v>
      </c>
      <c r="I6">
        <v>21.9</v>
      </c>
      <c r="J6">
        <v>11.8</v>
      </c>
      <c r="K6">
        <v>9.3000000000000007</v>
      </c>
      <c r="L6">
        <v>7.6</v>
      </c>
      <c r="M6">
        <v>8.6</v>
      </c>
      <c r="N6">
        <v>7.6</v>
      </c>
      <c r="O6">
        <v>13.9</v>
      </c>
      <c r="P6">
        <v>13.4</v>
      </c>
      <c r="Q6">
        <v>14.5</v>
      </c>
      <c r="R6">
        <v>13</v>
      </c>
      <c r="S6">
        <v>13.6</v>
      </c>
      <c r="T6">
        <v>14.7</v>
      </c>
      <c r="U6">
        <v>15.5</v>
      </c>
      <c r="V6">
        <v>13.7</v>
      </c>
      <c r="W6">
        <v>13.2</v>
      </c>
      <c r="X6">
        <v>14.8</v>
      </c>
      <c r="Y6">
        <v>18.8</v>
      </c>
      <c r="Z6">
        <v>20.2</v>
      </c>
      <c r="AA6">
        <v>22.5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19</v>
      </c>
      <c r="E7">
        <v>22.8</v>
      </c>
      <c r="F7">
        <v>26.4</v>
      </c>
      <c r="G7">
        <v>25</v>
      </c>
      <c r="H7">
        <v>21.8</v>
      </c>
      <c r="I7">
        <v>19.3</v>
      </c>
      <c r="J7">
        <v>11.6</v>
      </c>
      <c r="K7">
        <v>6.9</v>
      </c>
      <c r="L7">
        <v>6</v>
      </c>
      <c r="M7">
        <v>8.6</v>
      </c>
      <c r="N7">
        <v>9.5</v>
      </c>
      <c r="O7">
        <v>10.3</v>
      </c>
      <c r="P7">
        <v>15.2</v>
      </c>
      <c r="Q7">
        <v>11.4</v>
      </c>
      <c r="R7">
        <v>11.3</v>
      </c>
      <c r="S7">
        <v>13.7</v>
      </c>
      <c r="T7">
        <v>13.4</v>
      </c>
      <c r="U7">
        <v>14.6</v>
      </c>
      <c r="V7">
        <v>6.2</v>
      </c>
      <c r="W7">
        <v>16.5</v>
      </c>
      <c r="X7">
        <v>17.100000000000001</v>
      </c>
      <c r="Y7">
        <v>21.5</v>
      </c>
      <c r="Z7">
        <v>14.5</v>
      </c>
      <c r="AA7">
        <v>18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19</v>
      </c>
      <c r="E8">
        <v>20.6</v>
      </c>
      <c r="F8">
        <v>17.100000000000001</v>
      </c>
      <c r="G8">
        <v>18.100000000000001</v>
      </c>
      <c r="H8">
        <v>16.5</v>
      </c>
      <c r="I8">
        <v>21.8</v>
      </c>
      <c r="J8">
        <v>11.4</v>
      </c>
      <c r="K8">
        <v>7.3</v>
      </c>
      <c r="L8">
        <v>5.3</v>
      </c>
      <c r="M8">
        <v>8.8000000000000007</v>
      </c>
      <c r="N8">
        <v>11</v>
      </c>
      <c r="O8">
        <v>5</v>
      </c>
      <c r="P8">
        <v>10.199999999999999</v>
      </c>
      <c r="Q8">
        <v>7.7</v>
      </c>
      <c r="R8">
        <v>11.5</v>
      </c>
      <c r="S8">
        <v>17.899999999999999</v>
      </c>
      <c r="T8">
        <v>10.1</v>
      </c>
      <c r="U8">
        <v>10.5</v>
      </c>
      <c r="V8">
        <v>13.8</v>
      </c>
      <c r="W8">
        <v>17.600000000000001</v>
      </c>
      <c r="X8">
        <v>15.9</v>
      </c>
      <c r="Y8">
        <v>18.100000000000001</v>
      </c>
      <c r="Z8">
        <v>20.100000000000001</v>
      </c>
      <c r="AA8">
        <v>21.3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20.9</v>
      </c>
      <c r="E9">
        <v>18.5</v>
      </c>
      <c r="F9">
        <v>26.4</v>
      </c>
      <c r="G9">
        <v>28.3</v>
      </c>
      <c r="H9">
        <v>19.8</v>
      </c>
      <c r="I9">
        <v>16.8</v>
      </c>
      <c r="J9">
        <v>10</v>
      </c>
      <c r="K9">
        <v>6</v>
      </c>
      <c r="L9">
        <v>4.5</v>
      </c>
      <c r="M9">
        <v>7.4</v>
      </c>
      <c r="N9">
        <v>11</v>
      </c>
      <c r="O9">
        <v>12.2</v>
      </c>
      <c r="P9">
        <v>11.7</v>
      </c>
      <c r="Q9">
        <v>8.5</v>
      </c>
      <c r="R9">
        <v>11.7</v>
      </c>
      <c r="S9">
        <v>12.7</v>
      </c>
      <c r="T9">
        <v>10.4</v>
      </c>
      <c r="U9">
        <v>14.5</v>
      </c>
      <c r="V9">
        <v>10.6</v>
      </c>
      <c r="W9">
        <v>17</v>
      </c>
      <c r="X9">
        <v>13.6</v>
      </c>
      <c r="Y9">
        <v>16.5</v>
      </c>
      <c r="Z9">
        <v>17.7</v>
      </c>
      <c r="AA9">
        <v>18.2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21.3</v>
      </c>
      <c r="E10">
        <v>30.8</v>
      </c>
      <c r="F10">
        <v>23.8</v>
      </c>
      <c r="G10">
        <v>20.6</v>
      </c>
      <c r="H10">
        <v>22.6</v>
      </c>
      <c r="I10">
        <v>18.399999999999999</v>
      </c>
      <c r="J10">
        <v>11.6</v>
      </c>
      <c r="K10">
        <v>7</v>
      </c>
      <c r="L10">
        <v>6.9</v>
      </c>
      <c r="M10">
        <v>9.5</v>
      </c>
      <c r="N10">
        <v>12.3</v>
      </c>
      <c r="O10">
        <v>9.6999999999999993</v>
      </c>
      <c r="P10">
        <v>7.8</v>
      </c>
      <c r="Q10">
        <v>10</v>
      </c>
      <c r="R10">
        <v>12.6</v>
      </c>
      <c r="S10">
        <v>12.2</v>
      </c>
      <c r="T10">
        <v>15.3</v>
      </c>
      <c r="U10">
        <v>5.9</v>
      </c>
      <c r="V10">
        <v>9.1</v>
      </c>
      <c r="W10">
        <v>13.7</v>
      </c>
      <c r="X10">
        <v>16.2</v>
      </c>
      <c r="Y10">
        <v>15.9</v>
      </c>
      <c r="Z10">
        <v>19</v>
      </c>
      <c r="AA10">
        <v>16.5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19.100000000000001</v>
      </c>
      <c r="E11">
        <v>26.2</v>
      </c>
      <c r="F11">
        <v>20.399999999999999</v>
      </c>
      <c r="G11">
        <v>24.2</v>
      </c>
      <c r="H11">
        <v>19.5</v>
      </c>
      <c r="I11">
        <v>20.2</v>
      </c>
      <c r="J11">
        <v>18.399999999999999</v>
      </c>
      <c r="K11">
        <v>18.399999999999999</v>
      </c>
      <c r="L11">
        <v>14.5</v>
      </c>
      <c r="M11">
        <v>11.5</v>
      </c>
      <c r="N11">
        <v>11.9</v>
      </c>
      <c r="O11">
        <v>11.2</v>
      </c>
      <c r="P11">
        <v>12.3</v>
      </c>
      <c r="Q11">
        <v>9.8000000000000007</v>
      </c>
      <c r="R11">
        <v>12</v>
      </c>
      <c r="S11">
        <v>15.7</v>
      </c>
      <c r="T11">
        <v>17.5</v>
      </c>
      <c r="U11">
        <v>14.5</v>
      </c>
      <c r="V11">
        <v>14.7</v>
      </c>
      <c r="W11">
        <v>19.600000000000001</v>
      </c>
      <c r="X11">
        <v>15.4</v>
      </c>
      <c r="Y11">
        <v>23.7</v>
      </c>
      <c r="Z11">
        <v>16.600000000000001</v>
      </c>
      <c r="AA11">
        <v>22.4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20.100000000000001</v>
      </c>
      <c r="E12">
        <v>25</v>
      </c>
      <c r="F12">
        <v>18.3</v>
      </c>
      <c r="G12">
        <v>22.1</v>
      </c>
      <c r="H12">
        <v>26.6</v>
      </c>
      <c r="I12">
        <v>28.7</v>
      </c>
      <c r="J12">
        <v>15.6</v>
      </c>
      <c r="K12">
        <v>18.2</v>
      </c>
      <c r="L12">
        <v>21.6</v>
      </c>
      <c r="M12">
        <v>18.600000000000001</v>
      </c>
      <c r="N12">
        <v>16</v>
      </c>
      <c r="O12">
        <v>17</v>
      </c>
      <c r="P12">
        <v>17.899999999999999</v>
      </c>
      <c r="Q12">
        <v>14</v>
      </c>
      <c r="R12">
        <v>15.7</v>
      </c>
      <c r="S12">
        <v>13.4</v>
      </c>
      <c r="T12">
        <v>16.600000000000001</v>
      </c>
      <c r="U12">
        <v>15.1</v>
      </c>
      <c r="V12">
        <v>17.899999999999999</v>
      </c>
      <c r="W12">
        <v>19.100000000000001</v>
      </c>
      <c r="X12">
        <v>18.600000000000001</v>
      </c>
      <c r="Y12">
        <v>12.9</v>
      </c>
      <c r="Z12">
        <v>18.7</v>
      </c>
      <c r="AA12">
        <v>20.399999999999999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21</v>
      </c>
      <c r="E13">
        <v>32.9</v>
      </c>
      <c r="F13">
        <v>19.3</v>
      </c>
      <c r="G13">
        <v>25.9</v>
      </c>
      <c r="H13">
        <v>21.5</v>
      </c>
      <c r="I13">
        <v>18.8</v>
      </c>
      <c r="J13">
        <v>4.8</v>
      </c>
      <c r="K13">
        <v>4.8</v>
      </c>
      <c r="L13">
        <v>7.3</v>
      </c>
      <c r="M13">
        <v>8</v>
      </c>
      <c r="N13">
        <v>11.2</v>
      </c>
      <c r="O13">
        <v>12.7</v>
      </c>
      <c r="P13">
        <v>12</v>
      </c>
      <c r="Q13">
        <v>11.9</v>
      </c>
      <c r="R13">
        <v>12.4</v>
      </c>
      <c r="S13">
        <v>16.2</v>
      </c>
      <c r="T13">
        <v>15.4</v>
      </c>
      <c r="U13">
        <v>6</v>
      </c>
      <c r="V13">
        <v>12.8</v>
      </c>
      <c r="W13">
        <v>12.8</v>
      </c>
      <c r="X13">
        <v>16.600000000000001</v>
      </c>
      <c r="Y13">
        <v>19.3</v>
      </c>
      <c r="Z13">
        <v>20.8</v>
      </c>
      <c r="AA13">
        <v>18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23.9</v>
      </c>
      <c r="E14">
        <v>20.100000000000001</v>
      </c>
      <c r="F14">
        <v>23.8</v>
      </c>
      <c r="G14">
        <v>21.1</v>
      </c>
      <c r="H14">
        <v>21.4</v>
      </c>
      <c r="I14">
        <v>18.5</v>
      </c>
      <c r="J14">
        <v>10.7</v>
      </c>
      <c r="K14">
        <v>7.6</v>
      </c>
      <c r="L14">
        <v>6.6</v>
      </c>
      <c r="M14">
        <v>10.199999999999999</v>
      </c>
      <c r="N14">
        <v>10.8</v>
      </c>
      <c r="O14">
        <v>14.2</v>
      </c>
      <c r="P14">
        <v>12.2</v>
      </c>
      <c r="Q14">
        <v>14.6</v>
      </c>
      <c r="R14">
        <v>16.3</v>
      </c>
      <c r="S14">
        <v>12.7</v>
      </c>
      <c r="T14">
        <v>15.5</v>
      </c>
      <c r="U14">
        <v>11.9</v>
      </c>
      <c r="V14">
        <v>10.7</v>
      </c>
      <c r="W14">
        <v>17.2</v>
      </c>
      <c r="X14">
        <v>16.7</v>
      </c>
      <c r="Y14">
        <v>16.8</v>
      </c>
      <c r="Z14">
        <v>17.899999999999999</v>
      </c>
      <c r="AA14">
        <v>16.399999999999999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23.8</v>
      </c>
      <c r="E15">
        <v>28.3</v>
      </c>
      <c r="F15">
        <v>31</v>
      </c>
      <c r="G15">
        <v>22.7</v>
      </c>
      <c r="H15">
        <v>21</v>
      </c>
      <c r="I15">
        <v>18.3</v>
      </c>
      <c r="J15">
        <v>10.8</v>
      </c>
      <c r="K15">
        <v>8</v>
      </c>
      <c r="L15">
        <v>6.5</v>
      </c>
      <c r="M15">
        <v>7.8</v>
      </c>
      <c r="N15">
        <v>9.1999999999999993</v>
      </c>
      <c r="O15">
        <v>12.1</v>
      </c>
      <c r="P15">
        <v>10.7</v>
      </c>
      <c r="Q15">
        <v>11.7</v>
      </c>
      <c r="R15">
        <v>12</v>
      </c>
      <c r="S15">
        <v>14.5</v>
      </c>
      <c r="T15">
        <v>10.4</v>
      </c>
      <c r="U15">
        <v>6.7</v>
      </c>
      <c r="V15">
        <v>13.2</v>
      </c>
      <c r="W15">
        <v>14.6</v>
      </c>
      <c r="X15">
        <v>15.3</v>
      </c>
      <c r="Y15">
        <v>19.399999999999999</v>
      </c>
      <c r="Z15">
        <v>19.100000000000001</v>
      </c>
      <c r="AA15">
        <v>21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20.8</v>
      </c>
      <c r="E16">
        <v>25.8</v>
      </c>
      <c r="F16">
        <v>26.3</v>
      </c>
      <c r="G16">
        <v>23.1</v>
      </c>
      <c r="H16">
        <v>25.9</v>
      </c>
      <c r="I16">
        <v>18.600000000000001</v>
      </c>
      <c r="J16">
        <v>13</v>
      </c>
      <c r="K16">
        <v>8.1</v>
      </c>
      <c r="L16">
        <v>6.2</v>
      </c>
      <c r="M16">
        <v>7.1</v>
      </c>
      <c r="N16">
        <v>7.5</v>
      </c>
      <c r="O16">
        <v>7.7</v>
      </c>
      <c r="P16">
        <v>6.8</v>
      </c>
      <c r="Q16">
        <v>7.8</v>
      </c>
      <c r="R16">
        <v>9.6999999999999993</v>
      </c>
      <c r="S16">
        <v>10.8</v>
      </c>
      <c r="T16">
        <v>13.8</v>
      </c>
      <c r="U16">
        <v>13.3</v>
      </c>
      <c r="V16">
        <v>10.199999999999999</v>
      </c>
      <c r="W16">
        <v>12.8</v>
      </c>
      <c r="X16">
        <v>16.899999999999999</v>
      </c>
      <c r="Y16">
        <v>16.3</v>
      </c>
      <c r="Z16">
        <v>15</v>
      </c>
      <c r="AA16">
        <v>21.6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20.6</v>
      </c>
      <c r="E17">
        <v>27.5</v>
      </c>
      <c r="F17">
        <v>19.3</v>
      </c>
      <c r="G17">
        <v>26.1</v>
      </c>
      <c r="H17">
        <v>19.5</v>
      </c>
      <c r="I17">
        <v>23.9</v>
      </c>
      <c r="J17">
        <v>13.3</v>
      </c>
      <c r="K17">
        <v>7.9</v>
      </c>
      <c r="L17">
        <v>5.9</v>
      </c>
      <c r="M17">
        <v>8.9</v>
      </c>
      <c r="N17">
        <v>12.5</v>
      </c>
      <c r="O17">
        <v>10</v>
      </c>
      <c r="P17">
        <v>14.2</v>
      </c>
      <c r="Q17">
        <v>11.3</v>
      </c>
      <c r="R17">
        <v>8.6999999999999993</v>
      </c>
      <c r="S17">
        <v>11.1</v>
      </c>
      <c r="T17">
        <v>12.9</v>
      </c>
      <c r="U17">
        <v>14.5</v>
      </c>
      <c r="V17">
        <v>12.4</v>
      </c>
      <c r="W17">
        <v>8.9</v>
      </c>
      <c r="X17">
        <v>14.7</v>
      </c>
      <c r="Y17">
        <v>13.4</v>
      </c>
      <c r="Z17">
        <v>16.600000000000001</v>
      </c>
      <c r="AA17">
        <v>23.5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18.7</v>
      </c>
      <c r="E18">
        <v>19.3</v>
      </c>
      <c r="F18">
        <v>25.5</v>
      </c>
      <c r="G18">
        <v>27.1</v>
      </c>
      <c r="H18">
        <v>18.600000000000001</v>
      </c>
      <c r="I18">
        <v>19.5</v>
      </c>
      <c r="J18">
        <v>20.8</v>
      </c>
      <c r="K18">
        <v>16</v>
      </c>
      <c r="L18">
        <v>7.4</v>
      </c>
      <c r="M18">
        <v>6.9</v>
      </c>
      <c r="N18">
        <v>6.1</v>
      </c>
      <c r="O18">
        <v>13</v>
      </c>
      <c r="P18">
        <v>8.6999999999999993</v>
      </c>
      <c r="Q18">
        <v>13</v>
      </c>
      <c r="R18">
        <v>13.9</v>
      </c>
      <c r="S18">
        <v>17.100000000000001</v>
      </c>
      <c r="T18">
        <v>15.1</v>
      </c>
      <c r="U18">
        <v>14.6</v>
      </c>
      <c r="V18">
        <v>19.399999999999999</v>
      </c>
      <c r="W18">
        <v>6.4</v>
      </c>
      <c r="X18">
        <v>7.1</v>
      </c>
      <c r="Y18">
        <v>13.9</v>
      </c>
      <c r="Z18">
        <v>20.8</v>
      </c>
      <c r="AA18">
        <v>19.7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17.2</v>
      </c>
      <c r="E19">
        <v>20.5</v>
      </c>
      <c r="F19">
        <v>23.6</v>
      </c>
      <c r="G19">
        <v>19.399999999999999</v>
      </c>
      <c r="H19">
        <v>26.9</v>
      </c>
      <c r="I19">
        <v>18.399999999999999</v>
      </c>
      <c r="J19">
        <v>23.8</v>
      </c>
      <c r="K19">
        <v>13.1</v>
      </c>
      <c r="L19">
        <v>18.5</v>
      </c>
      <c r="M19">
        <v>16.3</v>
      </c>
      <c r="N19">
        <v>12.3</v>
      </c>
      <c r="O19">
        <v>17.7</v>
      </c>
      <c r="P19">
        <v>11.1</v>
      </c>
      <c r="Q19">
        <v>14.5</v>
      </c>
      <c r="R19">
        <v>15.5</v>
      </c>
      <c r="S19">
        <v>15.2</v>
      </c>
      <c r="T19">
        <v>12.7</v>
      </c>
      <c r="U19">
        <v>16.5</v>
      </c>
      <c r="V19">
        <v>13.7</v>
      </c>
      <c r="W19">
        <v>19</v>
      </c>
      <c r="X19">
        <v>16.7</v>
      </c>
      <c r="Y19">
        <v>18.3</v>
      </c>
      <c r="Z19">
        <v>22.3</v>
      </c>
      <c r="AA19">
        <v>19.3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23</v>
      </c>
      <c r="E20">
        <v>18.600000000000001</v>
      </c>
      <c r="F20">
        <v>30.1</v>
      </c>
      <c r="G20">
        <v>25</v>
      </c>
      <c r="H20">
        <v>21.5</v>
      </c>
      <c r="I20">
        <v>21.2</v>
      </c>
      <c r="J20">
        <v>11.8</v>
      </c>
      <c r="K20">
        <v>8</v>
      </c>
      <c r="L20">
        <v>7.1</v>
      </c>
      <c r="M20">
        <v>7.7</v>
      </c>
      <c r="N20">
        <v>6.3</v>
      </c>
      <c r="O20">
        <v>12.5</v>
      </c>
      <c r="P20">
        <v>16.2</v>
      </c>
      <c r="Q20">
        <v>14.3</v>
      </c>
      <c r="R20">
        <v>12.7</v>
      </c>
      <c r="S20">
        <v>15.4</v>
      </c>
      <c r="T20">
        <v>15.6</v>
      </c>
      <c r="U20">
        <v>11.1</v>
      </c>
      <c r="V20">
        <v>12.4</v>
      </c>
      <c r="W20">
        <v>13</v>
      </c>
      <c r="X20">
        <v>16.7</v>
      </c>
      <c r="Y20">
        <v>16.100000000000001</v>
      </c>
      <c r="Z20">
        <v>18.8</v>
      </c>
      <c r="AA20">
        <v>20.100000000000001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17.100000000000001</v>
      </c>
      <c r="E21">
        <v>24.9</v>
      </c>
      <c r="F21">
        <v>24</v>
      </c>
      <c r="G21">
        <v>26.3</v>
      </c>
      <c r="H21">
        <v>26.4</v>
      </c>
      <c r="I21">
        <v>20</v>
      </c>
      <c r="J21">
        <v>12.8</v>
      </c>
      <c r="K21">
        <v>7.7</v>
      </c>
      <c r="L21">
        <v>5.5</v>
      </c>
      <c r="M21">
        <v>5.6</v>
      </c>
      <c r="N21">
        <v>10.3</v>
      </c>
      <c r="O21">
        <v>11.9</v>
      </c>
      <c r="P21">
        <v>12.2</v>
      </c>
      <c r="Q21">
        <v>9.6</v>
      </c>
      <c r="R21">
        <v>12.1</v>
      </c>
      <c r="S21">
        <v>14.5</v>
      </c>
      <c r="T21">
        <v>13.8</v>
      </c>
      <c r="U21">
        <v>13.4</v>
      </c>
      <c r="V21">
        <v>7.9</v>
      </c>
      <c r="W21">
        <v>17.5</v>
      </c>
      <c r="X21">
        <v>16.8</v>
      </c>
      <c r="Y21">
        <v>20.399999999999999</v>
      </c>
      <c r="Z21">
        <v>16.100000000000001</v>
      </c>
      <c r="AA21">
        <v>20.8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23.9</v>
      </c>
      <c r="E22">
        <v>24.2</v>
      </c>
      <c r="F22">
        <v>20</v>
      </c>
      <c r="G22">
        <v>25.2</v>
      </c>
      <c r="H22">
        <v>19.2</v>
      </c>
      <c r="I22">
        <v>17.7</v>
      </c>
      <c r="J22">
        <v>12.5</v>
      </c>
      <c r="K22">
        <v>8.1</v>
      </c>
      <c r="L22">
        <v>7.1</v>
      </c>
      <c r="M22">
        <v>10.7</v>
      </c>
      <c r="N22">
        <v>11.5</v>
      </c>
      <c r="O22">
        <v>13.2</v>
      </c>
      <c r="P22">
        <v>9.6</v>
      </c>
      <c r="Q22">
        <v>10.3</v>
      </c>
      <c r="R22">
        <v>16.3</v>
      </c>
      <c r="S22">
        <v>13.3</v>
      </c>
      <c r="T22">
        <v>13.9</v>
      </c>
      <c r="U22">
        <v>14.1</v>
      </c>
      <c r="V22">
        <v>13.7</v>
      </c>
      <c r="W22">
        <v>12.9</v>
      </c>
      <c r="X22">
        <v>9.4</v>
      </c>
      <c r="Y22">
        <v>17.8</v>
      </c>
      <c r="Z22">
        <v>18.399999999999999</v>
      </c>
      <c r="AA22">
        <v>19.600000000000001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19.7</v>
      </c>
      <c r="E23">
        <v>26.5</v>
      </c>
      <c r="F23">
        <v>29.3</v>
      </c>
      <c r="G23">
        <v>23.4</v>
      </c>
      <c r="H23">
        <v>20.5</v>
      </c>
      <c r="I23">
        <v>21.5</v>
      </c>
      <c r="J23">
        <v>10.8</v>
      </c>
      <c r="K23">
        <v>6.1</v>
      </c>
      <c r="L23">
        <v>7.2</v>
      </c>
      <c r="M23">
        <v>8.6</v>
      </c>
      <c r="N23">
        <v>9.1999999999999993</v>
      </c>
      <c r="O23">
        <v>10.1</v>
      </c>
      <c r="P23">
        <v>11</v>
      </c>
      <c r="Q23">
        <v>10.5</v>
      </c>
      <c r="R23">
        <v>11.9</v>
      </c>
      <c r="S23">
        <v>17</v>
      </c>
      <c r="T23">
        <v>11.5</v>
      </c>
      <c r="U23">
        <v>15.4</v>
      </c>
      <c r="V23">
        <v>13.3</v>
      </c>
      <c r="W23">
        <v>7.9</v>
      </c>
      <c r="X23">
        <v>15.1</v>
      </c>
      <c r="Y23">
        <v>18.399999999999999</v>
      </c>
      <c r="Z23">
        <v>17.3</v>
      </c>
      <c r="AA23">
        <v>14.7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20.2</v>
      </c>
      <c r="E24">
        <v>18.7</v>
      </c>
      <c r="F24">
        <v>26</v>
      </c>
      <c r="G24">
        <v>23.6</v>
      </c>
      <c r="H24">
        <v>19.399999999999999</v>
      </c>
      <c r="I24">
        <v>18.5</v>
      </c>
      <c r="J24">
        <v>12.6</v>
      </c>
      <c r="K24">
        <v>7</v>
      </c>
      <c r="L24">
        <v>6.9</v>
      </c>
      <c r="M24">
        <v>8</v>
      </c>
      <c r="N24">
        <v>8.6999999999999993</v>
      </c>
      <c r="O24">
        <v>7.9</v>
      </c>
      <c r="P24">
        <v>7.4</v>
      </c>
      <c r="Q24">
        <v>8.3000000000000007</v>
      </c>
      <c r="R24">
        <v>12</v>
      </c>
      <c r="S24">
        <v>12.9</v>
      </c>
      <c r="T24">
        <v>13.9</v>
      </c>
      <c r="U24">
        <v>11.4</v>
      </c>
      <c r="V24">
        <v>12.5</v>
      </c>
      <c r="W24">
        <v>9.5</v>
      </c>
      <c r="X24">
        <v>14.9</v>
      </c>
      <c r="Y24">
        <v>13.3</v>
      </c>
      <c r="Z24">
        <v>21.2</v>
      </c>
      <c r="AA24">
        <v>19.7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21.2</v>
      </c>
      <c r="E25">
        <v>20.7</v>
      </c>
      <c r="F25">
        <v>25.6</v>
      </c>
      <c r="G25">
        <v>24.1</v>
      </c>
      <c r="H25">
        <v>23.3</v>
      </c>
      <c r="I25">
        <v>23.7</v>
      </c>
      <c r="J25">
        <v>19.2</v>
      </c>
      <c r="K25">
        <v>15.8</v>
      </c>
      <c r="L25">
        <v>14.6</v>
      </c>
      <c r="M25">
        <v>11.6</v>
      </c>
      <c r="N25">
        <v>10.199999999999999</v>
      </c>
      <c r="O25">
        <v>15.4</v>
      </c>
      <c r="P25">
        <v>13</v>
      </c>
      <c r="Q25">
        <v>11.6</v>
      </c>
      <c r="R25">
        <v>8.9</v>
      </c>
      <c r="S25">
        <v>10.4</v>
      </c>
      <c r="T25">
        <v>11.4</v>
      </c>
      <c r="U25">
        <v>17.3</v>
      </c>
      <c r="V25">
        <v>19.100000000000001</v>
      </c>
      <c r="W25">
        <v>12.3</v>
      </c>
      <c r="X25">
        <v>11.9</v>
      </c>
      <c r="Y25">
        <v>22.8</v>
      </c>
      <c r="Z25">
        <v>12.2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17.2</v>
      </c>
      <c r="E26">
        <v>16.2</v>
      </c>
      <c r="F26">
        <v>26</v>
      </c>
      <c r="G26">
        <v>21.1</v>
      </c>
      <c r="H26">
        <v>23</v>
      </c>
      <c r="I26">
        <v>16.3</v>
      </c>
      <c r="J26">
        <v>16.100000000000001</v>
      </c>
      <c r="K26">
        <v>15.3</v>
      </c>
      <c r="L26">
        <v>17.600000000000001</v>
      </c>
      <c r="M26">
        <v>14.4</v>
      </c>
      <c r="N26">
        <v>14.1</v>
      </c>
      <c r="O26">
        <v>13.6</v>
      </c>
      <c r="P26">
        <v>13.8</v>
      </c>
      <c r="Q26">
        <v>12</v>
      </c>
      <c r="R26">
        <v>14.9</v>
      </c>
      <c r="S26">
        <v>12.1</v>
      </c>
      <c r="T26">
        <v>14.9</v>
      </c>
      <c r="U26">
        <v>16.5</v>
      </c>
      <c r="V26">
        <v>10.4</v>
      </c>
      <c r="W26">
        <v>14.1</v>
      </c>
      <c r="X26">
        <v>26.2</v>
      </c>
      <c r="Y26">
        <v>13</v>
      </c>
      <c r="Z26">
        <v>19.100000000000001</v>
      </c>
      <c r="AA26">
        <v>22.1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20.6</v>
      </c>
      <c r="E27">
        <v>23.7</v>
      </c>
      <c r="F27">
        <v>27.8</v>
      </c>
      <c r="G27">
        <v>28.1</v>
      </c>
      <c r="H27">
        <v>18.899999999999999</v>
      </c>
      <c r="I27">
        <v>18</v>
      </c>
      <c r="J27">
        <v>11.8</v>
      </c>
      <c r="K27">
        <v>8.1</v>
      </c>
      <c r="L27">
        <v>7.7</v>
      </c>
      <c r="M27">
        <v>12.2</v>
      </c>
      <c r="N27">
        <v>9.6999999999999993</v>
      </c>
      <c r="O27">
        <v>10.8</v>
      </c>
      <c r="P27">
        <v>10.8</v>
      </c>
      <c r="Q27">
        <v>10.4</v>
      </c>
      <c r="R27">
        <v>12.8</v>
      </c>
      <c r="S27">
        <v>15.5</v>
      </c>
      <c r="T27">
        <v>13.9</v>
      </c>
      <c r="U27">
        <v>11.9</v>
      </c>
      <c r="V27">
        <v>7.2</v>
      </c>
      <c r="W27">
        <v>13.1</v>
      </c>
      <c r="X27">
        <v>17.600000000000001</v>
      </c>
      <c r="Y27">
        <v>15.8</v>
      </c>
      <c r="Z27">
        <v>17.899999999999999</v>
      </c>
      <c r="AA27">
        <v>20.399999999999999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20.5</v>
      </c>
      <c r="E28">
        <v>26.5</v>
      </c>
      <c r="F28">
        <v>29.4</v>
      </c>
      <c r="G28">
        <v>26.2</v>
      </c>
      <c r="H28">
        <v>25.6</v>
      </c>
      <c r="I28">
        <v>20.8</v>
      </c>
      <c r="J28">
        <v>10</v>
      </c>
      <c r="K28">
        <v>7.9</v>
      </c>
      <c r="L28">
        <v>6</v>
      </c>
      <c r="M28">
        <v>7.6</v>
      </c>
      <c r="N28">
        <v>9.1</v>
      </c>
      <c r="O28">
        <v>11.6</v>
      </c>
      <c r="P28">
        <v>12.6</v>
      </c>
      <c r="Q28">
        <v>8.6999999999999993</v>
      </c>
      <c r="R28">
        <v>12.3</v>
      </c>
      <c r="S28">
        <v>15.4</v>
      </c>
      <c r="T28">
        <v>12.5</v>
      </c>
      <c r="U28">
        <v>11.3</v>
      </c>
      <c r="V28">
        <v>14.2</v>
      </c>
      <c r="W28">
        <v>14.9</v>
      </c>
      <c r="X28">
        <v>16.399999999999999</v>
      </c>
      <c r="Y28">
        <v>18.100000000000001</v>
      </c>
      <c r="Z28">
        <v>20.2</v>
      </c>
      <c r="AA28">
        <v>13.6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19.5</v>
      </c>
      <c r="E29">
        <v>20.8</v>
      </c>
      <c r="F29">
        <v>21.3</v>
      </c>
      <c r="G29">
        <v>25.1</v>
      </c>
      <c r="H29">
        <v>20.6</v>
      </c>
      <c r="I29">
        <v>18.2</v>
      </c>
      <c r="J29">
        <v>11.1</v>
      </c>
      <c r="K29">
        <v>7.8</v>
      </c>
      <c r="L29">
        <v>7.6</v>
      </c>
      <c r="M29">
        <v>9.1</v>
      </c>
      <c r="N29">
        <v>8.3000000000000007</v>
      </c>
      <c r="O29">
        <v>12.3</v>
      </c>
      <c r="P29">
        <v>10.3</v>
      </c>
      <c r="Q29">
        <v>12.4</v>
      </c>
      <c r="R29">
        <v>15.4</v>
      </c>
      <c r="S29">
        <v>14.3</v>
      </c>
      <c r="T29">
        <v>14.5</v>
      </c>
      <c r="U29">
        <v>13.7</v>
      </c>
      <c r="V29">
        <v>13.6</v>
      </c>
      <c r="W29">
        <v>13.2</v>
      </c>
      <c r="X29">
        <v>16.5</v>
      </c>
      <c r="Y29">
        <v>16.7</v>
      </c>
      <c r="Z29">
        <v>15.6</v>
      </c>
      <c r="AA29">
        <v>21.4</v>
      </c>
    </row>
    <row r="31" spans="1:27" x14ac:dyDescent="0.25">
      <c r="C31">
        <v>1</v>
      </c>
      <c r="D31">
        <f t="array" ref="D31">MEDIAN(IF($C$3:$C$29=$C31,D$3:D$29,""))</f>
        <v>17.399999999999999</v>
      </c>
      <c r="E31">
        <f t="array" ref="E31">MEDIAN(IF($C$3:$C$29=$C31,E$3:E$29,""))</f>
        <v>20.65</v>
      </c>
      <c r="F31">
        <f t="array" ref="F31">MEDIAN(IF($C$3:$C$29=$C31,F$3:F$29,""))</f>
        <v>20.950000000000003</v>
      </c>
      <c r="G31">
        <f t="array" ref="G31">MEDIAN(IF($C$3:$C$29=$C31,G$3:G$29,""))</f>
        <v>20.9</v>
      </c>
      <c r="H31">
        <f t="array" ref="H31">MEDIAN(IF($C$3:$C$29=$C31,H$3:H$29,""))</f>
        <v>26.05</v>
      </c>
      <c r="I31">
        <f t="array" ref="I31">MEDIAN(IF($C$3:$C$29=$C31,I$3:I$29,""))</f>
        <v>18.95</v>
      </c>
      <c r="J31">
        <f t="array" ref="J31">MEDIAN(IF($C$3:$C$29=$C31,J$3:J$29,""))</f>
        <v>19.350000000000001</v>
      </c>
      <c r="K31">
        <f t="array" ref="K31">MEDIAN(IF($C$3:$C$29=$C31,K$3:K$29,""))</f>
        <v>16.75</v>
      </c>
      <c r="L31">
        <f t="array" ref="L31">MEDIAN(IF($C$3:$C$29=$C31,L$3:L$29,""))</f>
        <v>18.149999999999999</v>
      </c>
      <c r="M31">
        <f t="array" ref="M31">MEDIAN(IF($C$3:$C$29=$C31,M$3:M$29,""))</f>
        <v>16.05</v>
      </c>
      <c r="N31">
        <f t="array" ref="N31">MEDIAN(IF($C$3:$C$29=$C31,N$3:N$29,""))</f>
        <v>14.85</v>
      </c>
      <c r="O31">
        <f t="array" ref="O31">MEDIAN(IF($C$3:$C$29=$C31,O$3:O$29,""))</f>
        <v>16.3</v>
      </c>
      <c r="P31">
        <f t="array" ref="P31">MEDIAN(IF($C$3:$C$29=$C31,P$3:P$29,""))</f>
        <v>14.25</v>
      </c>
      <c r="Q31">
        <f t="array" ref="Q31">MEDIAN(IF($C$3:$C$29=$C31,Q$3:Q$29,""))</f>
        <v>13.1</v>
      </c>
      <c r="R31">
        <f t="array" ref="R31">MEDIAN(IF($C$3:$C$29=$C31,R$3:R$29,""))</f>
        <v>15.6</v>
      </c>
      <c r="S31">
        <f t="array" ref="S31">MEDIAN(IF($C$3:$C$29=$C31,S$3:S$29,""))</f>
        <v>13.7</v>
      </c>
      <c r="T31">
        <f t="array" ref="T31">MEDIAN(IF($C$3:$C$29=$C31,T$3:T$29,""))</f>
        <v>13.8</v>
      </c>
      <c r="U31">
        <f t="array" ref="U31">MEDIAN(IF($C$3:$C$29=$C31,U$3:U$29,""))</f>
        <v>15.8</v>
      </c>
      <c r="V31">
        <f t="array" ref="V31">MEDIAN(IF($C$3:$C$29=$C31,V$3:V$29,""))</f>
        <v>12.05</v>
      </c>
      <c r="W31">
        <f t="array" ref="W31">MEDIAN(IF($C$3:$C$29=$C31,W$3:W$29,""))</f>
        <v>17</v>
      </c>
      <c r="X31">
        <f t="array" ref="X31">MEDIAN(IF($C$3:$C$29=$C31,X$3:X$29,""))</f>
        <v>17.649999999999999</v>
      </c>
      <c r="Y31">
        <f t="array" ref="Y31">MEDIAN(IF($C$3:$C$29=$C31,Y$3:Y$29,""))</f>
        <v>12.95</v>
      </c>
      <c r="Z31">
        <f t="array" ref="Z31">MEDIAN(IF($C$3:$C$29=$C31,Z$3:Z$29,""))</f>
        <v>18.899999999999999</v>
      </c>
      <c r="AA31">
        <f t="array" ref="AA31">MEDIAN(IF($C$3:$C$29=$C31,AA$3:AA$29,""))</f>
        <v>21</v>
      </c>
    </row>
    <row r="32" spans="1:27" x14ac:dyDescent="0.25">
      <c r="C32">
        <v>2</v>
      </c>
      <c r="D32">
        <f t="array" ref="D32">MEDIAN(IF($C$3:$C$29=$C32,D$3:D$29,""))</f>
        <v>18.899999999999999</v>
      </c>
      <c r="E32">
        <f t="array" ref="E32">MEDIAN(IF($C$3:$C$29=$C32,E$3:E$29,""))</f>
        <v>22.2</v>
      </c>
      <c r="F32">
        <f t="array" ref="F32">MEDIAN(IF($C$3:$C$29=$C32,F$3:F$29,""))</f>
        <v>22.95</v>
      </c>
      <c r="G32">
        <f t="array" ref="G32">MEDIAN(IF($C$3:$C$29=$C32,G$3:G$29,""))</f>
        <v>24.15</v>
      </c>
      <c r="H32">
        <f t="array" ref="H32">MEDIAN(IF($C$3:$C$29=$C32,H$3:H$29,""))</f>
        <v>20.3</v>
      </c>
      <c r="I32">
        <f t="array" ref="I32">MEDIAN(IF($C$3:$C$29=$C32,I$3:I$29,""))</f>
        <v>20.399999999999999</v>
      </c>
      <c r="J32">
        <f t="array" ref="J32">MEDIAN(IF($C$3:$C$29=$C32,J$3:J$29,""))</f>
        <v>18.799999999999997</v>
      </c>
      <c r="K32">
        <f t="array" ref="K32">MEDIAN(IF($C$3:$C$29=$C32,K$3:K$29,""))</f>
        <v>15.9</v>
      </c>
      <c r="L32">
        <f t="array" ref="L32">MEDIAN(IF($C$3:$C$29=$C32,L$3:L$29,""))</f>
        <v>14.55</v>
      </c>
      <c r="M32">
        <f t="array" ref="M32">MEDIAN(IF($C$3:$C$29=$C32,M$3:M$29,""))</f>
        <v>11.55</v>
      </c>
      <c r="N32">
        <f t="array" ref="N32">MEDIAN(IF($C$3:$C$29=$C32,N$3:N$29,""))</f>
        <v>11.05</v>
      </c>
      <c r="O32">
        <f t="array" ref="O32">MEDIAN(IF($C$3:$C$29=$C32,O$3:O$29,""))</f>
        <v>13</v>
      </c>
      <c r="P32">
        <f t="array" ref="P32">MEDIAN(IF($C$3:$C$29=$C32,P$3:P$29,""))</f>
        <v>12.65</v>
      </c>
      <c r="Q32">
        <f t="array" ref="Q32">MEDIAN(IF($C$3:$C$29=$C32,Q$3:Q$29,""))</f>
        <v>12.3</v>
      </c>
      <c r="R32">
        <f t="array" ref="R32">MEDIAN(IF($C$3:$C$29=$C32,R$3:R$29,""))</f>
        <v>12.85</v>
      </c>
      <c r="S32">
        <f t="array" ref="S32">MEDIAN(IF($C$3:$C$29=$C32,S$3:S$29,""))</f>
        <v>14.8</v>
      </c>
      <c r="T32">
        <f t="array" ref="T32">MEDIAN(IF($C$3:$C$29=$C32,T$3:T$29,""))</f>
        <v>14.45</v>
      </c>
      <c r="U32">
        <f t="array" ref="U32">MEDIAN(IF($C$3:$C$29=$C32,U$3:U$29,""))</f>
        <v>15.95</v>
      </c>
      <c r="V32">
        <f t="array" ref="V32">MEDIAN(IF($C$3:$C$29=$C32,V$3:V$29,""))</f>
        <v>18.149999999999999</v>
      </c>
      <c r="W32">
        <f t="array" ref="W32">MEDIAN(IF($C$3:$C$29=$C32,W$3:W$29,""))</f>
        <v>15.950000000000001</v>
      </c>
      <c r="X32">
        <f t="array" ref="X32">MEDIAN(IF($C$3:$C$29=$C32,X$3:X$29,""))</f>
        <v>13.65</v>
      </c>
      <c r="Y32">
        <f t="array" ref="Y32">MEDIAN(IF($C$3:$C$29=$C32,Y$3:Y$29,""))</f>
        <v>18.350000000000001</v>
      </c>
      <c r="Z32">
        <f t="array" ref="Z32">MEDIAN(IF($C$3:$C$29=$C32,Z$3:Z$29,""))</f>
        <v>16.649999999999999</v>
      </c>
      <c r="AA32">
        <f t="array" ref="AA32">MEDIAN(IF($C$3:$C$29=$C32,AA$3:AA$29,""))</f>
        <v>20.5</v>
      </c>
    </row>
    <row r="33" spans="3:27" x14ac:dyDescent="0.25">
      <c r="C33">
        <v>3</v>
      </c>
      <c r="D33">
        <f t="array" ref="D33">MEDIAN(IF($C$3:$C$29=$C33,D$3:D$29,""))</f>
        <v>20.8</v>
      </c>
      <c r="E33">
        <f t="array" ref="E33">MEDIAN(IF($C$3:$C$29=$C33,E$3:E$29,""))</f>
        <v>26.6</v>
      </c>
      <c r="F33">
        <f t="array" ref="F33">MEDIAN(IF($C$3:$C$29=$C33,F$3:F$29,""))</f>
        <v>25.3</v>
      </c>
      <c r="G33">
        <f t="array" ref="G33">MEDIAN(IF($C$3:$C$29=$C33,G$3:G$29,""))</f>
        <v>27</v>
      </c>
      <c r="H33">
        <f t="array" ref="H33">MEDIAN(IF($C$3:$C$29=$C33,H$3:H$29,""))</f>
        <v>21.5</v>
      </c>
      <c r="I33">
        <f t="array" ref="I33">MEDIAN(IF($C$3:$C$29=$C33,I$3:I$29,""))</f>
        <v>20</v>
      </c>
      <c r="J33">
        <f t="array" ref="J33">MEDIAN(IF($C$3:$C$29=$C33,J$3:J$29,""))</f>
        <v>11.8</v>
      </c>
      <c r="K33">
        <f t="array" ref="K33">MEDIAN(IF($C$3:$C$29=$C33,K$3:K$29,""))</f>
        <v>8.0500000000000007</v>
      </c>
      <c r="L33">
        <f t="array" ref="L33">MEDIAN(IF($C$3:$C$29=$C33,L$3:L$29,""))</f>
        <v>7.4499999999999993</v>
      </c>
      <c r="M33">
        <f t="array" ref="M33">MEDIAN(IF($C$3:$C$29=$C33,M$3:M$29,""))</f>
        <v>8.3000000000000007</v>
      </c>
      <c r="N33">
        <f t="array" ref="N33">MEDIAN(IF($C$3:$C$29=$C33,N$3:N$29,""))</f>
        <v>8.6499999999999986</v>
      </c>
      <c r="O33">
        <f t="array" ref="O33">MEDIAN(IF($C$3:$C$29=$C33,O$3:O$29,""))</f>
        <v>12.6</v>
      </c>
      <c r="P33">
        <f t="array" ref="P33">MEDIAN(IF($C$3:$C$29=$C33,P$3:P$29,""))</f>
        <v>12.7</v>
      </c>
      <c r="Q33">
        <f t="array" ref="Q33">MEDIAN(IF($C$3:$C$29=$C33,Q$3:Q$29,""))</f>
        <v>13.100000000000001</v>
      </c>
      <c r="R33">
        <f t="array" ref="R33">MEDIAN(IF($C$3:$C$29=$C33,R$3:R$29,""))</f>
        <v>12.75</v>
      </c>
      <c r="S33">
        <f t="array" ref="S33">MEDIAN(IF($C$3:$C$29=$C33,S$3:S$29,""))</f>
        <v>15.45</v>
      </c>
      <c r="T33">
        <f t="array" ref="T33">MEDIAN(IF($C$3:$C$29=$C33,T$3:T$29,""))</f>
        <v>15.05</v>
      </c>
      <c r="U33">
        <f t="array" ref="U33">MEDIAN(IF($C$3:$C$29=$C33,U$3:U$29,""))</f>
        <v>11.5</v>
      </c>
      <c r="V33">
        <f t="array" ref="V33">MEDIAN(IF($C$3:$C$29=$C33,V$3:V$29,""))</f>
        <v>12.600000000000001</v>
      </c>
      <c r="W33">
        <f t="array" ref="W33">MEDIAN(IF($C$3:$C$29=$C33,W$3:W$29,""))</f>
        <v>13.05</v>
      </c>
      <c r="X33">
        <f t="array" ref="X33">MEDIAN(IF($C$3:$C$29=$C33,X$3:X$29,""))</f>
        <v>16.649999999999999</v>
      </c>
      <c r="Y33">
        <f t="array" ref="Y33">MEDIAN(IF($C$3:$C$29=$C33,Y$3:Y$29,""))</f>
        <v>17.450000000000003</v>
      </c>
      <c r="Z33">
        <f t="array" ref="Z33">MEDIAN(IF($C$3:$C$29=$C33,Z$3:Z$29,""))</f>
        <v>19.5</v>
      </c>
      <c r="AA33">
        <f t="array" ref="AA33">MEDIAN(IF($C$3:$C$29=$C33,AA$3:AA$29,""))</f>
        <v>20.25</v>
      </c>
    </row>
    <row r="34" spans="3:27" x14ac:dyDescent="0.25">
      <c r="C34">
        <v>4</v>
      </c>
      <c r="D34">
        <f t="array" ref="D34">MEDIAN(IF($C$3:$C$29=$C34,D$3:D$29,""))</f>
        <v>19.75</v>
      </c>
      <c r="E34">
        <f t="array" ref="E34">MEDIAN(IF($C$3:$C$29=$C34,E$3:E$29,""))</f>
        <v>23.85</v>
      </c>
      <c r="F34">
        <f t="array" ref="F34">MEDIAN(IF($C$3:$C$29=$C34,F$3:F$29,""))</f>
        <v>25.2</v>
      </c>
      <c r="G34">
        <f t="array" ref="G34">MEDIAN(IF($C$3:$C$29=$C34,G$3:G$29,""))</f>
        <v>25.6</v>
      </c>
      <c r="H34">
        <f t="array" ref="H34">MEDIAN(IF($C$3:$C$29=$C34,H$3:H$29,""))</f>
        <v>23.700000000000003</v>
      </c>
      <c r="I34">
        <f t="array" ref="I34">MEDIAN(IF($C$3:$C$29=$C34,I$3:I$29,""))</f>
        <v>19.649999999999999</v>
      </c>
      <c r="J34">
        <f t="array" ref="J34">MEDIAN(IF($C$3:$C$29=$C34,J$3:J$29,""))</f>
        <v>11.149999999999999</v>
      </c>
      <c r="K34">
        <f t="array" ref="K34">MEDIAN(IF($C$3:$C$29=$C34,K$3:K$29,""))</f>
        <v>7.65</v>
      </c>
      <c r="L34">
        <f t="array" ref="L34">MEDIAN(IF($C$3:$C$29=$C34,L$3:L$29,""))</f>
        <v>6</v>
      </c>
      <c r="M34">
        <f t="array" ref="M34">MEDIAN(IF($C$3:$C$29=$C34,M$3:M$29,""))</f>
        <v>8.1</v>
      </c>
      <c r="N34">
        <f t="array" ref="N34">MEDIAN(IF($C$3:$C$29=$C34,N$3:N$29,""))</f>
        <v>9.9</v>
      </c>
      <c r="O34">
        <f t="array" ref="O34">MEDIAN(IF($C$3:$C$29=$C34,O$3:O$29,""))</f>
        <v>11.75</v>
      </c>
      <c r="P34">
        <f t="array" ref="P34">MEDIAN(IF($C$3:$C$29=$C34,P$3:P$29,""))</f>
        <v>12.399999999999999</v>
      </c>
      <c r="Q34">
        <f t="array" ref="Q34">MEDIAN(IF($C$3:$C$29=$C34,Q$3:Q$29,""))</f>
        <v>10.5</v>
      </c>
      <c r="R34">
        <f t="array" ref="R34">MEDIAN(IF($C$3:$C$29=$C34,R$3:R$29,""))</f>
        <v>12.2</v>
      </c>
      <c r="S34">
        <f t="array" ref="S34">MEDIAN(IF($C$3:$C$29=$C34,S$3:S$29,""))</f>
        <v>14.1</v>
      </c>
      <c r="T34">
        <f t="array" ref="T34">MEDIAN(IF($C$3:$C$29=$C34,T$3:T$29,""))</f>
        <v>13.600000000000001</v>
      </c>
      <c r="U34">
        <f t="array" ref="U34">MEDIAN(IF($C$3:$C$29=$C34,U$3:U$29,""))</f>
        <v>12.65</v>
      </c>
      <c r="V34">
        <f t="array" ref="V34">MEDIAN(IF($C$3:$C$29=$C34,V$3:V$29,""))</f>
        <v>9.3000000000000007</v>
      </c>
      <c r="W34">
        <f t="array" ref="W34">MEDIAN(IF($C$3:$C$29=$C34,W$3:W$29,""))</f>
        <v>16.850000000000001</v>
      </c>
      <c r="X34">
        <f t="array" ref="X34">MEDIAN(IF($C$3:$C$29=$C34,X$3:X$29,""))</f>
        <v>16.75</v>
      </c>
      <c r="Y34">
        <f t="array" ref="Y34">MEDIAN(IF($C$3:$C$29=$C34,Y$3:Y$29,""))</f>
        <v>19.25</v>
      </c>
      <c r="Z34">
        <f t="array" ref="Z34">MEDIAN(IF($C$3:$C$29=$C34,Z$3:Z$29,""))</f>
        <v>17</v>
      </c>
      <c r="AA34">
        <f t="array" ref="AA34">MEDIAN(IF($C$3:$C$29=$C34,AA$3:AA$29,""))</f>
        <v>17.2</v>
      </c>
    </row>
    <row r="35" spans="3:27" x14ac:dyDescent="0.25">
      <c r="C35">
        <v>5</v>
      </c>
      <c r="D35">
        <f t="array" ref="D35">MEDIAN(IF($C$3:$C$29=$C35,D$3:D$29,""))</f>
        <v>21.65</v>
      </c>
      <c r="E35">
        <f t="array" ref="E35">MEDIAN(IF($C$3:$C$29=$C35,E$3:E$29,""))</f>
        <v>22.5</v>
      </c>
      <c r="F35">
        <f t="array" ref="F35">MEDIAN(IF($C$3:$C$29=$C35,F$3:F$29,""))</f>
        <v>20.65</v>
      </c>
      <c r="G35">
        <f t="array" ref="G35">MEDIAN(IF($C$3:$C$29=$C35,G$3:G$29,""))</f>
        <v>23.9</v>
      </c>
      <c r="H35">
        <f t="array" ref="H35">MEDIAN(IF($C$3:$C$29=$C35,H$3:H$29,""))</f>
        <v>19.899999999999999</v>
      </c>
      <c r="I35">
        <f t="array" ref="I35">MEDIAN(IF($C$3:$C$29=$C35,I$3:I$29,""))</f>
        <v>18.25</v>
      </c>
      <c r="J35">
        <f t="array" ref="J35">MEDIAN(IF($C$3:$C$29=$C35,J$3:J$29,""))</f>
        <v>11.25</v>
      </c>
      <c r="K35">
        <f t="array" ref="K35">MEDIAN(IF($C$3:$C$29=$C35,K$3:K$29,""))</f>
        <v>7.9</v>
      </c>
      <c r="L35">
        <f t="array" ref="L35">MEDIAN(IF($C$3:$C$29=$C35,L$3:L$29,""))</f>
        <v>6.8</v>
      </c>
      <c r="M35">
        <f t="array" ref="M35">MEDIAN(IF($C$3:$C$29=$C35,M$3:M$29,""))</f>
        <v>8.9499999999999993</v>
      </c>
      <c r="N35">
        <f t="array" ref="N35">MEDIAN(IF($C$3:$C$29=$C35,N$3:N$29,""))</f>
        <v>10.1</v>
      </c>
      <c r="O35">
        <f t="array" ref="O35">MEDIAN(IF($C$3:$C$29=$C35,O$3:O$29,""))</f>
        <v>12.2</v>
      </c>
      <c r="P35">
        <f t="array" ref="P35">MEDIAN(IF($C$3:$C$29=$C35,P$3:P$29,""))</f>
        <v>10.25</v>
      </c>
      <c r="Q35">
        <f t="array" ref="Q35">MEDIAN(IF($C$3:$C$29=$C35,Q$3:Q$29,""))</f>
        <v>11</v>
      </c>
      <c r="R35">
        <f t="array" ref="R35">MEDIAN(IF($C$3:$C$29=$C35,R$3:R$29,""))</f>
        <v>13.7</v>
      </c>
      <c r="S35">
        <f t="array" ref="S35">MEDIAN(IF($C$3:$C$29=$C35,S$3:S$29,""))</f>
        <v>14.4</v>
      </c>
      <c r="T35">
        <f t="array" ref="T35">MEDIAN(IF($C$3:$C$29=$C35,T$3:T$29,""))</f>
        <v>12.15</v>
      </c>
      <c r="U35">
        <f t="array" ref="U35">MEDIAN(IF($C$3:$C$29=$C35,U$3:U$29,""))</f>
        <v>12.1</v>
      </c>
      <c r="V35">
        <f t="array" ref="V35">MEDIAN(IF($C$3:$C$29=$C35,V$3:V$29,""))</f>
        <v>13.649999999999999</v>
      </c>
      <c r="W35">
        <f t="array" ref="W35">MEDIAN(IF($C$3:$C$29=$C35,W$3:W$29,""))</f>
        <v>13.899999999999999</v>
      </c>
      <c r="X35">
        <f t="array" ref="X35">MEDIAN(IF($C$3:$C$29=$C35,X$3:X$29,""))</f>
        <v>15.600000000000001</v>
      </c>
      <c r="Y35">
        <f t="array" ref="Y35">MEDIAN(IF($C$3:$C$29=$C35,Y$3:Y$29,""))</f>
        <v>17.950000000000003</v>
      </c>
      <c r="Z35">
        <f t="array" ref="Z35">MEDIAN(IF($C$3:$C$29=$C35,Z$3:Z$29,""))</f>
        <v>18.75</v>
      </c>
      <c r="AA35">
        <f t="array" ref="AA35">MEDIAN(IF($C$3:$C$29=$C35,AA$3:AA$29,""))</f>
        <v>21.15</v>
      </c>
    </row>
    <row r="36" spans="3:27" x14ac:dyDescent="0.25">
      <c r="C36">
        <v>6</v>
      </c>
      <c r="D36">
        <f t="array" ref="D36">MEDIAN(IF($C$3:$C$29=$C36,D$3:D$29,""))</f>
        <v>20.8</v>
      </c>
      <c r="E36">
        <f t="array" ref="E36">MEDIAN(IF($C$3:$C$29=$C36,E$3:E$29,""))</f>
        <v>25.8</v>
      </c>
      <c r="F36">
        <f t="array" ref="F36">MEDIAN(IF($C$3:$C$29=$C36,F$3:F$29,""))</f>
        <v>26.4</v>
      </c>
      <c r="G36">
        <f t="array" ref="G36">MEDIAN(IF($C$3:$C$29=$C36,G$3:G$29,""))</f>
        <v>23.4</v>
      </c>
      <c r="H36">
        <f t="array" ref="H36">MEDIAN(IF($C$3:$C$29=$C36,H$3:H$29,""))</f>
        <v>20.5</v>
      </c>
      <c r="I36">
        <f t="array" ref="I36">MEDIAN(IF($C$3:$C$29=$C36,I$3:I$29,""))</f>
        <v>18.600000000000001</v>
      </c>
      <c r="J36">
        <f t="array" ref="J36">MEDIAN(IF($C$3:$C$29=$C36,J$3:J$29,""))</f>
        <v>10.8</v>
      </c>
      <c r="K36">
        <f t="array" ref="K36">MEDIAN(IF($C$3:$C$29=$C36,K$3:K$29,""))</f>
        <v>6.1</v>
      </c>
      <c r="L36">
        <f t="array" ref="L36">MEDIAN(IF($C$3:$C$29=$C36,L$3:L$29,""))</f>
        <v>6.2</v>
      </c>
      <c r="M36">
        <f t="array" ref="M36">MEDIAN(IF($C$3:$C$29=$C36,M$3:M$29,""))</f>
        <v>7.4</v>
      </c>
      <c r="N36">
        <f t="array" ref="N36">MEDIAN(IF($C$3:$C$29=$C36,N$3:N$29,""))</f>
        <v>9.1999999999999993</v>
      </c>
      <c r="O36">
        <f t="array" ref="O36">MEDIAN(IF($C$3:$C$29=$C36,O$3:O$29,""))</f>
        <v>10.1</v>
      </c>
      <c r="P36">
        <f t="array" ref="P36">MEDIAN(IF($C$3:$C$29=$C36,P$3:P$29,""))</f>
        <v>11</v>
      </c>
      <c r="Q36">
        <f t="array" ref="Q36">MEDIAN(IF($C$3:$C$29=$C36,Q$3:Q$29,""))</f>
        <v>8.5</v>
      </c>
      <c r="R36">
        <f t="array" ref="R36">MEDIAN(IF($C$3:$C$29=$C36,R$3:R$29,""))</f>
        <v>11.7</v>
      </c>
      <c r="S36">
        <f t="array" ref="S36">MEDIAN(IF($C$3:$C$29=$C36,S$3:S$29,""))</f>
        <v>12.7</v>
      </c>
      <c r="T36">
        <f t="array" ref="T36">MEDIAN(IF($C$3:$C$29=$C36,T$3:T$29,""))</f>
        <v>11.5</v>
      </c>
      <c r="U36">
        <f t="array" ref="U36">MEDIAN(IF($C$3:$C$29=$C36,U$3:U$29,""))</f>
        <v>14.5</v>
      </c>
      <c r="V36">
        <f t="array" ref="V36">MEDIAN(IF($C$3:$C$29=$C36,V$3:V$29,""))</f>
        <v>10.6</v>
      </c>
      <c r="W36">
        <f t="array" ref="W36">MEDIAN(IF($C$3:$C$29=$C36,W$3:W$29,""))</f>
        <v>12.8</v>
      </c>
      <c r="X36">
        <f t="array" ref="X36">MEDIAN(IF($C$3:$C$29=$C36,X$3:X$29,""))</f>
        <v>15.1</v>
      </c>
      <c r="Y36">
        <f t="array" ref="Y36">MEDIAN(IF($C$3:$C$29=$C36,Y$3:Y$29,""))</f>
        <v>16.5</v>
      </c>
      <c r="Z36">
        <f t="array" ref="Z36">MEDIAN(IF($C$3:$C$29=$C36,Z$3:Z$29,""))</f>
        <v>17.3</v>
      </c>
      <c r="AA36">
        <f t="array" ref="AA36">MEDIAN(IF($C$3:$C$29=$C36,AA$3:AA$29,""))</f>
        <v>18.2</v>
      </c>
    </row>
    <row r="37" spans="3:27" x14ac:dyDescent="0.25">
      <c r="C37">
        <v>7</v>
      </c>
      <c r="D37">
        <f t="array" ref="D37">MEDIAN(IF($C$3:$C$29=$C37,D$3:D$29,""))</f>
        <v>20.399999999999999</v>
      </c>
      <c r="E37">
        <f t="array" ref="E37">MEDIAN(IF($C$3:$C$29=$C37,E$3:E$29,""))</f>
        <v>26</v>
      </c>
      <c r="F37">
        <f t="array" ref="F37">MEDIAN(IF($C$3:$C$29=$C37,F$3:F$29,""))</f>
        <v>24.9</v>
      </c>
      <c r="G37">
        <f t="array" ref="G37">MEDIAN(IF($C$3:$C$29=$C37,G$3:G$29,""))</f>
        <v>24.65</v>
      </c>
      <c r="H37">
        <f t="array" ref="H37">MEDIAN(IF($C$3:$C$29=$C37,H$3:H$29,""))</f>
        <v>20.2</v>
      </c>
      <c r="I37">
        <f t="array" ref="I37">MEDIAN(IF($C$3:$C$29=$C37,I$3:I$29,""))</f>
        <v>20.350000000000001</v>
      </c>
      <c r="J37">
        <f t="array" ref="J37">MEDIAN(IF($C$3:$C$29=$C37,J$3:J$29,""))</f>
        <v>12.95</v>
      </c>
      <c r="K37">
        <f t="array" ref="K37">MEDIAN(IF($C$3:$C$29=$C37,K$3:K$29,""))</f>
        <v>7.45</v>
      </c>
      <c r="L37">
        <f t="array" ref="L37">MEDIAN(IF($C$3:$C$29=$C37,L$3:L$29,""))</f>
        <v>6.9</v>
      </c>
      <c r="M37">
        <f t="array" ref="M37">MEDIAN(IF($C$3:$C$29=$C37,M$3:M$29,""))</f>
        <v>9.1999999999999993</v>
      </c>
      <c r="N37">
        <f t="array" ref="N37">MEDIAN(IF($C$3:$C$29=$C37,N$3:N$29,""))</f>
        <v>11.45</v>
      </c>
      <c r="O37">
        <f t="array" ref="O37">MEDIAN(IF($C$3:$C$29=$C37,O$3:O$29,""))</f>
        <v>9.85</v>
      </c>
      <c r="P37">
        <f t="array" ref="P37">MEDIAN(IF($C$3:$C$29=$C37,P$3:P$29,""))</f>
        <v>9.1</v>
      </c>
      <c r="Q37">
        <f t="array" ref="Q37">MEDIAN(IF($C$3:$C$29=$C37,Q$3:Q$29,""))</f>
        <v>10.65</v>
      </c>
      <c r="R37">
        <f t="array" ref="R37">MEDIAN(IF($C$3:$C$29=$C37,R$3:R$29,""))</f>
        <v>12.15</v>
      </c>
      <c r="S37">
        <f t="array" ref="S37">MEDIAN(IF($C$3:$C$29=$C37,S$3:S$29,""))</f>
        <v>12.55</v>
      </c>
      <c r="T37">
        <f t="array" ref="T37">MEDIAN(IF($C$3:$C$29=$C37,T$3:T$29,""))</f>
        <v>14.600000000000001</v>
      </c>
      <c r="U37">
        <f t="array" ref="U37">MEDIAN(IF($C$3:$C$29=$C37,U$3:U$29,""))</f>
        <v>12.65</v>
      </c>
      <c r="V37">
        <f t="array" ref="V37">MEDIAN(IF($C$3:$C$29=$C37,V$3:V$29,""))</f>
        <v>12.45</v>
      </c>
      <c r="W37">
        <f t="array" ref="W37">MEDIAN(IF($C$3:$C$29=$C37,W$3:W$29,""))</f>
        <v>11.6</v>
      </c>
      <c r="X37">
        <f t="array" ref="X37">MEDIAN(IF($C$3:$C$29=$C37,X$3:X$29,""))</f>
        <v>15.05</v>
      </c>
      <c r="Y37">
        <f t="array" ref="Y37">MEDIAN(IF($C$3:$C$29=$C37,Y$3:Y$29,""))</f>
        <v>14.3</v>
      </c>
      <c r="Z37">
        <f t="array" ref="Z37">MEDIAN(IF($C$3:$C$29=$C37,Z$3:Z$29,""))</f>
        <v>18.25</v>
      </c>
      <c r="AA37">
        <f t="array" ref="AA37">MEDIAN(IF($C$3:$C$29=$C37,AA$3:AA$29,""))</f>
        <v>18.899999999999999</v>
      </c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6"/>
  <dimension ref="A1:AA37"/>
  <sheetViews>
    <sheetView workbookViewId="0">
      <selection activeCell="G31" sqref="G31:G37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13.9</v>
      </c>
      <c r="H3">
        <v>18.100000000000001</v>
      </c>
      <c r="I3">
        <v>27</v>
      </c>
      <c r="J3">
        <v>12</v>
      </c>
      <c r="K3">
        <v>10.3</v>
      </c>
      <c r="L3">
        <v>8.8000000000000007</v>
      </c>
      <c r="M3">
        <v>14.3</v>
      </c>
      <c r="N3">
        <v>9.5</v>
      </c>
      <c r="O3">
        <v>17.100000000000001</v>
      </c>
      <c r="P3">
        <v>12.5</v>
      </c>
      <c r="Q3">
        <v>13.1</v>
      </c>
      <c r="R3">
        <v>13.6</v>
      </c>
      <c r="S3">
        <v>18.100000000000001</v>
      </c>
      <c r="T3">
        <v>17.2</v>
      </c>
      <c r="U3">
        <v>16.100000000000001</v>
      </c>
      <c r="V3">
        <v>13.9</v>
      </c>
      <c r="W3">
        <v>14.7</v>
      </c>
      <c r="X3">
        <v>14.4</v>
      </c>
      <c r="Y3">
        <v>18.2</v>
      </c>
      <c r="Z3">
        <v>22.3</v>
      </c>
      <c r="AA3">
        <v>18.100000000000001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15.1</v>
      </c>
      <c r="H4">
        <v>14.4</v>
      </c>
      <c r="I4">
        <v>17.2</v>
      </c>
      <c r="J4">
        <v>18.3</v>
      </c>
      <c r="K4">
        <v>13.8</v>
      </c>
      <c r="L4">
        <v>21.4</v>
      </c>
      <c r="M4">
        <v>10.4</v>
      </c>
      <c r="N4">
        <v>11.1</v>
      </c>
      <c r="O4">
        <v>15</v>
      </c>
      <c r="P4">
        <v>12.3</v>
      </c>
      <c r="Q4">
        <v>32.1</v>
      </c>
      <c r="R4">
        <v>13.1</v>
      </c>
      <c r="S4">
        <v>13.4</v>
      </c>
      <c r="T4">
        <v>11</v>
      </c>
      <c r="U4">
        <v>28.2</v>
      </c>
      <c r="V4">
        <v>20.5</v>
      </c>
      <c r="W4">
        <v>21.5</v>
      </c>
      <c r="X4">
        <v>14.4</v>
      </c>
      <c r="Y4">
        <v>10.8</v>
      </c>
      <c r="Z4">
        <v>17.3</v>
      </c>
      <c r="AA4">
        <v>21.4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15.8</v>
      </c>
      <c r="E5">
        <v>36.700000000000003</v>
      </c>
      <c r="I5">
        <v>17.3</v>
      </c>
      <c r="J5">
        <v>20.3</v>
      </c>
      <c r="K5">
        <v>25.3</v>
      </c>
      <c r="L5">
        <v>21.3</v>
      </c>
      <c r="M5">
        <v>12.7</v>
      </c>
      <c r="N5">
        <v>16.5</v>
      </c>
      <c r="O5">
        <v>13.3</v>
      </c>
      <c r="P5">
        <v>13.5</v>
      </c>
      <c r="Q5">
        <v>14.5</v>
      </c>
      <c r="R5">
        <v>20.2</v>
      </c>
      <c r="S5">
        <v>13.7</v>
      </c>
      <c r="T5">
        <v>8.6999999999999993</v>
      </c>
      <c r="U5">
        <v>12.1</v>
      </c>
      <c r="V5">
        <v>13.2</v>
      </c>
      <c r="W5">
        <v>15.3</v>
      </c>
      <c r="X5">
        <v>12.1</v>
      </c>
      <c r="Y5">
        <v>15</v>
      </c>
      <c r="Z5">
        <v>14.7</v>
      </c>
      <c r="AA5">
        <v>20.5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17.2</v>
      </c>
      <c r="H6">
        <v>26.6</v>
      </c>
      <c r="I6">
        <v>17</v>
      </c>
      <c r="J6">
        <v>8.8000000000000007</v>
      </c>
      <c r="K6">
        <v>8</v>
      </c>
      <c r="L6">
        <v>8.8000000000000007</v>
      </c>
      <c r="M6">
        <v>6.8</v>
      </c>
      <c r="N6">
        <v>10.6</v>
      </c>
      <c r="O6">
        <v>17.5</v>
      </c>
      <c r="P6">
        <v>12.2</v>
      </c>
      <c r="Q6">
        <v>18.600000000000001</v>
      </c>
      <c r="R6">
        <v>11.7</v>
      </c>
      <c r="S6">
        <v>17.399999999999999</v>
      </c>
      <c r="T6">
        <v>15.3</v>
      </c>
      <c r="U6">
        <v>16.899999999999999</v>
      </c>
      <c r="V6">
        <v>11.3</v>
      </c>
      <c r="W6">
        <v>12.7</v>
      </c>
      <c r="Y6">
        <v>16.899999999999999</v>
      </c>
      <c r="Z6">
        <v>17.3</v>
      </c>
      <c r="AA6">
        <v>26.5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17.399999999999999</v>
      </c>
      <c r="H7">
        <v>28.8</v>
      </c>
      <c r="I7">
        <v>22.5</v>
      </c>
      <c r="J7">
        <v>15</v>
      </c>
      <c r="K7">
        <v>8</v>
      </c>
      <c r="L7">
        <v>5.4</v>
      </c>
      <c r="M7">
        <v>9.1</v>
      </c>
      <c r="N7">
        <v>9.5</v>
      </c>
      <c r="O7">
        <v>9.4</v>
      </c>
      <c r="P7">
        <v>20.399999999999999</v>
      </c>
      <c r="Q7">
        <v>11.8</v>
      </c>
      <c r="R7">
        <v>17</v>
      </c>
      <c r="S7">
        <v>11.6</v>
      </c>
      <c r="T7">
        <v>14.1</v>
      </c>
      <c r="U7">
        <v>11.9</v>
      </c>
      <c r="V7">
        <v>9.9</v>
      </c>
      <c r="W7">
        <v>16.3</v>
      </c>
      <c r="X7">
        <v>26.6</v>
      </c>
      <c r="Y7">
        <v>21.2</v>
      </c>
      <c r="Z7">
        <v>12.4</v>
      </c>
      <c r="AA7">
        <v>18.399999999999999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23.5</v>
      </c>
      <c r="H8">
        <v>18.3</v>
      </c>
      <c r="I8">
        <v>18.8</v>
      </c>
      <c r="J8">
        <v>8.4</v>
      </c>
      <c r="K8">
        <v>5.9</v>
      </c>
      <c r="L8">
        <v>5.9</v>
      </c>
      <c r="M8">
        <v>7.1</v>
      </c>
      <c r="N8">
        <v>13.2</v>
      </c>
      <c r="O8">
        <v>4.5</v>
      </c>
      <c r="P8">
        <v>8</v>
      </c>
      <c r="Q8">
        <v>9.1999999999999993</v>
      </c>
      <c r="R8">
        <v>14.2</v>
      </c>
      <c r="S8">
        <v>20.5</v>
      </c>
      <c r="T8">
        <v>9.6999999999999993</v>
      </c>
      <c r="U8">
        <v>18.100000000000001</v>
      </c>
      <c r="V8">
        <v>11.4</v>
      </c>
      <c r="W8">
        <v>20.5</v>
      </c>
      <c r="X8">
        <v>19.8</v>
      </c>
      <c r="Y8">
        <v>16</v>
      </c>
      <c r="Z8">
        <v>20.6</v>
      </c>
      <c r="AA8">
        <v>16.8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18.5</v>
      </c>
      <c r="H9">
        <v>18.8</v>
      </c>
      <c r="I9">
        <v>14.7</v>
      </c>
      <c r="J9">
        <v>7.5</v>
      </c>
      <c r="K9">
        <v>4.7</v>
      </c>
      <c r="L9">
        <v>3.8</v>
      </c>
      <c r="M9">
        <v>10</v>
      </c>
      <c r="N9">
        <v>12.1</v>
      </c>
      <c r="O9">
        <v>9.4</v>
      </c>
      <c r="P9">
        <v>10.1</v>
      </c>
      <c r="Q9">
        <v>8.1999999999999993</v>
      </c>
      <c r="R9">
        <v>13.3</v>
      </c>
      <c r="S9">
        <v>16.3</v>
      </c>
      <c r="T9">
        <v>9</v>
      </c>
      <c r="U9">
        <v>17.3</v>
      </c>
      <c r="V9">
        <v>13</v>
      </c>
      <c r="W9">
        <v>13.8</v>
      </c>
      <c r="X9">
        <v>16.8</v>
      </c>
      <c r="Y9">
        <v>14.4</v>
      </c>
      <c r="Z9">
        <v>13.8</v>
      </c>
      <c r="AA9">
        <v>23.6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15.4</v>
      </c>
      <c r="H10">
        <v>14.4</v>
      </c>
      <c r="I10">
        <v>16.3</v>
      </c>
      <c r="J10">
        <v>8.3000000000000007</v>
      </c>
      <c r="K10">
        <v>5.7</v>
      </c>
      <c r="L10">
        <v>5.6</v>
      </c>
      <c r="M10">
        <v>9.6999999999999993</v>
      </c>
      <c r="N10">
        <v>13.2</v>
      </c>
      <c r="O10">
        <v>11.1</v>
      </c>
      <c r="P10">
        <v>6.3</v>
      </c>
      <c r="Q10">
        <v>11.5</v>
      </c>
      <c r="R10">
        <v>17.7</v>
      </c>
      <c r="S10">
        <v>13.9</v>
      </c>
      <c r="T10">
        <v>16.100000000000001</v>
      </c>
      <c r="U10">
        <v>11</v>
      </c>
      <c r="V10">
        <v>6.2</v>
      </c>
      <c r="W10">
        <v>14.3</v>
      </c>
      <c r="X10">
        <v>20.6</v>
      </c>
      <c r="Y10">
        <v>17.2</v>
      </c>
      <c r="Z10">
        <v>26.6</v>
      </c>
      <c r="AA10">
        <v>18.2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16.7</v>
      </c>
      <c r="H11">
        <v>15.7</v>
      </c>
      <c r="I11">
        <v>17.5</v>
      </c>
      <c r="J11">
        <v>18</v>
      </c>
      <c r="K11">
        <v>7.1</v>
      </c>
      <c r="L11">
        <v>12.4</v>
      </c>
      <c r="M11">
        <v>16.899999999999999</v>
      </c>
      <c r="N11">
        <v>8.3000000000000007</v>
      </c>
      <c r="O11">
        <v>9.6</v>
      </c>
      <c r="P11">
        <v>12.4</v>
      </c>
      <c r="Q11">
        <v>9.1</v>
      </c>
      <c r="R11">
        <v>9.1</v>
      </c>
      <c r="S11">
        <v>13.2</v>
      </c>
      <c r="T11">
        <v>14.4</v>
      </c>
      <c r="U11">
        <v>11.9</v>
      </c>
      <c r="V11">
        <v>12.6</v>
      </c>
      <c r="W11">
        <v>17.899999999999999</v>
      </c>
      <c r="X11">
        <v>13.8</v>
      </c>
      <c r="Y11">
        <v>23.2</v>
      </c>
      <c r="Z11">
        <v>18.5</v>
      </c>
      <c r="AA11">
        <v>26.6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22.2</v>
      </c>
      <c r="E12">
        <v>28.2</v>
      </c>
      <c r="I12">
        <v>27.8</v>
      </c>
      <c r="J12">
        <v>14.3</v>
      </c>
      <c r="K12">
        <v>20</v>
      </c>
      <c r="L12">
        <v>16</v>
      </c>
      <c r="M12">
        <v>16.899999999999999</v>
      </c>
      <c r="N12">
        <v>14.7</v>
      </c>
      <c r="O12">
        <v>14.7</v>
      </c>
      <c r="P12">
        <v>14.5</v>
      </c>
      <c r="Q12">
        <v>16.2</v>
      </c>
      <c r="R12">
        <v>19</v>
      </c>
      <c r="S12">
        <v>17.3</v>
      </c>
      <c r="T12">
        <v>15.9</v>
      </c>
      <c r="U12">
        <v>11.1</v>
      </c>
      <c r="V12">
        <v>16.3</v>
      </c>
      <c r="W12">
        <v>18.2</v>
      </c>
      <c r="Y12">
        <v>15.4</v>
      </c>
      <c r="Z12">
        <v>23.1</v>
      </c>
      <c r="AA12">
        <v>17.399999999999999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14.4</v>
      </c>
      <c r="H13">
        <v>15.2</v>
      </c>
      <c r="I13">
        <v>15.3</v>
      </c>
      <c r="J13">
        <v>6.7</v>
      </c>
      <c r="K13">
        <v>5.2</v>
      </c>
      <c r="L13">
        <v>6.8</v>
      </c>
      <c r="M13">
        <v>16.2</v>
      </c>
      <c r="N13">
        <v>14</v>
      </c>
      <c r="O13">
        <v>8.3000000000000007</v>
      </c>
      <c r="P13">
        <v>20.100000000000001</v>
      </c>
      <c r="Q13">
        <v>8.1</v>
      </c>
      <c r="R13">
        <v>20.2</v>
      </c>
      <c r="S13">
        <v>11.8</v>
      </c>
      <c r="U13">
        <v>5.9</v>
      </c>
      <c r="V13">
        <v>19</v>
      </c>
      <c r="W13">
        <v>9.5</v>
      </c>
      <c r="X13">
        <v>19.600000000000001</v>
      </c>
      <c r="Y13">
        <v>16.899999999999999</v>
      </c>
      <c r="Z13">
        <v>17.5</v>
      </c>
      <c r="AA13">
        <v>21.9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20.399999999999999</v>
      </c>
      <c r="H14">
        <v>19.600000000000001</v>
      </c>
      <c r="I14">
        <v>18.899999999999999</v>
      </c>
      <c r="J14">
        <v>8.4</v>
      </c>
      <c r="K14">
        <v>8.1</v>
      </c>
      <c r="L14">
        <v>5.7</v>
      </c>
      <c r="M14">
        <v>8.5</v>
      </c>
      <c r="N14">
        <v>9.1</v>
      </c>
      <c r="O14">
        <v>12.3</v>
      </c>
      <c r="P14">
        <v>11.5</v>
      </c>
      <c r="Q14">
        <v>13.5</v>
      </c>
      <c r="R14">
        <v>18.3</v>
      </c>
      <c r="S14">
        <v>13</v>
      </c>
      <c r="T14">
        <v>15.1</v>
      </c>
      <c r="U14">
        <v>13.5</v>
      </c>
      <c r="V14">
        <v>11.7</v>
      </c>
      <c r="W14">
        <v>13.4</v>
      </c>
      <c r="X14">
        <v>15.4</v>
      </c>
      <c r="Y14">
        <v>13.6</v>
      </c>
      <c r="Z14">
        <v>14.8</v>
      </c>
      <c r="AA14">
        <v>18.2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19</v>
      </c>
      <c r="H15">
        <v>15.8</v>
      </c>
      <c r="I15">
        <v>19.8</v>
      </c>
      <c r="J15">
        <v>9.1</v>
      </c>
      <c r="K15">
        <v>10.6</v>
      </c>
      <c r="L15">
        <v>9.6999999999999993</v>
      </c>
      <c r="M15">
        <v>14.6</v>
      </c>
      <c r="N15">
        <v>9.1</v>
      </c>
      <c r="O15">
        <v>9.6</v>
      </c>
      <c r="P15">
        <v>10.7</v>
      </c>
      <c r="Q15">
        <v>11.3</v>
      </c>
      <c r="R15">
        <v>12.1</v>
      </c>
      <c r="S15">
        <v>16.5</v>
      </c>
      <c r="T15">
        <v>11.1</v>
      </c>
      <c r="U15">
        <v>11.3</v>
      </c>
      <c r="V15">
        <v>11.5</v>
      </c>
      <c r="W15">
        <v>8.8000000000000007</v>
      </c>
      <c r="X15">
        <v>14.3</v>
      </c>
      <c r="Y15">
        <v>21.6</v>
      </c>
      <c r="Z15">
        <v>17.8</v>
      </c>
      <c r="AA15">
        <v>20.9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19.899999999999999</v>
      </c>
      <c r="H16">
        <v>21.8</v>
      </c>
      <c r="I16">
        <v>17.2</v>
      </c>
      <c r="J16">
        <v>11.3</v>
      </c>
      <c r="K16">
        <v>6.9</v>
      </c>
      <c r="L16">
        <v>5.3</v>
      </c>
      <c r="M16">
        <v>5.9</v>
      </c>
      <c r="N16">
        <v>8.8000000000000007</v>
      </c>
      <c r="O16">
        <v>9.4</v>
      </c>
      <c r="P16">
        <v>8.1</v>
      </c>
      <c r="Q16">
        <v>8.6999999999999993</v>
      </c>
      <c r="R16">
        <v>12.1</v>
      </c>
      <c r="S16">
        <v>11.8</v>
      </c>
      <c r="T16">
        <v>15.8</v>
      </c>
      <c r="U16">
        <v>12.3</v>
      </c>
      <c r="V16">
        <v>10.4</v>
      </c>
      <c r="W16">
        <v>13.5</v>
      </c>
      <c r="X16">
        <v>19.5</v>
      </c>
      <c r="Y16">
        <v>16.100000000000001</v>
      </c>
      <c r="Z16">
        <v>14.1</v>
      </c>
      <c r="AA16">
        <v>22.6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20.8</v>
      </c>
      <c r="H17">
        <v>28.9</v>
      </c>
      <c r="I17">
        <v>24.1</v>
      </c>
      <c r="J17">
        <v>15.1</v>
      </c>
      <c r="K17">
        <v>6.1</v>
      </c>
      <c r="L17">
        <v>6.2</v>
      </c>
      <c r="M17">
        <v>7.9</v>
      </c>
      <c r="N17">
        <v>12.6</v>
      </c>
      <c r="O17">
        <v>7.5</v>
      </c>
      <c r="P17">
        <v>12.9</v>
      </c>
      <c r="Q17">
        <v>10.6</v>
      </c>
      <c r="R17">
        <v>7.8</v>
      </c>
      <c r="S17">
        <v>11.6</v>
      </c>
      <c r="T17">
        <v>17.899999999999999</v>
      </c>
      <c r="U17">
        <v>12.6</v>
      </c>
      <c r="V17">
        <v>10.199999999999999</v>
      </c>
      <c r="W17">
        <v>6</v>
      </c>
      <c r="X17">
        <v>15.1</v>
      </c>
      <c r="Y17">
        <v>16.600000000000001</v>
      </c>
      <c r="Z17">
        <v>19.3</v>
      </c>
      <c r="AA17">
        <v>26.6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19.899999999999999</v>
      </c>
      <c r="H18">
        <v>22.7</v>
      </c>
      <c r="I18">
        <v>20.7</v>
      </c>
      <c r="J18">
        <v>18.399999999999999</v>
      </c>
      <c r="K18">
        <v>14.8</v>
      </c>
      <c r="L18">
        <v>6.8</v>
      </c>
      <c r="M18">
        <v>7</v>
      </c>
      <c r="N18">
        <v>9.4</v>
      </c>
      <c r="O18">
        <v>8.6</v>
      </c>
      <c r="P18">
        <v>7.9</v>
      </c>
      <c r="Q18">
        <v>7.1</v>
      </c>
      <c r="R18">
        <v>11.3</v>
      </c>
      <c r="S18">
        <v>18.7</v>
      </c>
      <c r="T18">
        <v>19.399999999999999</v>
      </c>
      <c r="U18">
        <v>14.4</v>
      </c>
      <c r="V18">
        <v>26.6</v>
      </c>
      <c r="W18">
        <v>9.6</v>
      </c>
      <c r="X18">
        <v>23.5</v>
      </c>
      <c r="Y18">
        <v>11.1</v>
      </c>
      <c r="Z18">
        <v>23.9</v>
      </c>
      <c r="AA18">
        <v>28.2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14.4</v>
      </c>
      <c r="H19">
        <v>28.8</v>
      </c>
      <c r="I19">
        <v>18.5</v>
      </c>
      <c r="J19">
        <v>23.3</v>
      </c>
      <c r="K19">
        <v>17.5</v>
      </c>
      <c r="L19">
        <v>21.6</v>
      </c>
      <c r="M19">
        <v>16.2</v>
      </c>
      <c r="N19">
        <v>14.1</v>
      </c>
      <c r="P19">
        <v>12.6</v>
      </c>
      <c r="Q19">
        <v>12.9</v>
      </c>
      <c r="R19">
        <v>18.600000000000001</v>
      </c>
      <c r="S19">
        <v>14.7</v>
      </c>
      <c r="T19">
        <v>11.8</v>
      </c>
      <c r="U19">
        <v>13.7</v>
      </c>
      <c r="V19">
        <v>12</v>
      </c>
      <c r="W19">
        <v>17.3</v>
      </c>
      <c r="X19">
        <v>14.9</v>
      </c>
      <c r="Y19">
        <v>25.9</v>
      </c>
      <c r="Z19">
        <v>25.8</v>
      </c>
      <c r="AA19">
        <v>18.8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28.1</v>
      </c>
      <c r="H20">
        <v>26.9</v>
      </c>
      <c r="I20">
        <v>19.600000000000001</v>
      </c>
      <c r="J20">
        <v>6</v>
      </c>
      <c r="K20">
        <v>6.6</v>
      </c>
      <c r="L20">
        <v>5.3</v>
      </c>
      <c r="M20">
        <v>7.6</v>
      </c>
      <c r="N20">
        <v>5.0999999999999996</v>
      </c>
      <c r="O20">
        <v>20.6</v>
      </c>
      <c r="P20">
        <v>19.2</v>
      </c>
      <c r="Q20">
        <v>19.2</v>
      </c>
      <c r="R20">
        <v>9.1</v>
      </c>
      <c r="S20">
        <v>19</v>
      </c>
      <c r="T20">
        <v>11.6</v>
      </c>
      <c r="U20">
        <v>6.2</v>
      </c>
      <c r="V20">
        <v>14.4</v>
      </c>
      <c r="W20">
        <v>10.3</v>
      </c>
      <c r="X20">
        <v>17.2</v>
      </c>
      <c r="Y20">
        <v>20.3</v>
      </c>
      <c r="Z20">
        <v>20.9</v>
      </c>
      <c r="AA20">
        <v>29.3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12.1</v>
      </c>
      <c r="H21">
        <v>26.6</v>
      </c>
      <c r="I21">
        <v>13.9</v>
      </c>
      <c r="J21">
        <v>12.6</v>
      </c>
      <c r="K21">
        <v>6.2</v>
      </c>
      <c r="L21">
        <v>4.9000000000000004</v>
      </c>
      <c r="M21">
        <v>5.6</v>
      </c>
      <c r="N21">
        <v>10.3</v>
      </c>
      <c r="O21">
        <v>10.4</v>
      </c>
      <c r="P21">
        <v>10.6</v>
      </c>
      <c r="Q21">
        <v>8.5</v>
      </c>
      <c r="R21">
        <v>15.3</v>
      </c>
      <c r="S21">
        <v>17.3</v>
      </c>
      <c r="T21">
        <v>15</v>
      </c>
      <c r="U21">
        <v>12.8</v>
      </c>
      <c r="V21">
        <v>6.7</v>
      </c>
      <c r="W21">
        <v>20.5</v>
      </c>
      <c r="X21">
        <v>14.9</v>
      </c>
      <c r="Y21">
        <v>20.7</v>
      </c>
      <c r="Z21">
        <v>16.2</v>
      </c>
      <c r="AA21">
        <v>23.3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33.799999999999997</v>
      </c>
      <c r="H22">
        <v>16.899999999999999</v>
      </c>
      <c r="I22">
        <v>12.9</v>
      </c>
      <c r="J22">
        <v>14.2</v>
      </c>
      <c r="K22">
        <v>5.3</v>
      </c>
      <c r="L22">
        <v>9</v>
      </c>
      <c r="M22">
        <v>10</v>
      </c>
      <c r="N22">
        <v>11.5</v>
      </c>
      <c r="O22">
        <v>36.5</v>
      </c>
      <c r="P22">
        <v>15.8</v>
      </c>
      <c r="Q22">
        <v>12.8</v>
      </c>
      <c r="R22">
        <v>12.8</v>
      </c>
      <c r="S22">
        <v>11.3</v>
      </c>
      <c r="T22">
        <v>15.2</v>
      </c>
      <c r="U22">
        <v>15.1</v>
      </c>
      <c r="V22">
        <v>11.6</v>
      </c>
      <c r="W22">
        <v>10.6</v>
      </c>
      <c r="X22">
        <v>15.4</v>
      </c>
      <c r="Y22">
        <v>14.4</v>
      </c>
      <c r="Z22">
        <v>20.7</v>
      </c>
      <c r="AA22">
        <v>20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20.8</v>
      </c>
      <c r="H23">
        <v>14.5</v>
      </c>
      <c r="I23">
        <v>21.2</v>
      </c>
      <c r="K23">
        <v>6.8</v>
      </c>
      <c r="L23">
        <v>6.3</v>
      </c>
      <c r="M23">
        <v>11.3</v>
      </c>
      <c r="N23">
        <v>9.6999999999999993</v>
      </c>
      <c r="O23">
        <v>9.5</v>
      </c>
      <c r="P23">
        <v>7.8</v>
      </c>
      <c r="Q23">
        <v>9.6999999999999993</v>
      </c>
      <c r="R23">
        <v>10.6</v>
      </c>
      <c r="S23">
        <v>20.3</v>
      </c>
      <c r="T23">
        <v>8</v>
      </c>
      <c r="U23">
        <v>13.9</v>
      </c>
      <c r="V23">
        <v>18.5</v>
      </c>
      <c r="W23">
        <v>8.5</v>
      </c>
      <c r="X23">
        <v>25.6</v>
      </c>
      <c r="Y23">
        <v>27.2</v>
      </c>
      <c r="Z23">
        <v>19.100000000000001</v>
      </c>
      <c r="AA23">
        <v>20.9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16.7</v>
      </c>
      <c r="H24">
        <v>14.7</v>
      </c>
      <c r="I24">
        <v>25.2</v>
      </c>
      <c r="J24">
        <v>11.6</v>
      </c>
      <c r="K24">
        <v>8.9</v>
      </c>
      <c r="L24">
        <v>6.8</v>
      </c>
      <c r="M24">
        <v>8.1</v>
      </c>
      <c r="N24">
        <v>9.1</v>
      </c>
      <c r="O24">
        <v>7.1</v>
      </c>
      <c r="P24">
        <v>5.7</v>
      </c>
      <c r="Q24">
        <v>8.6999999999999993</v>
      </c>
      <c r="R24">
        <v>9.8000000000000007</v>
      </c>
      <c r="S24">
        <v>13.6</v>
      </c>
      <c r="T24">
        <v>14.7</v>
      </c>
      <c r="U24">
        <v>12.1</v>
      </c>
      <c r="V24">
        <v>20.9</v>
      </c>
      <c r="W24">
        <v>14.1</v>
      </c>
      <c r="X24">
        <v>15.1</v>
      </c>
      <c r="Y24">
        <v>10.5</v>
      </c>
      <c r="Z24">
        <v>22.2</v>
      </c>
      <c r="AA24">
        <v>24.1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16.8</v>
      </c>
      <c r="H25">
        <v>17</v>
      </c>
      <c r="I25">
        <v>24</v>
      </c>
      <c r="J25">
        <v>20.6</v>
      </c>
      <c r="K25">
        <v>19.2</v>
      </c>
      <c r="L25">
        <v>13.8</v>
      </c>
      <c r="M25">
        <v>11.7</v>
      </c>
      <c r="N25">
        <v>12.2</v>
      </c>
      <c r="O25">
        <v>17.100000000000001</v>
      </c>
      <c r="P25">
        <v>12</v>
      </c>
      <c r="Q25">
        <v>7.7</v>
      </c>
      <c r="S25">
        <v>8</v>
      </c>
      <c r="T25">
        <v>10.5</v>
      </c>
      <c r="V25">
        <v>18.3</v>
      </c>
      <c r="Z25">
        <v>12.9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22.8</v>
      </c>
      <c r="E26">
        <v>25.2</v>
      </c>
      <c r="H26">
        <v>15.9</v>
      </c>
      <c r="I26">
        <v>13.8</v>
      </c>
      <c r="J26">
        <v>15.4</v>
      </c>
      <c r="K26">
        <v>19.600000000000001</v>
      </c>
      <c r="L26">
        <v>17.899999999999999</v>
      </c>
      <c r="M26">
        <v>17.100000000000001</v>
      </c>
      <c r="O26">
        <v>21</v>
      </c>
      <c r="P26">
        <v>10.6</v>
      </c>
      <c r="Q26">
        <v>12.1</v>
      </c>
      <c r="R26">
        <v>16.5</v>
      </c>
      <c r="S26">
        <v>12.4</v>
      </c>
      <c r="T26">
        <v>13.3</v>
      </c>
      <c r="U26">
        <v>14.7</v>
      </c>
      <c r="V26">
        <v>10.8</v>
      </c>
      <c r="W26">
        <v>14.1</v>
      </c>
      <c r="X26">
        <v>26.2</v>
      </c>
      <c r="Y26">
        <v>14.8</v>
      </c>
      <c r="Z26">
        <v>16.600000000000001</v>
      </c>
      <c r="AA26">
        <v>25.1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11.9</v>
      </c>
      <c r="H27">
        <v>15.9</v>
      </c>
      <c r="I27">
        <v>14.4</v>
      </c>
      <c r="J27">
        <v>9.8000000000000007</v>
      </c>
      <c r="K27">
        <v>10.3</v>
      </c>
      <c r="L27">
        <v>7.1</v>
      </c>
      <c r="M27">
        <v>16.7</v>
      </c>
      <c r="N27">
        <v>8.6999999999999993</v>
      </c>
      <c r="O27">
        <v>10.3</v>
      </c>
      <c r="P27">
        <v>9.8000000000000007</v>
      </c>
      <c r="Q27">
        <v>10.9</v>
      </c>
      <c r="R27">
        <v>20.5</v>
      </c>
      <c r="S27">
        <v>12.9</v>
      </c>
      <c r="T27">
        <v>13.8</v>
      </c>
      <c r="U27">
        <v>12.9</v>
      </c>
      <c r="V27">
        <v>4.5999999999999996</v>
      </c>
      <c r="W27">
        <v>12.5</v>
      </c>
      <c r="X27">
        <v>22.2</v>
      </c>
      <c r="Y27">
        <v>15.9</v>
      </c>
      <c r="Z27">
        <v>14.9</v>
      </c>
      <c r="AA27">
        <v>17.2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18.100000000000001</v>
      </c>
      <c r="H28">
        <v>26.6</v>
      </c>
      <c r="I28">
        <v>19.5</v>
      </c>
      <c r="J28">
        <v>7.9</v>
      </c>
      <c r="K28">
        <v>7.6</v>
      </c>
      <c r="L28">
        <v>5.9</v>
      </c>
      <c r="M28">
        <v>8.9</v>
      </c>
      <c r="N28">
        <v>11.3</v>
      </c>
      <c r="O28">
        <v>11.5</v>
      </c>
      <c r="P28">
        <v>15.9</v>
      </c>
      <c r="Q28">
        <v>10.1</v>
      </c>
      <c r="R28">
        <v>11.2</v>
      </c>
      <c r="S28">
        <v>13.8</v>
      </c>
      <c r="T28">
        <v>15.5</v>
      </c>
      <c r="U28">
        <v>11.6</v>
      </c>
      <c r="V28">
        <v>12.4</v>
      </c>
      <c r="W28">
        <v>18</v>
      </c>
      <c r="X28">
        <v>10.8</v>
      </c>
      <c r="Y28">
        <v>11.8</v>
      </c>
      <c r="Z28">
        <v>18.8</v>
      </c>
      <c r="AA28">
        <v>17.8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18.399999999999999</v>
      </c>
      <c r="H29">
        <v>26.6</v>
      </c>
      <c r="I29">
        <v>13.3</v>
      </c>
      <c r="J29">
        <v>7.8</v>
      </c>
      <c r="K29">
        <v>7.2</v>
      </c>
      <c r="L29">
        <v>8.6</v>
      </c>
      <c r="M29">
        <v>9.6</v>
      </c>
      <c r="N29">
        <v>7.8</v>
      </c>
      <c r="O29">
        <v>11.6</v>
      </c>
      <c r="P29">
        <v>10.3</v>
      </c>
      <c r="Q29">
        <v>13.1</v>
      </c>
      <c r="R29">
        <v>13.8</v>
      </c>
      <c r="S29">
        <v>18.7</v>
      </c>
      <c r="T29">
        <v>21.2</v>
      </c>
      <c r="U29">
        <v>13.5</v>
      </c>
      <c r="V29">
        <v>9.6</v>
      </c>
      <c r="W29">
        <v>11</v>
      </c>
      <c r="X29">
        <v>19.7</v>
      </c>
      <c r="Z29">
        <v>11.4</v>
      </c>
      <c r="AA29">
        <v>16.100000000000001</v>
      </c>
    </row>
    <row r="31" spans="1:27" x14ac:dyDescent="0.25">
      <c r="C31">
        <v>1</v>
      </c>
      <c r="D31">
        <f t="array" ref="D31">MEDIAN(IF($C$3:$C$29=$C31,D$3:D$29,""))</f>
        <v>19</v>
      </c>
      <c r="E31">
        <f t="array" ref="E31">MEDIAN(IF($C$3:$C$29=$C31,E$3:E$29,""))</f>
        <v>26.7</v>
      </c>
      <c r="F31">
        <f t="array" ref="F31">MEDIAN(IF($C$3:$C$29=$C31,F$3:F$29,""))</f>
        <v>0</v>
      </c>
      <c r="G31">
        <v>26</v>
      </c>
      <c r="H31">
        <f t="array" ref="H31">MEDIAN(IF($C$3:$C$29=$C31,H$3:H$29,""))</f>
        <v>7.95</v>
      </c>
      <c r="I31">
        <f t="array" ref="I31">MEDIAN(IF($C$3:$C$29=$C31,I$3:I$29,""))</f>
        <v>17.899999999999999</v>
      </c>
      <c r="J31">
        <f t="array" ref="J31">MEDIAN(IF($C$3:$C$29=$C31,J$3:J$29,""))</f>
        <v>17.850000000000001</v>
      </c>
      <c r="K31">
        <f t="array" ref="K31">MEDIAN(IF($C$3:$C$29=$C31,K$3:K$29,""))</f>
        <v>19.8</v>
      </c>
      <c r="L31">
        <f t="array" ref="L31">MEDIAN(IF($C$3:$C$29=$C31,L$3:L$29,""))</f>
        <v>19.600000000000001</v>
      </c>
      <c r="M31">
        <f t="array" ref="M31">MEDIAN(IF($C$3:$C$29=$C31,M$3:M$29,""))</f>
        <v>16.549999999999997</v>
      </c>
      <c r="N31">
        <f t="array" ref="N31">MEDIAN(IF($C$3:$C$29=$C31,N$3:N$29,""))</f>
        <v>14.399999999999999</v>
      </c>
      <c r="O31">
        <f t="array" ref="O31">MEDIAN(IF($C$3:$C$29=$C31,O$3:O$29,""))</f>
        <v>14</v>
      </c>
      <c r="P31">
        <f t="array" ref="P31">MEDIAN(IF($C$3:$C$29=$C31,P$3:P$29,""))</f>
        <v>13.05</v>
      </c>
      <c r="Q31">
        <f t="array" ref="Q31">MEDIAN(IF($C$3:$C$29=$C31,Q$3:Q$29,""))</f>
        <v>13.7</v>
      </c>
      <c r="R31">
        <f t="array" ref="R31">MEDIAN(IF($C$3:$C$29=$C31,R$3:R$29,""))</f>
        <v>18.8</v>
      </c>
      <c r="S31">
        <f t="array" ref="S31">MEDIAN(IF($C$3:$C$29=$C31,S$3:S$29,""))</f>
        <v>14.2</v>
      </c>
      <c r="T31">
        <f t="array" ref="T31">MEDIAN(IF($C$3:$C$29=$C31,T$3:T$29,""))</f>
        <v>12.55</v>
      </c>
      <c r="U31">
        <f t="array" ref="U31">MEDIAN(IF($C$3:$C$29=$C31,U$3:U$29,""))</f>
        <v>12.899999999999999</v>
      </c>
      <c r="V31">
        <f t="array" ref="V31">MEDIAN(IF($C$3:$C$29=$C31,V$3:V$29,""))</f>
        <v>12.6</v>
      </c>
      <c r="W31">
        <f t="array" ref="W31">MEDIAN(IF($C$3:$C$29=$C31,W$3:W$29,""))</f>
        <v>16.3</v>
      </c>
      <c r="X31">
        <f t="array" ref="X31">MEDIAN(IF($C$3:$C$29=$C31,X$3:X$29,""))</f>
        <v>13.5</v>
      </c>
      <c r="Y31">
        <f t="array" ref="Y31">MEDIAN(IF($C$3:$C$29=$C31,Y$3:Y$29,""))</f>
        <v>15.2</v>
      </c>
      <c r="Z31">
        <f t="array" ref="Z31">MEDIAN(IF($C$3:$C$29=$C31,Z$3:Z$29,""))</f>
        <v>19.850000000000001</v>
      </c>
      <c r="AA31">
        <f t="array" ref="AA31">MEDIAN(IF($C$3:$C$29=$C31,AA$3:AA$29,""))</f>
        <v>19.649999999999999</v>
      </c>
    </row>
    <row r="32" spans="1:27" x14ac:dyDescent="0.25">
      <c r="C32">
        <v>2</v>
      </c>
      <c r="D32">
        <f t="array" ref="D32">MEDIAN(IF($C$3:$C$29=$C32,D$3:D$29,""))</f>
        <v>16.75</v>
      </c>
      <c r="E32">
        <f t="array" ref="E32">MEDIAN(IF($C$3:$C$29=$C32,E$3:E$29,""))</f>
        <v>0</v>
      </c>
      <c r="F32">
        <f t="array" ref="F32">MEDIAN(IF($C$3:$C$29=$C32,F$3:F$29,""))</f>
        <v>0</v>
      </c>
      <c r="G32">
        <v>26</v>
      </c>
      <c r="H32">
        <f t="array" ref="H32">MEDIAN(IF($C$3:$C$29=$C32,H$3:H$29,""))</f>
        <v>16.350000000000001</v>
      </c>
      <c r="I32">
        <f t="array" ref="I32">MEDIAN(IF($C$3:$C$29=$C32,I$3:I$29,""))</f>
        <v>19.100000000000001</v>
      </c>
      <c r="J32">
        <f t="array" ref="J32">MEDIAN(IF($C$3:$C$29=$C32,J$3:J$29,""))</f>
        <v>18.350000000000001</v>
      </c>
      <c r="K32">
        <f t="array" ref="K32">MEDIAN(IF($C$3:$C$29=$C32,K$3:K$29,""))</f>
        <v>14.3</v>
      </c>
      <c r="L32">
        <f t="array" ref="L32">MEDIAN(IF($C$3:$C$29=$C32,L$3:L$29,""))</f>
        <v>13.100000000000001</v>
      </c>
      <c r="M32">
        <f t="array" ref="M32">MEDIAN(IF($C$3:$C$29=$C32,M$3:M$29,""))</f>
        <v>11.05</v>
      </c>
      <c r="N32">
        <f t="array" ref="N32">MEDIAN(IF($C$3:$C$29=$C32,N$3:N$29,""))</f>
        <v>10.25</v>
      </c>
      <c r="O32">
        <f t="array" ref="O32">MEDIAN(IF($C$3:$C$29=$C32,O$3:O$29,""))</f>
        <v>12.3</v>
      </c>
      <c r="P32">
        <f t="array" ref="P32">MEDIAN(IF($C$3:$C$29=$C32,P$3:P$29,""))</f>
        <v>12.15</v>
      </c>
      <c r="Q32">
        <f t="array" ref="Q32">MEDIAN(IF($C$3:$C$29=$C32,Q$3:Q$29,""))</f>
        <v>8.4</v>
      </c>
      <c r="R32">
        <f t="array" ref="R32">MEDIAN(IF($C$3:$C$29=$C32,R$3:R$29,""))</f>
        <v>10.199999999999999</v>
      </c>
      <c r="S32">
        <f t="array" ref="S32">MEDIAN(IF($C$3:$C$29=$C32,S$3:S$29,""))</f>
        <v>13.3</v>
      </c>
      <c r="T32">
        <f t="array" ref="T32">MEDIAN(IF($C$3:$C$29=$C32,T$3:T$29,""))</f>
        <v>12.7</v>
      </c>
      <c r="U32">
        <f t="array" ref="U32">MEDIAN(IF($C$3:$C$29=$C32,U$3:U$29,""))</f>
        <v>13.15</v>
      </c>
      <c r="V32">
        <f t="array" ref="V32">MEDIAN(IF($C$3:$C$29=$C32,V$3:V$29,""))</f>
        <v>19.399999999999999</v>
      </c>
      <c r="W32">
        <f t="array" ref="W32">MEDIAN(IF($C$3:$C$29=$C32,W$3:W$29,""))</f>
        <v>13.75</v>
      </c>
      <c r="X32">
        <f t="array" ref="X32">MEDIAN(IF($C$3:$C$29=$C32,X$3:X$29,""))</f>
        <v>14.100000000000001</v>
      </c>
      <c r="Y32">
        <f t="array" ref="Y32">MEDIAN(IF($C$3:$C$29=$C32,Y$3:Y$29,""))</f>
        <v>10.95</v>
      </c>
      <c r="Z32">
        <f t="array" ref="Z32">MEDIAN(IF($C$3:$C$29=$C32,Z$3:Z$29,""))</f>
        <v>17.899999999999999</v>
      </c>
      <c r="AA32">
        <f t="array" ref="AA32">MEDIAN(IF($C$3:$C$29=$C32,AA$3:AA$29,""))</f>
        <v>24</v>
      </c>
    </row>
    <row r="33" spans="3:27" x14ac:dyDescent="0.25">
      <c r="C33">
        <v>3</v>
      </c>
      <c r="D33">
        <f t="array" ref="D33">MEDIAN(IF($C$3:$C$29=$C33,D$3:D$29,""))</f>
        <v>15.8</v>
      </c>
      <c r="E33">
        <f t="array" ref="E33">MEDIAN(IF($C$3:$C$29=$C33,E$3:E$29,""))</f>
        <v>0</v>
      </c>
      <c r="F33">
        <f t="array" ref="F33">MEDIAN(IF($C$3:$C$29=$C33,F$3:F$29,""))</f>
        <v>0</v>
      </c>
      <c r="G33">
        <v>26</v>
      </c>
      <c r="H33">
        <f t="array" ref="H33">MEDIAN(IF($C$3:$C$29=$C33,H$3:H$29,""))</f>
        <v>21.25</v>
      </c>
      <c r="I33">
        <f t="array" ref="I33">MEDIAN(IF($C$3:$C$29=$C33,I$3:I$29,""))</f>
        <v>16.149999999999999</v>
      </c>
      <c r="J33">
        <f t="array" ref="J33">MEDIAN(IF($C$3:$C$29=$C33,J$3:J$29,""))</f>
        <v>7.75</v>
      </c>
      <c r="K33">
        <f t="array" ref="K33">MEDIAN(IF($C$3:$C$29=$C33,K$3:K$29,""))</f>
        <v>7.3</v>
      </c>
      <c r="L33">
        <f t="array" ref="L33">MEDIAN(IF($C$3:$C$29=$C33,L$3:L$29,""))</f>
        <v>6.9499999999999993</v>
      </c>
      <c r="M33">
        <f t="array" ref="M33">MEDIAN(IF($C$3:$C$29=$C33,M$3:M$29,""))</f>
        <v>11.899999999999999</v>
      </c>
      <c r="N33">
        <f t="array" ref="N33">MEDIAN(IF($C$3:$C$29=$C33,N$3:N$29,""))</f>
        <v>9.6499999999999986</v>
      </c>
      <c r="O33">
        <f t="array" ref="O33">MEDIAN(IF($C$3:$C$29=$C33,O$3:O$29,""))</f>
        <v>13.9</v>
      </c>
      <c r="P33">
        <f t="array" ref="P33">MEDIAN(IF($C$3:$C$29=$C33,P$3:P$29,""))</f>
        <v>15.7</v>
      </c>
      <c r="Q33">
        <f t="array" ref="Q33">MEDIAN(IF($C$3:$C$29=$C33,Q$3:Q$29,""))</f>
        <v>14.75</v>
      </c>
      <c r="R33">
        <f t="array" ref="R33">MEDIAN(IF($C$3:$C$29=$C33,R$3:R$29,""))</f>
        <v>15.95</v>
      </c>
      <c r="S33">
        <f t="array" ref="S33">MEDIAN(IF($C$3:$C$29=$C33,S$3:S$29,""))</f>
        <v>15.149999999999999</v>
      </c>
      <c r="T33">
        <f t="array" ref="T33">MEDIAN(IF($C$3:$C$29=$C33,T$3:T$29,""))</f>
        <v>12.7</v>
      </c>
      <c r="U33">
        <f t="array" ref="U33">MEDIAN(IF($C$3:$C$29=$C33,U$3:U$29,""))</f>
        <v>9.5500000000000007</v>
      </c>
      <c r="V33">
        <f t="array" ref="V33">MEDIAN(IF($C$3:$C$29=$C33,V$3:V$29,""))</f>
        <v>12.850000000000001</v>
      </c>
      <c r="W33">
        <f t="array" ref="W33">MEDIAN(IF($C$3:$C$29=$C33,W$3:W$29,""))</f>
        <v>11.4</v>
      </c>
      <c r="X33">
        <f t="array" ref="X33">MEDIAN(IF($C$3:$C$29=$C33,X$3:X$29,""))</f>
        <v>18.399999999999999</v>
      </c>
      <c r="Y33">
        <f t="array" ref="Y33">MEDIAN(IF($C$3:$C$29=$C33,Y$3:Y$29,""))</f>
        <v>16.899999999999999</v>
      </c>
      <c r="Z33">
        <f t="array" ref="Z33">MEDIAN(IF($C$3:$C$29=$C33,Z$3:Z$29,""))</f>
        <v>17.399999999999999</v>
      </c>
      <c r="AA33">
        <f t="array" ref="AA33">MEDIAN(IF($C$3:$C$29=$C33,AA$3:AA$29,""))</f>
        <v>24.2</v>
      </c>
    </row>
    <row r="34" spans="3:27" x14ac:dyDescent="0.25">
      <c r="C34">
        <v>4</v>
      </c>
      <c r="D34">
        <f t="array" ref="D34">MEDIAN(IF($C$3:$C$29=$C34,D$3:D$29,""))</f>
        <v>17.75</v>
      </c>
      <c r="E34">
        <f t="array" ref="E34">MEDIAN(IF($C$3:$C$29=$C34,E$3:E$29,""))</f>
        <v>0</v>
      </c>
      <c r="F34">
        <f t="array" ref="F34">MEDIAN(IF($C$3:$C$29=$C34,F$3:F$29,""))</f>
        <v>0</v>
      </c>
      <c r="G34">
        <v>26</v>
      </c>
      <c r="H34">
        <f t="array" ref="H34">MEDIAN(IF($C$3:$C$29=$C34,H$3:H$29,""))</f>
        <v>26.6</v>
      </c>
      <c r="I34">
        <f t="array" ref="I34">MEDIAN(IF($C$3:$C$29=$C34,I$3:I$29,""))</f>
        <v>19.2</v>
      </c>
      <c r="J34">
        <f t="array" ref="J34">MEDIAN(IF($C$3:$C$29=$C34,J$3:J$29,""))</f>
        <v>10.5</v>
      </c>
      <c r="K34">
        <f t="array" ref="K34">MEDIAN(IF($C$3:$C$29=$C34,K$3:K$29,""))</f>
        <v>7.8</v>
      </c>
      <c r="L34">
        <f t="array" ref="L34">MEDIAN(IF($C$3:$C$29=$C34,L$3:L$29,""))</f>
        <v>5.5500000000000007</v>
      </c>
      <c r="M34">
        <f t="array" ref="M34">MEDIAN(IF($C$3:$C$29=$C34,M$3:M$29,""))</f>
        <v>8.6999999999999993</v>
      </c>
      <c r="N34">
        <f t="array" ref="N34">MEDIAN(IF($C$3:$C$29=$C34,N$3:N$29,""))</f>
        <v>9.9</v>
      </c>
      <c r="O34">
        <f t="array" ref="O34">MEDIAN(IF($C$3:$C$29=$C34,O$3:O$29,""))</f>
        <v>10.95</v>
      </c>
      <c r="P34">
        <f t="array" ref="P34">MEDIAN(IF($C$3:$C$29=$C34,P$3:P$29,""))</f>
        <v>13.7</v>
      </c>
      <c r="Q34">
        <f t="array" ref="Q34">MEDIAN(IF($C$3:$C$29=$C34,Q$3:Q$29,""))</f>
        <v>10.95</v>
      </c>
      <c r="R34">
        <f t="array" ref="R34">MEDIAN(IF($C$3:$C$29=$C34,R$3:R$29,""))</f>
        <v>16.149999999999999</v>
      </c>
      <c r="S34">
        <f t="array" ref="S34">MEDIAN(IF($C$3:$C$29=$C34,S$3:S$29,""))</f>
        <v>13.4</v>
      </c>
      <c r="T34">
        <f t="array" ref="T34">MEDIAN(IF($C$3:$C$29=$C34,T$3:T$29,""))</f>
        <v>15.05</v>
      </c>
      <c r="U34">
        <f t="array" ref="U34">MEDIAN(IF($C$3:$C$29=$C34,U$3:U$29,""))</f>
        <v>12.350000000000001</v>
      </c>
      <c r="V34">
        <f t="array" ref="V34">MEDIAN(IF($C$3:$C$29=$C34,V$3:V$29,""))</f>
        <v>10.8</v>
      </c>
      <c r="W34">
        <f t="array" ref="W34">MEDIAN(IF($C$3:$C$29=$C34,W$3:W$29,""))</f>
        <v>17.149999999999999</v>
      </c>
      <c r="X34">
        <f t="array" ref="X34">MEDIAN(IF($C$3:$C$29=$C34,X$3:X$29,""))</f>
        <v>15.15</v>
      </c>
      <c r="Y34">
        <f t="array" ref="Y34">MEDIAN(IF($C$3:$C$29=$C34,Y$3:Y$29,""))</f>
        <v>17.149999999999999</v>
      </c>
      <c r="Z34">
        <f t="array" ref="Z34">MEDIAN(IF($C$3:$C$29=$C34,Z$3:Z$29,""))</f>
        <v>15.5</v>
      </c>
      <c r="AA34">
        <f t="array" ref="AA34">MEDIAN(IF($C$3:$C$29=$C34,AA$3:AA$29,""))</f>
        <v>18.299999999999997</v>
      </c>
    </row>
    <row r="35" spans="3:27" x14ac:dyDescent="0.25">
      <c r="C35">
        <v>5</v>
      </c>
      <c r="D35">
        <f t="array" ref="D35">MEDIAN(IF($C$3:$C$29=$C35,D$3:D$29,""))</f>
        <v>21.25</v>
      </c>
      <c r="E35">
        <f t="array" ref="E35">MEDIAN(IF($C$3:$C$29=$C35,E$3:E$29,""))</f>
        <v>0</v>
      </c>
      <c r="F35">
        <f t="array" ref="F35">MEDIAN(IF($C$3:$C$29=$C35,F$3:F$29,""))</f>
        <v>0</v>
      </c>
      <c r="G35">
        <v>26</v>
      </c>
      <c r="H35">
        <f t="array" ref="H35">MEDIAN(IF($C$3:$C$29=$C35,H$3:H$29,""))</f>
        <v>17.600000000000001</v>
      </c>
      <c r="I35">
        <f t="array" ref="I35">MEDIAN(IF($C$3:$C$29=$C35,I$3:I$29,""))</f>
        <v>16.05</v>
      </c>
      <c r="J35">
        <f t="array" ref="J35">MEDIAN(IF($C$3:$C$29=$C35,J$3:J$29,""))</f>
        <v>8.75</v>
      </c>
      <c r="K35">
        <f t="array" ref="K35">MEDIAN(IF($C$3:$C$29=$C35,K$3:K$29,""))</f>
        <v>6.5500000000000007</v>
      </c>
      <c r="L35">
        <f t="array" ref="L35">MEDIAN(IF($C$3:$C$29=$C35,L$3:L$29,""))</f>
        <v>8.8000000000000007</v>
      </c>
      <c r="M35">
        <f t="array" ref="M35">MEDIAN(IF($C$3:$C$29=$C35,M$3:M$29,""))</f>
        <v>9.8000000000000007</v>
      </c>
      <c r="N35">
        <f t="array" ref="N35">MEDIAN(IF($C$3:$C$29=$C35,N$3:N$29,""))</f>
        <v>10.3</v>
      </c>
      <c r="O35">
        <f t="array" ref="O35">MEDIAN(IF($C$3:$C$29=$C35,O$3:O$29,""))</f>
        <v>10.6</v>
      </c>
      <c r="P35">
        <f t="array" ref="P35">MEDIAN(IF($C$3:$C$29=$C35,P$3:P$29,""))</f>
        <v>10.5</v>
      </c>
      <c r="Q35">
        <f t="array" ref="Q35">MEDIAN(IF($C$3:$C$29=$C35,Q$3:Q$29,""))</f>
        <v>12.05</v>
      </c>
      <c r="R35">
        <f t="array" ref="R35">MEDIAN(IF($C$3:$C$29=$C35,R$3:R$29,""))</f>
        <v>13.3</v>
      </c>
      <c r="S35">
        <f t="array" ref="S35">MEDIAN(IF($C$3:$C$29=$C35,S$3:S$29,""))</f>
        <v>17.600000000000001</v>
      </c>
      <c r="T35">
        <f t="array" ref="T35">MEDIAN(IF($C$3:$C$29=$C35,T$3:T$29,""))</f>
        <v>13.149999999999999</v>
      </c>
      <c r="U35">
        <f t="array" ref="U35">MEDIAN(IF($C$3:$C$29=$C35,U$3:U$29,""))</f>
        <v>14.3</v>
      </c>
      <c r="V35">
        <f t="array" ref="V35">MEDIAN(IF($C$3:$C$29=$C35,V$3:V$29,""))</f>
        <v>11.45</v>
      </c>
      <c r="W35">
        <f t="array" ref="W35">MEDIAN(IF($C$3:$C$29=$C35,W$3:W$29,""))</f>
        <v>10.8</v>
      </c>
      <c r="X35">
        <f t="array" ref="X35">MEDIAN(IF($C$3:$C$29=$C35,X$3:X$29,""))</f>
        <v>17.55</v>
      </c>
      <c r="Y35">
        <f t="array" ref="Y35">MEDIAN(IF($C$3:$C$29=$C35,Y$3:Y$29,""))</f>
        <v>15.2</v>
      </c>
      <c r="Z35">
        <f t="array" ref="Z35">MEDIAN(IF($C$3:$C$29=$C35,Z$3:Z$29,""))</f>
        <v>19.200000000000003</v>
      </c>
      <c r="AA35">
        <f t="array" ref="AA35">MEDIAN(IF($C$3:$C$29=$C35,AA$3:AA$29,""))</f>
        <v>18.399999999999999</v>
      </c>
    </row>
    <row r="36" spans="3:27" x14ac:dyDescent="0.25">
      <c r="C36">
        <v>6</v>
      </c>
      <c r="D36">
        <f t="array" ref="D36">MEDIAN(IF($C$3:$C$29=$C36,D$3:D$29,""))</f>
        <v>19.899999999999999</v>
      </c>
      <c r="E36">
        <f t="array" ref="E36">MEDIAN(IF($C$3:$C$29=$C36,E$3:E$29,""))</f>
        <v>0</v>
      </c>
      <c r="F36">
        <f t="array" ref="F36">MEDIAN(IF($C$3:$C$29=$C36,F$3:F$29,""))</f>
        <v>0</v>
      </c>
      <c r="G36">
        <v>26</v>
      </c>
      <c r="H36">
        <f t="array" ref="H36">MEDIAN(IF($C$3:$C$29=$C36,H$3:H$29,""))</f>
        <v>18.8</v>
      </c>
      <c r="I36">
        <f t="array" ref="I36">MEDIAN(IF($C$3:$C$29=$C36,I$3:I$29,""))</f>
        <v>17.2</v>
      </c>
      <c r="J36">
        <f t="array" ref="J36">MEDIAN(IF($C$3:$C$29=$C36,J$3:J$29,""))</f>
        <v>7.5</v>
      </c>
      <c r="K36">
        <f t="array" ref="K36">MEDIAN(IF($C$3:$C$29=$C36,K$3:K$29,""))</f>
        <v>6.8</v>
      </c>
      <c r="L36">
        <f t="array" ref="L36">MEDIAN(IF($C$3:$C$29=$C36,L$3:L$29,""))</f>
        <v>5.3</v>
      </c>
      <c r="M36">
        <f t="array" ref="M36">MEDIAN(IF($C$3:$C$29=$C36,M$3:M$29,""))</f>
        <v>10</v>
      </c>
      <c r="N36">
        <f t="array" ref="N36">MEDIAN(IF($C$3:$C$29=$C36,N$3:N$29,""))</f>
        <v>9.6999999999999993</v>
      </c>
      <c r="O36">
        <f t="array" ref="O36">MEDIAN(IF($C$3:$C$29=$C36,O$3:O$29,""))</f>
        <v>9.4</v>
      </c>
      <c r="P36">
        <f t="array" ref="P36">MEDIAN(IF($C$3:$C$29=$C36,P$3:P$29,""))</f>
        <v>8.1</v>
      </c>
      <c r="Q36">
        <f t="array" ref="Q36">MEDIAN(IF($C$3:$C$29=$C36,Q$3:Q$29,""))</f>
        <v>8.6999999999999993</v>
      </c>
      <c r="R36">
        <f t="array" ref="R36">MEDIAN(IF($C$3:$C$29=$C36,R$3:R$29,""))</f>
        <v>12.1</v>
      </c>
      <c r="S36">
        <f t="array" ref="S36">MEDIAN(IF($C$3:$C$29=$C36,S$3:S$29,""))</f>
        <v>16.3</v>
      </c>
      <c r="T36">
        <f t="array" ref="T36">MEDIAN(IF($C$3:$C$29=$C36,T$3:T$29,""))</f>
        <v>9</v>
      </c>
      <c r="U36">
        <f t="array" ref="U36">MEDIAN(IF($C$3:$C$29=$C36,U$3:U$29,""))</f>
        <v>13.9</v>
      </c>
      <c r="V36">
        <f t="array" ref="V36">MEDIAN(IF($C$3:$C$29=$C36,V$3:V$29,""))</f>
        <v>13</v>
      </c>
      <c r="W36">
        <f t="array" ref="W36">MEDIAN(IF($C$3:$C$29=$C36,W$3:W$29,""))</f>
        <v>13.5</v>
      </c>
      <c r="X36">
        <f t="array" ref="X36">MEDIAN(IF($C$3:$C$29=$C36,X$3:X$29,""))</f>
        <v>19.5</v>
      </c>
      <c r="Y36">
        <f t="array" ref="Y36">MEDIAN(IF($C$3:$C$29=$C36,Y$3:Y$29,""))</f>
        <v>16.100000000000001</v>
      </c>
      <c r="Z36">
        <f t="array" ref="Z36">MEDIAN(IF($C$3:$C$29=$C36,Z$3:Z$29,""))</f>
        <v>14.1</v>
      </c>
      <c r="AA36">
        <f t="array" ref="AA36">MEDIAN(IF($C$3:$C$29=$C36,AA$3:AA$29,""))</f>
        <v>22.6</v>
      </c>
    </row>
    <row r="37" spans="3:27" x14ac:dyDescent="0.25">
      <c r="C37">
        <v>7</v>
      </c>
      <c r="D37">
        <f t="array" ref="D37">MEDIAN(IF($C$3:$C$29=$C37,D$3:D$29,""))</f>
        <v>16.05</v>
      </c>
      <c r="E37">
        <f t="array" ref="E37">MEDIAN(IF($C$3:$C$29=$C37,E$3:E$29,""))</f>
        <v>0</v>
      </c>
      <c r="F37">
        <f t="array" ref="F37">MEDIAN(IF($C$3:$C$29=$C37,F$3:F$29,""))</f>
        <v>0</v>
      </c>
      <c r="G37">
        <v>26</v>
      </c>
      <c r="H37">
        <f t="array" ref="H37">MEDIAN(IF($C$3:$C$29=$C37,H$3:H$29,""))</f>
        <v>16.399999999999999</v>
      </c>
      <c r="I37">
        <f t="array" ref="I37">MEDIAN(IF($C$3:$C$29=$C37,I$3:I$29,""))</f>
        <v>24.65</v>
      </c>
      <c r="J37">
        <f t="array" ref="J37">MEDIAN(IF($C$3:$C$29=$C37,J$3:J$29,""))</f>
        <v>11.8</v>
      </c>
      <c r="K37">
        <f t="array" ref="K37">MEDIAN(IF($C$3:$C$29=$C37,K$3:K$29,""))</f>
        <v>7.5</v>
      </c>
      <c r="L37">
        <f t="array" ref="L37">MEDIAN(IF($C$3:$C$29=$C37,L$3:L$29,""))</f>
        <v>6.5</v>
      </c>
      <c r="M37">
        <f t="array" ref="M37">MEDIAN(IF($C$3:$C$29=$C37,M$3:M$29,""))</f>
        <v>8.8999999999999986</v>
      </c>
      <c r="N37">
        <f t="array" ref="N37">MEDIAN(IF($C$3:$C$29=$C37,N$3:N$29,""))</f>
        <v>11.05</v>
      </c>
      <c r="O37">
        <f t="array" ref="O37">MEDIAN(IF($C$3:$C$29=$C37,O$3:O$29,""))</f>
        <v>9.3000000000000007</v>
      </c>
      <c r="P37">
        <f t="array" ref="P37">MEDIAN(IF($C$3:$C$29=$C37,P$3:P$29,""))</f>
        <v>9.4</v>
      </c>
      <c r="Q37">
        <f t="array" ref="Q37">MEDIAN(IF($C$3:$C$29=$C37,Q$3:Q$29,""))</f>
        <v>11.05</v>
      </c>
      <c r="R37">
        <f t="array" ref="R37">MEDIAN(IF($C$3:$C$29=$C37,R$3:R$29,""))</f>
        <v>11.7</v>
      </c>
      <c r="S37">
        <f t="array" ref="S37">MEDIAN(IF($C$3:$C$29=$C37,S$3:S$29,""))</f>
        <v>13.75</v>
      </c>
      <c r="T37">
        <f t="array" ref="T37">MEDIAN(IF($C$3:$C$29=$C37,T$3:T$29,""))</f>
        <v>16.649999999999999</v>
      </c>
      <c r="U37">
        <f t="array" ref="U37">MEDIAN(IF($C$3:$C$29=$C37,U$3:U$29,""))</f>
        <v>12.35</v>
      </c>
      <c r="V37">
        <f t="array" ref="V37">MEDIAN(IF($C$3:$C$29=$C37,V$3:V$29,""))</f>
        <v>12.05</v>
      </c>
      <c r="W37">
        <f t="array" ref="W37">MEDIAN(IF($C$3:$C$29=$C37,W$3:W$29,""))</f>
        <v>14.2</v>
      </c>
      <c r="X37">
        <f t="array" ref="X37">MEDIAN(IF($C$3:$C$29=$C37,X$3:X$29,""))</f>
        <v>15.1</v>
      </c>
      <c r="Y37">
        <f t="array" ref="Y37">MEDIAN(IF($C$3:$C$29=$C37,Y$3:Y$29,""))</f>
        <v>16.899999999999999</v>
      </c>
      <c r="Z37">
        <f t="array" ref="Z37">MEDIAN(IF($C$3:$C$29=$C37,Z$3:Z$29,""))</f>
        <v>22.25</v>
      </c>
      <c r="AA37">
        <f t="array" ref="AA37">MEDIAN(IF($C$3:$C$29=$C37,AA$3:AA$29,""))</f>
        <v>21.15</v>
      </c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7"/>
  <dimension ref="A1:AA37"/>
  <sheetViews>
    <sheetView workbookViewId="0">
      <selection activeCell="G31" sqref="G31:G37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D2" s="5">
        <f>(D1*24*60)+30</f>
        <v>30</v>
      </c>
      <c r="E2" s="5">
        <f>(E1*24*60)+30</f>
        <v>90</v>
      </c>
      <c r="F2" s="5">
        <f t="shared" ref="F2:AA2" si="0">(F1*24*60)+30</f>
        <v>150</v>
      </c>
      <c r="G2" s="5">
        <f t="shared" si="0"/>
        <v>210</v>
      </c>
      <c r="H2" s="5">
        <f t="shared" si="0"/>
        <v>270</v>
      </c>
      <c r="I2" s="5">
        <f t="shared" si="0"/>
        <v>330</v>
      </c>
      <c r="J2" s="5">
        <f t="shared" si="0"/>
        <v>390</v>
      </c>
      <c r="K2" s="5">
        <f t="shared" si="0"/>
        <v>450</v>
      </c>
      <c r="L2" s="5">
        <f t="shared" si="0"/>
        <v>510</v>
      </c>
      <c r="M2" s="5">
        <f t="shared" si="0"/>
        <v>570</v>
      </c>
      <c r="N2" s="5">
        <f t="shared" si="0"/>
        <v>630</v>
      </c>
      <c r="O2" s="5">
        <f t="shared" si="0"/>
        <v>690</v>
      </c>
      <c r="P2" s="5">
        <f t="shared" si="0"/>
        <v>750</v>
      </c>
      <c r="Q2" s="5">
        <f t="shared" si="0"/>
        <v>810</v>
      </c>
      <c r="R2" s="5">
        <f t="shared" si="0"/>
        <v>870</v>
      </c>
      <c r="S2" s="5">
        <f t="shared" si="0"/>
        <v>930</v>
      </c>
      <c r="T2" s="5">
        <f t="shared" si="0"/>
        <v>990</v>
      </c>
      <c r="U2" s="5">
        <f t="shared" si="0"/>
        <v>1050</v>
      </c>
      <c r="V2" s="5">
        <f t="shared" si="0"/>
        <v>1110</v>
      </c>
      <c r="W2" s="5">
        <f t="shared" si="0"/>
        <v>1170</v>
      </c>
      <c r="X2" s="5">
        <f t="shared" si="0"/>
        <v>1230</v>
      </c>
      <c r="Y2" s="5">
        <f t="shared" si="0"/>
        <v>1290</v>
      </c>
      <c r="Z2" s="5">
        <f t="shared" si="0"/>
        <v>1350</v>
      </c>
      <c r="AA2" s="5">
        <f t="shared" si="0"/>
        <v>1410</v>
      </c>
    </row>
    <row r="3" spans="1:27" x14ac:dyDescent="0.25">
      <c r="A3" s="2">
        <v>43497</v>
      </c>
      <c r="B3" s="3">
        <v>4203491666666660</v>
      </c>
      <c r="C3">
        <f>IF(WEEKDAY(A3,2)&lt;6,WEEKDAY(A3,2)+2,IF(WEEKDAY(A3,2)=6,2,IF(WEEKDAY(A3,2)=7,1)))</f>
        <v>7</v>
      </c>
      <c r="D3">
        <v>25.3</v>
      </c>
      <c r="E3">
        <v>31.2</v>
      </c>
      <c r="H3">
        <v>24</v>
      </c>
      <c r="I3">
        <v>20.100000000000001</v>
      </c>
      <c r="J3">
        <v>14.9</v>
      </c>
      <c r="K3">
        <v>10.9</v>
      </c>
      <c r="L3">
        <v>10.7</v>
      </c>
      <c r="M3">
        <v>11.6</v>
      </c>
      <c r="N3">
        <v>10.8</v>
      </c>
      <c r="O3">
        <v>11.7</v>
      </c>
      <c r="P3">
        <v>10.5</v>
      </c>
      <c r="Q3">
        <v>11.1</v>
      </c>
      <c r="R3">
        <v>14.7</v>
      </c>
      <c r="S3">
        <v>14.2</v>
      </c>
      <c r="T3">
        <v>12.4</v>
      </c>
      <c r="U3">
        <v>12.5</v>
      </c>
      <c r="V3">
        <v>12.2</v>
      </c>
      <c r="W3">
        <v>14.7</v>
      </c>
      <c r="X3">
        <v>13.9</v>
      </c>
      <c r="Y3">
        <v>15.8</v>
      </c>
      <c r="Z3">
        <v>18.2</v>
      </c>
      <c r="AA3">
        <v>20.7</v>
      </c>
    </row>
    <row r="4" spans="1:27" x14ac:dyDescent="0.25">
      <c r="A4" s="2">
        <v>43498</v>
      </c>
      <c r="B4" s="3">
        <v>4203591666666660</v>
      </c>
      <c r="C4">
        <f>IF(WEEKDAY(A4,2)&lt;6,WEEKDAY(A4,2)+2,IF(WEEKDAY(A4,2)=6,2,IF(WEEKDAY(A4,2)=7,1)))</f>
        <v>2</v>
      </c>
      <c r="D4">
        <v>20.9</v>
      </c>
      <c r="E4">
        <v>27.6</v>
      </c>
      <c r="H4">
        <v>26</v>
      </c>
      <c r="I4">
        <v>21.7</v>
      </c>
      <c r="J4">
        <v>20.3</v>
      </c>
      <c r="K4">
        <v>16.399999999999999</v>
      </c>
      <c r="L4">
        <v>15.8</v>
      </c>
      <c r="M4">
        <v>13.4</v>
      </c>
      <c r="N4">
        <v>12.3</v>
      </c>
      <c r="O4">
        <v>10.8</v>
      </c>
      <c r="P4">
        <v>12.6</v>
      </c>
      <c r="Q4">
        <v>10.8</v>
      </c>
      <c r="R4">
        <v>12.5</v>
      </c>
      <c r="S4">
        <v>12.6</v>
      </c>
      <c r="T4">
        <v>12.9</v>
      </c>
      <c r="U4">
        <v>12.7</v>
      </c>
      <c r="V4">
        <v>14.6</v>
      </c>
      <c r="W4">
        <v>14.4</v>
      </c>
      <c r="X4">
        <v>13.9</v>
      </c>
      <c r="Y4">
        <v>16</v>
      </c>
      <c r="Z4">
        <v>16.2</v>
      </c>
      <c r="AA4">
        <v>21.8</v>
      </c>
    </row>
    <row r="5" spans="1:27" x14ac:dyDescent="0.25">
      <c r="A5" s="2">
        <v>43499</v>
      </c>
      <c r="B5" s="3">
        <v>4203691666666660</v>
      </c>
      <c r="C5">
        <f t="shared" ref="C5:C29" si="1">IF(WEEKDAY(A5,2)&lt;6,WEEKDAY(A5,2)+2,IF(WEEKDAY(A5,2)=6,2,IF(WEEKDAY(A5,2)=7,1)))</f>
        <v>1</v>
      </c>
      <c r="D5">
        <v>24.8</v>
      </c>
      <c r="E5">
        <v>27.2</v>
      </c>
      <c r="H5">
        <v>25.6</v>
      </c>
      <c r="I5">
        <v>24.3</v>
      </c>
      <c r="J5">
        <v>21.7</v>
      </c>
      <c r="K5">
        <v>21.2</v>
      </c>
      <c r="L5">
        <v>20.5</v>
      </c>
      <c r="M5">
        <v>17.3</v>
      </c>
      <c r="N5">
        <v>15.4</v>
      </c>
      <c r="O5">
        <v>15.5</v>
      </c>
      <c r="P5">
        <v>14</v>
      </c>
      <c r="Q5">
        <v>13.8</v>
      </c>
      <c r="R5">
        <v>16.7</v>
      </c>
      <c r="S5">
        <v>16.399999999999999</v>
      </c>
      <c r="T5">
        <v>18.100000000000001</v>
      </c>
      <c r="U5">
        <v>17</v>
      </c>
      <c r="V5">
        <v>15.8</v>
      </c>
      <c r="W5">
        <v>15</v>
      </c>
      <c r="X5">
        <v>17.899999999999999</v>
      </c>
      <c r="Y5">
        <v>17.8</v>
      </c>
      <c r="Z5">
        <v>19.7</v>
      </c>
      <c r="AA5">
        <v>23.6</v>
      </c>
    </row>
    <row r="6" spans="1:27" x14ac:dyDescent="0.25">
      <c r="A6" s="2">
        <v>43500</v>
      </c>
      <c r="B6" s="3">
        <v>4203791666666660</v>
      </c>
      <c r="C6">
        <f t="shared" si="1"/>
        <v>3</v>
      </c>
      <c r="D6">
        <v>23.4</v>
      </c>
      <c r="E6">
        <v>29.2</v>
      </c>
      <c r="H6">
        <v>24.3</v>
      </c>
      <c r="I6">
        <v>18.8</v>
      </c>
      <c r="J6">
        <v>12.6</v>
      </c>
      <c r="K6">
        <v>11.5</v>
      </c>
      <c r="L6">
        <v>12.2</v>
      </c>
      <c r="M6">
        <v>11.5</v>
      </c>
      <c r="N6">
        <v>12.8</v>
      </c>
      <c r="O6">
        <v>13.2</v>
      </c>
      <c r="P6">
        <v>12.1</v>
      </c>
      <c r="Q6">
        <v>9.6999999999999993</v>
      </c>
      <c r="R6">
        <v>13</v>
      </c>
      <c r="S6">
        <v>12</v>
      </c>
      <c r="T6">
        <v>12.4</v>
      </c>
      <c r="U6">
        <v>13.7</v>
      </c>
      <c r="V6">
        <v>13.5</v>
      </c>
      <c r="W6">
        <v>15.8</v>
      </c>
      <c r="X6">
        <v>16.600000000000001</v>
      </c>
      <c r="Y6">
        <v>19.3</v>
      </c>
      <c r="Z6">
        <v>20</v>
      </c>
      <c r="AA6">
        <v>24.7</v>
      </c>
    </row>
    <row r="7" spans="1:27" x14ac:dyDescent="0.25">
      <c r="A7" s="2">
        <v>43501</v>
      </c>
      <c r="B7" s="3">
        <v>4203891666666660</v>
      </c>
      <c r="C7">
        <f t="shared" si="1"/>
        <v>4</v>
      </c>
      <c r="D7">
        <v>24.1</v>
      </c>
      <c r="E7">
        <v>30.8</v>
      </c>
      <c r="H7">
        <v>26.7</v>
      </c>
      <c r="I7">
        <v>20.6</v>
      </c>
      <c r="J7">
        <v>13</v>
      </c>
      <c r="K7">
        <v>10.199999999999999</v>
      </c>
      <c r="L7">
        <v>11.4</v>
      </c>
      <c r="M7">
        <v>11.1</v>
      </c>
      <c r="N7">
        <v>11.3</v>
      </c>
      <c r="O7">
        <v>12.2</v>
      </c>
      <c r="P7">
        <v>11.5</v>
      </c>
      <c r="Q7">
        <v>10.9</v>
      </c>
      <c r="R7">
        <v>9.9</v>
      </c>
      <c r="S7">
        <v>11.2</v>
      </c>
      <c r="T7">
        <v>14.1</v>
      </c>
      <c r="U7">
        <v>13.4</v>
      </c>
      <c r="V7">
        <v>13.3</v>
      </c>
      <c r="W7">
        <v>14.5</v>
      </c>
      <c r="X7">
        <v>16.8</v>
      </c>
      <c r="Y7">
        <v>17.8</v>
      </c>
      <c r="Z7">
        <v>19</v>
      </c>
      <c r="AA7">
        <v>23.7</v>
      </c>
    </row>
    <row r="8" spans="1:27" x14ac:dyDescent="0.25">
      <c r="A8" s="2">
        <v>43502</v>
      </c>
      <c r="B8" s="3">
        <v>4203991666666660</v>
      </c>
      <c r="C8">
        <f t="shared" si="1"/>
        <v>5</v>
      </c>
      <c r="D8">
        <v>26.9</v>
      </c>
      <c r="E8">
        <v>28.2</v>
      </c>
      <c r="H8">
        <v>25.6</v>
      </c>
      <c r="I8">
        <v>20.7</v>
      </c>
      <c r="J8">
        <v>12.9</v>
      </c>
      <c r="K8">
        <v>9.9</v>
      </c>
      <c r="L8">
        <v>10.5</v>
      </c>
      <c r="M8">
        <v>10.7</v>
      </c>
      <c r="N8">
        <v>9.6999999999999993</v>
      </c>
      <c r="O8">
        <v>8.5</v>
      </c>
      <c r="P8">
        <v>9.6999999999999993</v>
      </c>
      <c r="Q8">
        <v>9.3000000000000007</v>
      </c>
      <c r="R8">
        <v>11.2</v>
      </c>
      <c r="S8">
        <v>12.2</v>
      </c>
      <c r="T8">
        <v>11.5</v>
      </c>
      <c r="U8">
        <v>13.1</v>
      </c>
      <c r="V8">
        <v>13.1</v>
      </c>
      <c r="W8">
        <v>15.9</v>
      </c>
      <c r="X8">
        <v>14.5</v>
      </c>
      <c r="Y8">
        <v>18.7</v>
      </c>
      <c r="Z8">
        <v>20.100000000000001</v>
      </c>
      <c r="AA8">
        <v>21.6</v>
      </c>
    </row>
    <row r="9" spans="1:27" x14ac:dyDescent="0.25">
      <c r="A9" s="2">
        <v>43503</v>
      </c>
      <c r="B9" s="3">
        <v>4204091666666660</v>
      </c>
      <c r="C9">
        <f t="shared" si="1"/>
        <v>6</v>
      </c>
      <c r="D9">
        <v>26.1</v>
      </c>
      <c r="E9">
        <v>30.2</v>
      </c>
      <c r="H9">
        <v>25.1</v>
      </c>
      <c r="I9">
        <v>20</v>
      </c>
      <c r="J9">
        <v>13.6</v>
      </c>
      <c r="K9">
        <v>10.3</v>
      </c>
      <c r="L9">
        <v>10.7</v>
      </c>
      <c r="M9">
        <v>13</v>
      </c>
      <c r="N9">
        <v>13.7</v>
      </c>
      <c r="O9">
        <v>13.2</v>
      </c>
      <c r="P9">
        <v>13.4</v>
      </c>
      <c r="Q9">
        <v>12.4</v>
      </c>
      <c r="R9">
        <v>14</v>
      </c>
      <c r="S9">
        <v>14.1</v>
      </c>
      <c r="T9">
        <v>13.4</v>
      </c>
      <c r="U9">
        <v>14</v>
      </c>
      <c r="V9">
        <v>12.7</v>
      </c>
      <c r="W9">
        <v>15.2</v>
      </c>
      <c r="X9">
        <v>17.2</v>
      </c>
      <c r="Y9">
        <v>16.600000000000001</v>
      </c>
      <c r="Z9">
        <v>20.3</v>
      </c>
      <c r="AA9">
        <v>22.1</v>
      </c>
    </row>
    <row r="10" spans="1:27" x14ac:dyDescent="0.25">
      <c r="A10" s="2">
        <v>43504</v>
      </c>
      <c r="B10" s="3">
        <v>4204191666666660</v>
      </c>
      <c r="C10">
        <f t="shared" si="1"/>
        <v>7</v>
      </c>
      <c r="D10">
        <v>25.1</v>
      </c>
      <c r="E10">
        <v>28.1</v>
      </c>
      <c r="H10">
        <v>24.2</v>
      </c>
      <c r="I10">
        <v>20.100000000000001</v>
      </c>
      <c r="J10">
        <v>13.6</v>
      </c>
      <c r="K10">
        <v>10.3</v>
      </c>
      <c r="L10">
        <v>11.4</v>
      </c>
      <c r="M10">
        <v>12.3</v>
      </c>
      <c r="N10">
        <v>13</v>
      </c>
      <c r="O10">
        <v>12.9</v>
      </c>
      <c r="P10">
        <v>11.3</v>
      </c>
      <c r="Q10">
        <v>11.4</v>
      </c>
      <c r="R10">
        <v>14.1</v>
      </c>
      <c r="S10">
        <v>14.5</v>
      </c>
      <c r="T10">
        <v>12.8</v>
      </c>
      <c r="U10">
        <v>12.5</v>
      </c>
      <c r="V10">
        <v>12.6</v>
      </c>
      <c r="W10">
        <v>13.7</v>
      </c>
      <c r="X10">
        <v>15.2</v>
      </c>
      <c r="Y10">
        <v>15.8</v>
      </c>
      <c r="Z10">
        <v>18</v>
      </c>
      <c r="AA10">
        <v>22.5</v>
      </c>
    </row>
    <row r="11" spans="1:27" x14ac:dyDescent="0.25">
      <c r="A11" s="2">
        <v>43505</v>
      </c>
      <c r="B11" s="3">
        <v>4204291666666660</v>
      </c>
      <c r="C11">
        <f t="shared" si="1"/>
        <v>2</v>
      </c>
      <c r="D11">
        <v>23.6</v>
      </c>
      <c r="E11">
        <v>28.7</v>
      </c>
      <c r="H11">
        <v>28.2</v>
      </c>
      <c r="I11">
        <v>22.9</v>
      </c>
      <c r="J11">
        <v>20.3</v>
      </c>
      <c r="K11">
        <v>18</v>
      </c>
      <c r="L11">
        <v>16.3</v>
      </c>
      <c r="M11">
        <v>14.5</v>
      </c>
      <c r="N11">
        <v>13.9</v>
      </c>
      <c r="O11">
        <v>13.1</v>
      </c>
      <c r="P11">
        <v>11.6</v>
      </c>
      <c r="Q11">
        <v>12.3</v>
      </c>
      <c r="R11">
        <v>14.1</v>
      </c>
      <c r="S11">
        <v>14.2</v>
      </c>
      <c r="T11">
        <v>14.1</v>
      </c>
      <c r="U11">
        <v>14.8</v>
      </c>
      <c r="V11">
        <v>13.4</v>
      </c>
      <c r="W11">
        <v>15.8</v>
      </c>
      <c r="X11">
        <v>15.5</v>
      </c>
      <c r="Y11">
        <v>19.3</v>
      </c>
      <c r="Z11">
        <v>18.2</v>
      </c>
      <c r="AA11">
        <v>23</v>
      </c>
    </row>
    <row r="12" spans="1:27" x14ac:dyDescent="0.25">
      <c r="A12" s="2">
        <v>43506</v>
      </c>
      <c r="B12" s="3">
        <v>4204391666666660</v>
      </c>
      <c r="C12">
        <f t="shared" si="1"/>
        <v>1</v>
      </c>
      <c r="D12">
        <v>24.5</v>
      </c>
      <c r="E12">
        <v>26.8</v>
      </c>
      <c r="H12">
        <v>25.1</v>
      </c>
      <c r="I12">
        <v>22.3</v>
      </c>
      <c r="J12">
        <v>22.6</v>
      </c>
      <c r="K12">
        <v>19.7</v>
      </c>
      <c r="L12">
        <v>19.399999999999999</v>
      </c>
      <c r="M12">
        <v>16.7</v>
      </c>
      <c r="N12">
        <v>15.7</v>
      </c>
      <c r="O12">
        <v>15.8</v>
      </c>
      <c r="P12">
        <v>15</v>
      </c>
      <c r="Q12">
        <v>16</v>
      </c>
      <c r="R12">
        <v>17</v>
      </c>
      <c r="S12">
        <v>18.2</v>
      </c>
      <c r="T12">
        <v>17.8</v>
      </c>
      <c r="U12">
        <v>17.5</v>
      </c>
      <c r="V12">
        <v>18</v>
      </c>
      <c r="W12">
        <v>17.2</v>
      </c>
      <c r="X12">
        <v>17.399999999999999</v>
      </c>
      <c r="Y12">
        <v>18.600000000000001</v>
      </c>
      <c r="Z12">
        <v>19.899999999999999</v>
      </c>
      <c r="AA12">
        <v>22.6</v>
      </c>
    </row>
    <row r="13" spans="1:27" x14ac:dyDescent="0.25">
      <c r="A13" s="2">
        <v>43507</v>
      </c>
      <c r="B13" s="3">
        <v>4204491666666660</v>
      </c>
      <c r="C13">
        <f t="shared" si="1"/>
        <v>3</v>
      </c>
      <c r="D13">
        <v>25.7</v>
      </c>
      <c r="E13">
        <v>31</v>
      </c>
      <c r="H13">
        <v>23.9</v>
      </c>
      <c r="I13">
        <v>19.899999999999999</v>
      </c>
      <c r="J13">
        <v>11.9</v>
      </c>
      <c r="K13">
        <v>9.6999999999999993</v>
      </c>
      <c r="L13">
        <v>10.3</v>
      </c>
      <c r="M13">
        <v>12.6</v>
      </c>
      <c r="N13">
        <v>13.7</v>
      </c>
      <c r="O13">
        <v>16.100000000000001</v>
      </c>
      <c r="P13">
        <v>12.8</v>
      </c>
      <c r="Q13">
        <v>13.3</v>
      </c>
      <c r="R13">
        <v>14.6</v>
      </c>
      <c r="S13">
        <v>14.1</v>
      </c>
      <c r="T13">
        <v>14.5</v>
      </c>
      <c r="U13">
        <v>13.3</v>
      </c>
      <c r="V13">
        <v>13.2</v>
      </c>
      <c r="W13">
        <v>14.7</v>
      </c>
      <c r="X13">
        <v>17.5</v>
      </c>
      <c r="Y13">
        <v>18.3</v>
      </c>
      <c r="Z13">
        <v>20.6</v>
      </c>
      <c r="AA13">
        <v>22.8</v>
      </c>
    </row>
    <row r="14" spans="1:27" x14ac:dyDescent="0.25">
      <c r="A14" s="2">
        <v>43508</v>
      </c>
      <c r="B14" s="3">
        <v>4204591666666660</v>
      </c>
      <c r="C14">
        <f t="shared" si="1"/>
        <v>4</v>
      </c>
      <c r="D14">
        <v>26.6</v>
      </c>
      <c r="E14">
        <v>29.1</v>
      </c>
      <c r="H14">
        <v>24.2</v>
      </c>
      <c r="I14">
        <v>20.3</v>
      </c>
      <c r="J14">
        <v>12.7</v>
      </c>
      <c r="K14">
        <v>10.7</v>
      </c>
      <c r="L14">
        <v>10.3</v>
      </c>
      <c r="M14">
        <v>13</v>
      </c>
      <c r="N14">
        <v>13.8</v>
      </c>
      <c r="O14">
        <v>15</v>
      </c>
      <c r="P14">
        <v>11.4</v>
      </c>
      <c r="Q14">
        <v>12.4</v>
      </c>
      <c r="R14">
        <v>14.3</v>
      </c>
      <c r="S14">
        <v>13.2</v>
      </c>
      <c r="T14">
        <v>13.7</v>
      </c>
      <c r="U14">
        <v>12.3</v>
      </c>
      <c r="V14">
        <v>12.1</v>
      </c>
      <c r="W14">
        <v>12.9</v>
      </c>
      <c r="X14">
        <v>15.9</v>
      </c>
      <c r="Y14">
        <v>18.2</v>
      </c>
      <c r="Z14">
        <v>19.899999999999999</v>
      </c>
      <c r="AA14">
        <v>20.2</v>
      </c>
    </row>
    <row r="15" spans="1:27" x14ac:dyDescent="0.25">
      <c r="A15" s="2">
        <v>43509</v>
      </c>
      <c r="B15" s="3">
        <v>4204691666666660</v>
      </c>
      <c r="C15">
        <f t="shared" si="1"/>
        <v>5</v>
      </c>
      <c r="D15">
        <v>24.8</v>
      </c>
      <c r="E15">
        <v>32.5</v>
      </c>
      <c r="H15">
        <v>25.9</v>
      </c>
      <c r="I15">
        <v>20.5</v>
      </c>
      <c r="J15">
        <v>12.5</v>
      </c>
      <c r="K15">
        <v>7.7</v>
      </c>
      <c r="L15">
        <v>9.4</v>
      </c>
      <c r="M15">
        <v>12.8</v>
      </c>
      <c r="N15">
        <v>13.7</v>
      </c>
      <c r="O15">
        <v>14.1</v>
      </c>
      <c r="P15">
        <v>13.1</v>
      </c>
      <c r="Q15">
        <v>11.6</v>
      </c>
      <c r="R15">
        <v>13.3</v>
      </c>
      <c r="S15">
        <v>14</v>
      </c>
      <c r="T15">
        <v>12.7</v>
      </c>
      <c r="U15">
        <v>12</v>
      </c>
      <c r="V15">
        <v>11.7</v>
      </c>
      <c r="W15">
        <v>15.4</v>
      </c>
      <c r="X15">
        <v>15.9</v>
      </c>
      <c r="Y15">
        <v>20.3</v>
      </c>
      <c r="Z15">
        <v>19.600000000000001</v>
      </c>
      <c r="AA15">
        <v>22.2</v>
      </c>
    </row>
    <row r="16" spans="1:27" x14ac:dyDescent="0.25">
      <c r="A16" s="2">
        <v>43510</v>
      </c>
      <c r="B16" s="3">
        <v>4204791666666660</v>
      </c>
      <c r="C16">
        <f t="shared" si="1"/>
        <v>6</v>
      </c>
      <c r="D16">
        <v>24.1</v>
      </c>
      <c r="E16">
        <v>30.5</v>
      </c>
      <c r="H16">
        <v>23.8</v>
      </c>
      <c r="I16">
        <v>19.899999999999999</v>
      </c>
      <c r="J16">
        <v>12.4</v>
      </c>
      <c r="K16">
        <v>11.3</v>
      </c>
      <c r="L16">
        <v>10.9</v>
      </c>
      <c r="M16">
        <v>12.3</v>
      </c>
      <c r="N16">
        <v>12.3</v>
      </c>
      <c r="O16">
        <v>13.4</v>
      </c>
      <c r="P16">
        <v>12.4</v>
      </c>
      <c r="Q16">
        <v>13.1</v>
      </c>
      <c r="R16">
        <v>14.4</v>
      </c>
      <c r="S16">
        <v>14.2</v>
      </c>
      <c r="T16">
        <v>13.7</v>
      </c>
      <c r="U16">
        <v>13.6</v>
      </c>
      <c r="V16">
        <v>13.5</v>
      </c>
      <c r="W16">
        <v>14.3</v>
      </c>
      <c r="X16">
        <v>15.9</v>
      </c>
      <c r="Y16">
        <v>17.8</v>
      </c>
      <c r="Z16">
        <v>18.600000000000001</v>
      </c>
      <c r="AA16">
        <v>22.4</v>
      </c>
    </row>
    <row r="17" spans="1:27" x14ac:dyDescent="0.25">
      <c r="A17" s="2">
        <v>43511</v>
      </c>
      <c r="B17" s="3">
        <v>4204891666666660</v>
      </c>
      <c r="C17">
        <f t="shared" si="1"/>
        <v>7</v>
      </c>
      <c r="D17">
        <v>25.6</v>
      </c>
      <c r="E17">
        <v>27.2</v>
      </c>
      <c r="H17">
        <v>26.1</v>
      </c>
      <c r="I17">
        <v>20.8</v>
      </c>
      <c r="J17">
        <v>12.8</v>
      </c>
      <c r="K17">
        <v>9.4</v>
      </c>
      <c r="L17">
        <v>10.3</v>
      </c>
      <c r="M17">
        <v>12.6</v>
      </c>
      <c r="N17">
        <v>12.6</v>
      </c>
      <c r="O17">
        <v>13.8</v>
      </c>
      <c r="P17">
        <v>13.4</v>
      </c>
      <c r="Q17">
        <v>11.7</v>
      </c>
      <c r="R17">
        <v>12.5</v>
      </c>
      <c r="S17">
        <v>12.9</v>
      </c>
      <c r="T17">
        <v>12</v>
      </c>
      <c r="U17">
        <v>11.5</v>
      </c>
      <c r="V17">
        <v>13</v>
      </c>
      <c r="W17">
        <v>13.1</v>
      </c>
      <c r="X17">
        <v>14.8</v>
      </c>
      <c r="Y17">
        <v>13.2</v>
      </c>
      <c r="Z17">
        <v>17.600000000000001</v>
      </c>
      <c r="AA17">
        <v>20.5</v>
      </c>
    </row>
    <row r="18" spans="1:27" x14ac:dyDescent="0.25">
      <c r="A18" s="2">
        <v>43512</v>
      </c>
      <c r="B18" s="3">
        <v>4204991666666660</v>
      </c>
      <c r="C18">
        <f t="shared" si="1"/>
        <v>2</v>
      </c>
      <c r="D18">
        <v>23.2</v>
      </c>
      <c r="E18">
        <v>27.6</v>
      </c>
      <c r="H18">
        <v>26.4</v>
      </c>
      <c r="I18">
        <v>21.1</v>
      </c>
      <c r="J18">
        <v>18.600000000000001</v>
      </c>
      <c r="K18">
        <v>16.8</v>
      </c>
      <c r="L18">
        <v>14.6</v>
      </c>
      <c r="M18">
        <v>12.6</v>
      </c>
      <c r="N18">
        <v>13.3</v>
      </c>
      <c r="O18">
        <v>12.1</v>
      </c>
      <c r="P18">
        <v>12.2</v>
      </c>
      <c r="Q18">
        <v>12.8</v>
      </c>
      <c r="R18">
        <v>13.7</v>
      </c>
      <c r="S18">
        <v>14.5</v>
      </c>
      <c r="T18">
        <v>14.2</v>
      </c>
      <c r="U18">
        <v>13</v>
      </c>
      <c r="V18">
        <v>14.5</v>
      </c>
      <c r="W18">
        <v>11.5</v>
      </c>
      <c r="X18">
        <v>14.4</v>
      </c>
      <c r="Y18">
        <v>18.399999999999999</v>
      </c>
      <c r="Z18">
        <v>19.2</v>
      </c>
      <c r="AA18">
        <v>23.7</v>
      </c>
    </row>
    <row r="19" spans="1:27" x14ac:dyDescent="0.25">
      <c r="A19" s="2">
        <v>43513</v>
      </c>
      <c r="B19" s="3">
        <v>4205091666666660</v>
      </c>
      <c r="C19">
        <f t="shared" si="1"/>
        <v>1</v>
      </c>
      <c r="D19">
        <v>26.6</v>
      </c>
      <c r="H19">
        <v>27.7</v>
      </c>
      <c r="I19">
        <v>23.6</v>
      </c>
      <c r="J19">
        <v>22.7</v>
      </c>
      <c r="K19">
        <v>20.2</v>
      </c>
      <c r="L19">
        <v>19.7</v>
      </c>
      <c r="M19">
        <v>17.3</v>
      </c>
      <c r="N19">
        <v>17.5</v>
      </c>
      <c r="O19">
        <v>16</v>
      </c>
      <c r="P19">
        <v>14.6</v>
      </c>
      <c r="Q19">
        <v>15.5</v>
      </c>
      <c r="R19">
        <v>17.8</v>
      </c>
      <c r="S19">
        <v>17.2</v>
      </c>
      <c r="T19">
        <v>19.2</v>
      </c>
      <c r="U19">
        <v>17.899999999999999</v>
      </c>
      <c r="V19">
        <v>18.100000000000001</v>
      </c>
      <c r="W19">
        <v>17.100000000000001</v>
      </c>
      <c r="X19">
        <v>18.5</v>
      </c>
      <c r="Y19">
        <v>19.5</v>
      </c>
      <c r="Z19">
        <v>21.1</v>
      </c>
      <c r="AA19">
        <v>23.4</v>
      </c>
    </row>
    <row r="20" spans="1:27" x14ac:dyDescent="0.25">
      <c r="A20" s="2">
        <v>43514</v>
      </c>
      <c r="B20" s="3">
        <v>42051875</v>
      </c>
      <c r="C20">
        <f t="shared" si="1"/>
        <v>3</v>
      </c>
      <c r="D20">
        <v>25.8</v>
      </c>
      <c r="E20">
        <v>28.8</v>
      </c>
      <c r="H20">
        <v>26.8</v>
      </c>
      <c r="I20">
        <v>21.1</v>
      </c>
      <c r="J20">
        <v>12.2</v>
      </c>
      <c r="K20">
        <v>9.6999999999999993</v>
      </c>
      <c r="L20">
        <v>11.6</v>
      </c>
      <c r="M20">
        <v>13.5</v>
      </c>
      <c r="N20">
        <v>12.6</v>
      </c>
      <c r="O20">
        <v>15</v>
      </c>
      <c r="P20">
        <v>14.2</v>
      </c>
      <c r="Q20">
        <v>13.2</v>
      </c>
      <c r="R20">
        <v>13.7</v>
      </c>
      <c r="S20">
        <v>14.4</v>
      </c>
      <c r="T20">
        <v>13.7</v>
      </c>
      <c r="U20">
        <v>13.1</v>
      </c>
      <c r="V20">
        <v>13.2</v>
      </c>
      <c r="W20">
        <v>15.1</v>
      </c>
      <c r="X20">
        <v>15.5</v>
      </c>
      <c r="Y20">
        <v>19.100000000000001</v>
      </c>
      <c r="Z20">
        <v>20.8</v>
      </c>
      <c r="AA20">
        <v>24.2</v>
      </c>
    </row>
    <row r="21" spans="1:27" x14ac:dyDescent="0.25">
      <c r="A21" s="2">
        <v>43515</v>
      </c>
      <c r="B21" s="3">
        <v>42052875</v>
      </c>
      <c r="C21">
        <f t="shared" si="1"/>
        <v>4</v>
      </c>
      <c r="D21">
        <v>26.3</v>
      </c>
      <c r="E21">
        <v>30.3</v>
      </c>
      <c r="H21">
        <v>26.3</v>
      </c>
      <c r="I21">
        <v>20.6</v>
      </c>
      <c r="J21">
        <v>11.7</v>
      </c>
      <c r="K21">
        <v>10</v>
      </c>
      <c r="L21">
        <v>10.9</v>
      </c>
      <c r="M21">
        <v>13</v>
      </c>
      <c r="N21">
        <v>13</v>
      </c>
      <c r="O21">
        <v>14.6</v>
      </c>
      <c r="P21">
        <v>14.4</v>
      </c>
      <c r="Q21">
        <v>13.1</v>
      </c>
      <c r="R21">
        <v>14</v>
      </c>
      <c r="S21">
        <v>13.9</v>
      </c>
      <c r="T21">
        <v>13.5</v>
      </c>
      <c r="U21">
        <v>12</v>
      </c>
      <c r="V21">
        <v>12.5</v>
      </c>
      <c r="W21">
        <v>13.9</v>
      </c>
      <c r="X21">
        <v>17.100000000000001</v>
      </c>
      <c r="Y21">
        <v>19.7</v>
      </c>
      <c r="Z21">
        <v>18.899999999999999</v>
      </c>
      <c r="AA21">
        <v>22.9</v>
      </c>
    </row>
    <row r="22" spans="1:27" x14ac:dyDescent="0.25">
      <c r="A22" s="2">
        <v>43516</v>
      </c>
      <c r="B22" s="3">
        <v>42053875</v>
      </c>
      <c r="C22">
        <f t="shared" si="1"/>
        <v>5</v>
      </c>
      <c r="D22">
        <v>24.5</v>
      </c>
      <c r="E22">
        <v>28.9</v>
      </c>
      <c r="H22">
        <v>25.8</v>
      </c>
      <c r="I22">
        <v>20.100000000000001</v>
      </c>
      <c r="J22">
        <v>12.1</v>
      </c>
      <c r="K22">
        <v>10.5</v>
      </c>
      <c r="L22">
        <v>11.1</v>
      </c>
      <c r="M22">
        <v>13</v>
      </c>
      <c r="N22">
        <v>13.1</v>
      </c>
      <c r="O22">
        <v>14.8</v>
      </c>
      <c r="P22">
        <v>13.2</v>
      </c>
      <c r="Q22">
        <v>13.2</v>
      </c>
      <c r="R22">
        <v>14</v>
      </c>
      <c r="S22">
        <v>14</v>
      </c>
      <c r="T22">
        <v>12.9</v>
      </c>
      <c r="U22">
        <v>12.9</v>
      </c>
      <c r="V22">
        <v>12.4</v>
      </c>
      <c r="W22">
        <v>13.2</v>
      </c>
      <c r="X22">
        <v>15.2</v>
      </c>
      <c r="Y22">
        <v>17.899999999999999</v>
      </c>
      <c r="Z22">
        <v>19.100000000000001</v>
      </c>
      <c r="AA22">
        <v>22.7</v>
      </c>
    </row>
    <row r="23" spans="1:27" x14ac:dyDescent="0.25">
      <c r="A23" s="2">
        <v>43517</v>
      </c>
      <c r="B23" s="3">
        <v>42054875</v>
      </c>
      <c r="C23">
        <f t="shared" si="1"/>
        <v>6</v>
      </c>
      <c r="D23">
        <v>20.6</v>
      </c>
      <c r="E23">
        <v>26.5</v>
      </c>
      <c r="H23">
        <v>22.3</v>
      </c>
      <c r="I23">
        <v>20.5</v>
      </c>
      <c r="J23">
        <v>13.1</v>
      </c>
      <c r="K23">
        <v>10.6</v>
      </c>
      <c r="L23">
        <v>11.2</v>
      </c>
      <c r="M23">
        <v>13</v>
      </c>
      <c r="N23">
        <v>12.5</v>
      </c>
      <c r="O23">
        <v>15.1</v>
      </c>
      <c r="P23">
        <v>12.9</v>
      </c>
      <c r="Q23">
        <v>11.9</v>
      </c>
      <c r="R23">
        <v>14.1</v>
      </c>
      <c r="S23">
        <v>15.5</v>
      </c>
      <c r="T23">
        <v>13.3</v>
      </c>
      <c r="U23">
        <v>13.4</v>
      </c>
      <c r="V23">
        <v>12.6</v>
      </c>
      <c r="W23">
        <v>12.5</v>
      </c>
      <c r="X23">
        <v>16.2</v>
      </c>
      <c r="Y23">
        <v>16.600000000000001</v>
      </c>
      <c r="Z23">
        <v>20.6</v>
      </c>
      <c r="AA23">
        <v>22.2</v>
      </c>
    </row>
    <row r="24" spans="1:27" x14ac:dyDescent="0.25">
      <c r="A24" s="2">
        <v>43518</v>
      </c>
      <c r="B24" s="3">
        <v>42055875</v>
      </c>
      <c r="C24">
        <f t="shared" si="1"/>
        <v>7</v>
      </c>
      <c r="D24">
        <v>27</v>
      </c>
      <c r="E24">
        <v>29</v>
      </c>
      <c r="H24">
        <v>23.7</v>
      </c>
      <c r="I24">
        <v>20.9</v>
      </c>
      <c r="J24">
        <v>13.6</v>
      </c>
      <c r="K24">
        <v>10.5</v>
      </c>
      <c r="L24">
        <v>9.6999999999999993</v>
      </c>
      <c r="M24">
        <v>12.3</v>
      </c>
      <c r="N24">
        <v>11.4</v>
      </c>
      <c r="O24">
        <v>14.4</v>
      </c>
      <c r="P24">
        <v>12.4</v>
      </c>
      <c r="Q24">
        <v>11.6</v>
      </c>
      <c r="R24">
        <v>13.4</v>
      </c>
      <c r="S24">
        <v>14.2</v>
      </c>
      <c r="T24">
        <v>12.9</v>
      </c>
      <c r="U24">
        <v>11.9</v>
      </c>
      <c r="V24">
        <v>10.8</v>
      </c>
      <c r="W24">
        <v>11.9</v>
      </c>
      <c r="X24">
        <v>15.6</v>
      </c>
      <c r="Y24">
        <v>18.5</v>
      </c>
      <c r="Z24">
        <v>19.399999999999999</v>
      </c>
      <c r="AA24">
        <v>21.2</v>
      </c>
    </row>
    <row r="25" spans="1:27" x14ac:dyDescent="0.25">
      <c r="A25" s="2">
        <v>43519</v>
      </c>
      <c r="B25" s="3">
        <v>42056875</v>
      </c>
      <c r="C25">
        <f t="shared" si="1"/>
        <v>2</v>
      </c>
      <c r="D25">
        <v>26</v>
      </c>
      <c r="E25">
        <v>28.6</v>
      </c>
      <c r="H25">
        <v>28.8</v>
      </c>
      <c r="I25">
        <v>22.1</v>
      </c>
      <c r="J25">
        <v>19.600000000000001</v>
      </c>
      <c r="K25">
        <v>16.2</v>
      </c>
      <c r="L25">
        <v>14.7</v>
      </c>
      <c r="M25">
        <v>12.3</v>
      </c>
      <c r="N25">
        <v>12.6</v>
      </c>
      <c r="O25">
        <v>11.8</v>
      </c>
      <c r="P25">
        <v>13.2</v>
      </c>
      <c r="Q25">
        <v>12.2</v>
      </c>
      <c r="R25">
        <v>12.1</v>
      </c>
      <c r="T25">
        <v>12.5</v>
      </c>
      <c r="V25">
        <v>14.1</v>
      </c>
      <c r="X25">
        <v>16.399999999999999</v>
      </c>
      <c r="Z25">
        <v>15.7</v>
      </c>
    </row>
    <row r="26" spans="1:27" x14ac:dyDescent="0.25">
      <c r="A26" s="2">
        <v>43520</v>
      </c>
      <c r="B26" s="3">
        <v>42057875</v>
      </c>
      <c r="C26">
        <f t="shared" si="1"/>
        <v>1</v>
      </c>
      <c r="D26">
        <v>25.7</v>
      </c>
      <c r="E26">
        <v>26.4</v>
      </c>
      <c r="H26">
        <v>27.1</v>
      </c>
      <c r="I26">
        <v>23.3</v>
      </c>
      <c r="J26">
        <v>22.4</v>
      </c>
      <c r="K26">
        <v>19.3</v>
      </c>
      <c r="L26">
        <v>18.399999999999999</v>
      </c>
      <c r="M26">
        <v>17.399999999999999</v>
      </c>
      <c r="N26">
        <v>16.600000000000001</v>
      </c>
      <c r="O26">
        <v>14.6</v>
      </c>
      <c r="P26">
        <v>14.7</v>
      </c>
      <c r="Q26">
        <v>14.4</v>
      </c>
      <c r="R26">
        <v>16</v>
      </c>
      <c r="S26">
        <v>16.7</v>
      </c>
      <c r="T26">
        <v>17.399999999999999</v>
      </c>
      <c r="U26">
        <v>17.399999999999999</v>
      </c>
      <c r="V26">
        <v>18.2</v>
      </c>
      <c r="W26">
        <v>17.399999999999999</v>
      </c>
      <c r="X26">
        <v>18.100000000000001</v>
      </c>
      <c r="Y26">
        <v>16.399999999999999</v>
      </c>
      <c r="Z26">
        <v>20.5</v>
      </c>
      <c r="AA26">
        <v>22.7</v>
      </c>
    </row>
    <row r="27" spans="1:27" x14ac:dyDescent="0.25">
      <c r="A27" s="2">
        <v>43521</v>
      </c>
      <c r="B27" s="3">
        <v>42058875</v>
      </c>
      <c r="C27">
        <f t="shared" si="1"/>
        <v>3</v>
      </c>
      <c r="D27">
        <v>24.4</v>
      </c>
      <c r="E27">
        <v>27.3</v>
      </c>
      <c r="H27">
        <v>23.7</v>
      </c>
      <c r="I27">
        <v>19.7</v>
      </c>
      <c r="J27">
        <v>12.4</v>
      </c>
      <c r="K27">
        <v>10.7</v>
      </c>
      <c r="L27">
        <v>10.4</v>
      </c>
      <c r="M27">
        <v>13.5</v>
      </c>
      <c r="N27">
        <v>14.1</v>
      </c>
      <c r="O27">
        <v>14.2</v>
      </c>
      <c r="P27">
        <v>12.9</v>
      </c>
      <c r="Q27">
        <v>13.9</v>
      </c>
      <c r="R27">
        <v>14.7</v>
      </c>
      <c r="S27">
        <v>15.4</v>
      </c>
      <c r="T27">
        <v>13.2</v>
      </c>
      <c r="U27">
        <v>11.4</v>
      </c>
      <c r="V27">
        <v>12</v>
      </c>
      <c r="W27">
        <v>14.8</v>
      </c>
      <c r="X27">
        <v>17.399999999999999</v>
      </c>
      <c r="Y27">
        <v>18.100000000000001</v>
      </c>
      <c r="Z27">
        <v>18.2</v>
      </c>
      <c r="AA27">
        <v>21.8</v>
      </c>
    </row>
    <row r="28" spans="1:27" x14ac:dyDescent="0.25">
      <c r="A28" s="2">
        <v>43522</v>
      </c>
      <c r="B28" s="3">
        <v>42059875</v>
      </c>
      <c r="C28">
        <f t="shared" si="1"/>
        <v>4</v>
      </c>
      <c r="D28">
        <v>24.5</v>
      </c>
      <c r="E28">
        <v>29.4</v>
      </c>
      <c r="H28">
        <v>24.4</v>
      </c>
      <c r="I28">
        <v>20.5</v>
      </c>
      <c r="J28">
        <v>11</v>
      </c>
      <c r="K28">
        <v>8.6999999999999993</v>
      </c>
      <c r="L28">
        <v>10.199999999999999</v>
      </c>
      <c r="M28">
        <v>12.6</v>
      </c>
      <c r="N28">
        <v>13.2</v>
      </c>
      <c r="O28">
        <v>14.9</v>
      </c>
      <c r="P28">
        <v>12.3</v>
      </c>
      <c r="Q28">
        <v>12.5</v>
      </c>
      <c r="R28">
        <v>13.2</v>
      </c>
      <c r="S28">
        <v>13.6</v>
      </c>
      <c r="T28">
        <v>13.1</v>
      </c>
      <c r="U28">
        <v>12.2</v>
      </c>
      <c r="V28">
        <v>12.5</v>
      </c>
      <c r="W28">
        <v>14</v>
      </c>
      <c r="X28">
        <v>16.5</v>
      </c>
      <c r="Y28">
        <v>18.100000000000001</v>
      </c>
      <c r="Z28">
        <v>18.899999999999999</v>
      </c>
      <c r="AA28">
        <v>20.7</v>
      </c>
    </row>
    <row r="29" spans="1:27" x14ac:dyDescent="0.25">
      <c r="A29" s="2">
        <v>43523</v>
      </c>
      <c r="B29" s="3">
        <v>42060875</v>
      </c>
      <c r="C29">
        <f t="shared" si="1"/>
        <v>5</v>
      </c>
      <c r="D29">
        <v>26</v>
      </c>
      <c r="E29">
        <v>32.700000000000003</v>
      </c>
      <c r="H29">
        <v>23.4</v>
      </c>
      <c r="I29">
        <v>20.399999999999999</v>
      </c>
      <c r="J29">
        <v>13.2</v>
      </c>
      <c r="K29">
        <v>10.1</v>
      </c>
      <c r="L29">
        <v>10.4</v>
      </c>
      <c r="M29">
        <v>12.5</v>
      </c>
      <c r="N29">
        <v>12.2</v>
      </c>
      <c r="O29">
        <v>14.3</v>
      </c>
      <c r="P29">
        <v>13</v>
      </c>
      <c r="Q29">
        <v>12.6</v>
      </c>
      <c r="R29">
        <v>13.6</v>
      </c>
      <c r="S29">
        <v>12.9</v>
      </c>
      <c r="T29">
        <v>12.7</v>
      </c>
      <c r="U29">
        <v>13</v>
      </c>
      <c r="V29">
        <v>9</v>
      </c>
      <c r="W29">
        <v>9.1999999999999993</v>
      </c>
      <c r="X29">
        <v>13.7</v>
      </c>
      <c r="Y29">
        <v>16.600000000000001</v>
      </c>
      <c r="Z29">
        <v>18.7</v>
      </c>
      <c r="AA29">
        <v>23.9</v>
      </c>
    </row>
    <row r="31" spans="1:27" x14ac:dyDescent="0.25">
      <c r="C31">
        <v>1</v>
      </c>
      <c r="D31">
        <f t="array" ref="D31">MEDIAN(IF($C$3:$C$29=$C31,D$3:D$29,""))</f>
        <v>25.25</v>
      </c>
      <c r="E31">
        <f t="array" ref="E31">MEDIAN(IF($C$3:$C$29=$C31,E$3:E$29,""))</f>
        <v>26.6</v>
      </c>
      <c r="F31">
        <f t="array" ref="F31">MEDIAN(IF($C$3:$C$29=$C31,F$3:F$29,""))</f>
        <v>0</v>
      </c>
      <c r="G31">
        <v>26</v>
      </c>
      <c r="H31">
        <f t="array" ref="H31">MEDIAN(IF($C$3:$C$29=$C31,H$3:H$29,""))</f>
        <v>26.35</v>
      </c>
      <c r="I31">
        <f t="array" ref="I31">MEDIAN(IF($C$3:$C$29=$C31,I$3:I$29,""))</f>
        <v>23.450000000000003</v>
      </c>
      <c r="J31">
        <f t="array" ref="J31">MEDIAN(IF($C$3:$C$29=$C31,J$3:J$29,""))</f>
        <v>22.5</v>
      </c>
      <c r="K31">
        <f t="array" ref="K31">MEDIAN(IF($C$3:$C$29=$C31,K$3:K$29,""))</f>
        <v>19.95</v>
      </c>
      <c r="L31">
        <f t="array" ref="L31">MEDIAN(IF($C$3:$C$29=$C31,L$3:L$29,""))</f>
        <v>19.549999999999997</v>
      </c>
      <c r="M31">
        <f t="array" ref="M31">MEDIAN(IF($C$3:$C$29=$C31,M$3:M$29,""))</f>
        <v>17.3</v>
      </c>
      <c r="N31">
        <f t="array" ref="N31">MEDIAN(IF($C$3:$C$29=$C31,N$3:N$29,""))</f>
        <v>16.149999999999999</v>
      </c>
      <c r="O31">
        <f t="array" ref="O31">MEDIAN(IF($C$3:$C$29=$C31,O$3:O$29,""))</f>
        <v>15.65</v>
      </c>
      <c r="P31">
        <f t="array" ref="P31">MEDIAN(IF($C$3:$C$29=$C31,P$3:P$29,""))</f>
        <v>14.649999999999999</v>
      </c>
      <c r="Q31">
        <f t="array" ref="Q31">MEDIAN(IF($C$3:$C$29=$C31,Q$3:Q$29,""))</f>
        <v>14.95</v>
      </c>
      <c r="R31">
        <f t="array" ref="R31">MEDIAN(IF($C$3:$C$29=$C31,R$3:R$29,""))</f>
        <v>16.850000000000001</v>
      </c>
      <c r="S31">
        <f t="array" ref="S31">MEDIAN(IF($C$3:$C$29=$C31,S$3:S$29,""))</f>
        <v>16.95</v>
      </c>
      <c r="T31">
        <f t="array" ref="T31">MEDIAN(IF($C$3:$C$29=$C31,T$3:T$29,""))</f>
        <v>17.950000000000003</v>
      </c>
      <c r="U31">
        <f t="array" ref="U31">MEDIAN(IF($C$3:$C$29=$C31,U$3:U$29,""))</f>
        <v>17.45</v>
      </c>
      <c r="V31">
        <f t="array" ref="V31">MEDIAN(IF($C$3:$C$29=$C31,V$3:V$29,""))</f>
        <v>18.05</v>
      </c>
      <c r="W31">
        <f t="array" ref="W31">MEDIAN(IF($C$3:$C$29=$C31,W$3:W$29,""))</f>
        <v>17.149999999999999</v>
      </c>
      <c r="X31">
        <f t="array" ref="X31">MEDIAN(IF($C$3:$C$29=$C31,X$3:X$29,""))</f>
        <v>18</v>
      </c>
      <c r="Y31">
        <f t="array" ref="Y31">MEDIAN(IF($C$3:$C$29=$C31,Y$3:Y$29,""))</f>
        <v>18.200000000000003</v>
      </c>
      <c r="Z31">
        <f t="array" ref="Z31">MEDIAN(IF($C$3:$C$29=$C31,Z$3:Z$29,""))</f>
        <v>20.2</v>
      </c>
      <c r="AA31">
        <f t="array" ref="AA31">MEDIAN(IF($C$3:$C$29=$C31,AA$3:AA$29,""))</f>
        <v>23.049999999999997</v>
      </c>
    </row>
    <row r="32" spans="1:27" x14ac:dyDescent="0.25">
      <c r="C32">
        <v>2</v>
      </c>
      <c r="D32">
        <f t="array" ref="D32">MEDIAN(IF($C$3:$C$29=$C32,D$3:D$29,""))</f>
        <v>23.4</v>
      </c>
      <c r="E32">
        <f t="array" ref="E32">MEDIAN(IF($C$3:$C$29=$C32,E$3:E$29,""))</f>
        <v>28.1</v>
      </c>
      <c r="F32">
        <f t="array" ref="F32">MEDIAN(IF($C$3:$C$29=$C32,F$3:F$29,""))</f>
        <v>0</v>
      </c>
      <c r="G32">
        <v>26</v>
      </c>
      <c r="H32">
        <f t="array" ref="H32">MEDIAN(IF($C$3:$C$29=$C32,H$3:H$29,""))</f>
        <v>27.299999999999997</v>
      </c>
      <c r="I32">
        <f t="array" ref="I32">MEDIAN(IF($C$3:$C$29=$C32,I$3:I$29,""))</f>
        <v>21.9</v>
      </c>
      <c r="J32">
        <f t="array" ref="J32">MEDIAN(IF($C$3:$C$29=$C32,J$3:J$29,""))</f>
        <v>19.950000000000003</v>
      </c>
      <c r="K32">
        <f t="array" ref="K32">MEDIAN(IF($C$3:$C$29=$C32,K$3:K$29,""))</f>
        <v>16.600000000000001</v>
      </c>
      <c r="L32">
        <f t="array" ref="L32">MEDIAN(IF($C$3:$C$29=$C32,L$3:L$29,""))</f>
        <v>15.25</v>
      </c>
      <c r="M32">
        <f t="array" ref="M32">MEDIAN(IF($C$3:$C$29=$C32,M$3:M$29,""))</f>
        <v>13</v>
      </c>
      <c r="N32">
        <f t="array" ref="N32">MEDIAN(IF($C$3:$C$29=$C32,N$3:N$29,""))</f>
        <v>12.95</v>
      </c>
      <c r="O32">
        <f t="array" ref="O32">MEDIAN(IF($C$3:$C$29=$C32,O$3:O$29,""))</f>
        <v>11.95</v>
      </c>
      <c r="P32">
        <f t="array" ref="P32">MEDIAN(IF($C$3:$C$29=$C32,P$3:P$29,""))</f>
        <v>12.399999999999999</v>
      </c>
      <c r="Q32">
        <f t="array" ref="Q32">MEDIAN(IF($C$3:$C$29=$C32,Q$3:Q$29,""))</f>
        <v>12.25</v>
      </c>
      <c r="R32">
        <f t="array" ref="R32">MEDIAN(IF($C$3:$C$29=$C32,R$3:R$29,""))</f>
        <v>13.1</v>
      </c>
      <c r="S32">
        <f t="array" ref="S32">MEDIAN(IF($C$3:$C$29=$C32,S$3:S$29,""))</f>
        <v>13.399999999999999</v>
      </c>
      <c r="T32">
        <f t="array" ref="T32">MEDIAN(IF($C$3:$C$29=$C32,T$3:T$29,""))</f>
        <v>13.5</v>
      </c>
      <c r="U32">
        <f t="array" ref="U32">MEDIAN(IF($C$3:$C$29=$C32,U$3:U$29,""))</f>
        <v>12.85</v>
      </c>
      <c r="V32">
        <f t="array" ref="V32">MEDIAN(IF($C$3:$C$29=$C32,V$3:V$29,""))</f>
        <v>14.3</v>
      </c>
      <c r="W32">
        <f t="array" ref="W32">MEDIAN(IF($C$3:$C$29=$C32,W$3:W$29,""))</f>
        <v>12.95</v>
      </c>
      <c r="X32">
        <f t="array" ref="X32">MEDIAN(IF($C$3:$C$29=$C32,X$3:X$29,""))</f>
        <v>14.95</v>
      </c>
      <c r="Y32">
        <f t="array" ref="Y32">MEDIAN(IF($C$3:$C$29=$C32,Y$3:Y$29,""))</f>
        <v>17.2</v>
      </c>
      <c r="Z32">
        <f t="array" ref="Z32">MEDIAN(IF($C$3:$C$29=$C32,Z$3:Z$29,""))</f>
        <v>17.2</v>
      </c>
      <c r="AA32">
        <f t="array" ref="AA32">MEDIAN(IF($C$3:$C$29=$C32,AA$3:AA$29,""))</f>
        <v>22.4</v>
      </c>
    </row>
    <row r="33" spans="3:27" x14ac:dyDescent="0.25">
      <c r="C33">
        <v>3</v>
      </c>
      <c r="D33">
        <f t="array" ref="D33">MEDIAN(IF($C$3:$C$29=$C33,D$3:D$29,""))</f>
        <v>25.049999999999997</v>
      </c>
      <c r="E33">
        <f t="array" ref="E33">MEDIAN(IF($C$3:$C$29=$C33,E$3:E$29,""))</f>
        <v>29</v>
      </c>
      <c r="F33">
        <f t="array" ref="F33">MEDIAN(IF($C$3:$C$29=$C33,F$3:F$29,""))</f>
        <v>0</v>
      </c>
      <c r="G33">
        <v>26</v>
      </c>
      <c r="H33">
        <f t="array" ref="H33">MEDIAN(IF($C$3:$C$29=$C33,H$3:H$29,""))</f>
        <v>24.1</v>
      </c>
      <c r="I33">
        <f t="array" ref="I33">MEDIAN(IF($C$3:$C$29=$C33,I$3:I$29,""))</f>
        <v>19.799999999999997</v>
      </c>
      <c r="J33">
        <f t="array" ref="J33">MEDIAN(IF($C$3:$C$29=$C33,J$3:J$29,""))</f>
        <v>12.3</v>
      </c>
      <c r="K33">
        <f t="array" ref="K33">MEDIAN(IF($C$3:$C$29=$C33,K$3:K$29,""))</f>
        <v>10.199999999999999</v>
      </c>
      <c r="L33">
        <f t="array" ref="L33">MEDIAN(IF($C$3:$C$29=$C33,L$3:L$29,""))</f>
        <v>11</v>
      </c>
      <c r="M33">
        <f t="array" ref="M33">MEDIAN(IF($C$3:$C$29=$C33,M$3:M$29,""))</f>
        <v>13.05</v>
      </c>
      <c r="N33">
        <f t="array" ref="N33">MEDIAN(IF($C$3:$C$29=$C33,N$3:N$29,""))</f>
        <v>13.25</v>
      </c>
      <c r="O33">
        <f t="array" ref="O33">MEDIAN(IF($C$3:$C$29=$C33,O$3:O$29,""))</f>
        <v>14.6</v>
      </c>
      <c r="P33">
        <f t="array" ref="P33">MEDIAN(IF($C$3:$C$29=$C33,P$3:P$29,""))</f>
        <v>12.850000000000001</v>
      </c>
      <c r="Q33">
        <f t="array" ref="Q33">MEDIAN(IF($C$3:$C$29=$C33,Q$3:Q$29,""))</f>
        <v>13.25</v>
      </c>
      <c r="R33">
        <f t="array" ref="R33">MEDIAN(IF($C$3:$C$29=$C33,R$3:R$29,""))</f>
        <v>14.149999999999999</v>
      </c>
      <c r="S33">
        <f t="array" ref="S33">MEDIAN(IF($C$3:$C$29=$C33,S$3:S$29,""))</f>
        <v>14.25</v>
      </c>
      <c r="T33">
        <f t="array" ref="T33">MEDIAN(IF($C$3:$C$29=$C33,T$3:T$29,""))</f>
        <v>13.45</v>
      </c>
      <c r="U33">
        <f t="array" ref="U33">MEDIAN(IF($C$3:$C$29=$C33,U$3:U$29,""))</f>
        <v>13.2</v>
      </c>
      <c r="V33">
        <f t="array" ref="V33">MEDIAN(IF($C$3:$C$29=$C33,V$3:V$29,""))</f>
        <v>13.2</v>
      </c>
      <c r="W33">
        <f t="array" ref="W33">MEDIAN(IF($C$3:$C$29=$C33,W$3:W$29,""))</f>
        <v>14.95</v>
      </c>
      <c r="X33">
        <f t="array" ref="X33">MEDIAN(IF($C$3:$C$29=$C33,X$3:X$29,""))</f>
        <v>17</v>
      </c>
      <c r="Y33">
        <f t="array" ref="Y33">MEDIAN(IF($C$3:$C$29=$C33,Y$3:Y$29,""))</f>
        <v>18.700000000000003</v>
      </c>
      <c r="Z33">
        <f t="array" ref="Z33">MEDIAN(IF($C$3:$C$29=$C33,Z$3:Z$29,""))</f>
        <v>20.3</v>
      </c>
      <c r="AA33">
        <f t="array" ref="AA33">MEDIAN(IF($C$3:$C$29=$C33,AA$3:AA$29,""))</f>
        <v>23.5</v>
      </c>
    </row>
    <row r="34" spans="3:27" x14ac:dyDescent="0.25">
      <c r="C34">
        <v>4</v>
      </c>
      <c r="D34">
        <f t="array" ref="D34">MEDIAN(IF($C$3:$C$29=$C34,D$3:D$29,""))</f>
        <v>25.4</v>
      </c>
      <c r="E34">
        <f t="array" ref="E34">MEDIAN(IF($C$3:$C$29=$C34,E$3:E$29,""))</f>
        <v>29.85</v>
      </c>
      <c r="F34">
        <f t="array" ref="F34">MEDIAN(IF($C$3:$C$29=$C34,F$3:F$29,""))</f>
        <v>0</v>
      </c>
      <c r="G34">
        <v>26</v>
      </c>
      <c r="H34">
        <f t="array" ref="H34">MEDIAN(IF($C$3:$C$29=$C34,H$3:H$29,""))</f>
        <v>25.35</v>
      </c>
      <c r="I34">
        <f t="array" ref="I34">MEDIAN(IF($C$3:$C$29=$C34,I$3:I$29,""))</f>
        <v>20.55</v>
      </c>
      <c r="J34">
        <f t="array" ref="J34">MEDIAN(IF($C$3:$C$29=$C34,J$3:J$29,""))</f>
        <v>12.2</v>
      </c>
      <c r="K34">
        <f t="array" ref="K34">MEDIAN(IF($C$3:$C$29=$C34,K$3:K$29,""))</f>
        <v>10.1</v>
      </c>
      <c r="L34">
        <f t="array" ref="L34">MEDIAN(IF($C$3:$C$29=$C34,L$3:L$29,""))</f>
        <v>10.600000000000001</v>
      </c>
      <c r="M34">
        <f t="array" ref="M34">MEDIAN(IF($C$3:$C$29=$C34,M$3:M$29,""))</f>
        <v>12.8</v>
      </c>
      <c r="N34">
        <f t="array" ref="N34">MEDIAN(IF($C$3:$C$29=$C34,N$3:N$29,""))</f>
        <v>13.1</v>
      </c>
      <c r="O34">
        <f t="array" ref="O34">MEDIAN(IF($C$3:$C$29=$C34,O$3:O$29,""))</f>
        <v>14.75</v>
      </c>
      <c r="P34">
        <f t="array" ref="P34">MEDIAN(IF($C$3:$C$29=$C34,P$3:P$29,""))</f>
        <v>11.9</v>
      </c>
      <c r="Q34">
        <f t="array" ref="Q34">MEDIAN(IF($C$3:$C$29=$C34,Q$3:Q$29,""))</f>
        <v>12.45</v>
      </c>
      <c r="R34">
        <f t="array" ref="R34">MEDIAN(IF($C$3:$C$29=$C34,R$3:R$29,""))</f>
        <v>13.6</v>
      </c>
      <c r="S34">
        <f t="array" ref="S34">MEDIAN(IF($C$3:$C$29=$C34,S$3:S$29,""))</f>
        <v>13.399999999999999</v>
      </c>
      <c r="T34">
        <f t="array" ref="T34">MEDIAN(IF($C$3:$C$29=$C34,T$3:T$29,""))</f>
        <v>13.6</v>
      </c>
      <c r="U34">
        <f t="array" ref="U34">MEDIAN(IF($C$3:$C$29=$C34,U$3:U$29,""))</f>
        <v>12.25</v>
      </c>
      <c r="V34">
        <f t="array" ref="V34">MEDIAN(IF($C$3:$C$29=$C34,V$3:V$29,""))</f>
        <v>12.5</v>
      </c>
      <c r="W34">
        <f t="array" ref="W34">MEDIAN(IF($C$3:$C$29=$C34,W$3:W$29,""))</f>
        <v>13.95</v>
      </c>
      <c r="X34">
        <f t="array" ref="X34">MEDIAN(IF($C$3:$C$29=$C34,X$3:X$29,""))</f>
        <v>16.649999999999999</v>
      </c>
      <c r="Y34">
        <f t="array" ref="Y34">MEDIAN(IF($C$3:$C$29=$C34,Y$3:Y$29,""))</f>
        <v>18.149999999999999</v>
      </c>
      <c r="Z34">
        <f t="array" ref="Z34">MEDIAN(IF($C$3:$C$29=$C34,Z$3:Z$29,""))</f>
        <v>18.95</v>
      </c>
      <c r="AA34">
        <f t="array" ref="AA34">MEDIAN(IF($C$3:$C$29=$C34,AA$3:AA$29,""))</f>
        <v>21.799999999999997</v>
      </c>
    </row>
    <row r="35" spans="3:27" x14ac:dyDescent="0.25">
      <c r="C35">
        <v>5</v>
      </c>
      <c r="D35">
        <f t="array" ref="D35">MEDIAN(IF($C$3:$C$29=$C35,D$3:D$29,""))</f>
        <v>25.4</v>
      </c>
      <c r="E35">
        <f t="array" ref="E35">MEDIAN(IF($C$3:$C$29=$C35,E$3:E$29,""))</f>
        <v>30.7</v>
      </c>
      <c r="F35">
        <f t="array" ref="F35">MEDIAN(IF($C$3:$C$29=$C35,F$3:F$29,""))</f>
        <v>0</v>
      </c>
      <c r="G35">
        <v>26</v>
      </c>
      <c r="H35">
        <f t="array" ref="H35">MEDIAN(IF($C$3:$C$29=$C35,H$3:H$29,""))</f>
        <v>25.700000000000003</v>
      </c>
      <c r="I35">
        <f t="array" ref="I35">MEDIAN(IF($C$3:$C$29=$C35,I$3:I$29,""))</f>
        <v>20.45</v>
      </c>
      <c r="J35">
        <f t="array" ref="J35">MEDIAN(IF($C$3:$C$29=$C35,J$3:J$29,""))</f>
        <v>12.7</v>
      </c>
      <c r="K35">
        <f t="array" ref="K35">MEDIAN(IF($C$3:$C$29=$C35,K$3:K$29,""))</f>
        <v>10</v>
      </c>
      <c r="L35">
        <f t="array" ref="L35">MEDIAN(IF($C$3:$C$29=$C35,L$3:L$29,""))</f>
        <v>10.45</v>
      </c>
      <c r="M35">
        <f t="array" ref="M35">MEDIAN(IF($C$3:$C$29=$C35,M$3:M$29,""))</f>
        <v>12.65</v>
      </c>
      <c r="N35">
        <f t="array" ref="N35">MEDIAN(IF($C$3:$C$29=$C35,N$3:N$29,""))</f>
        <v>12.649999999999999</v>
      </c>
      <c r="O35">
        <f t="array" ref="O35">MEDIAN(IF($C$3:$C$29=$C35,O$3:O$29,""))</f>
        <v>14.2</v>
      </c>
      <c r="P35">
        <f t="array" ref="P35">MEDIAN(IF($C$3:$C$29=$C35,P$3:P$29,""))</f>
        <v>13.05</v>
      </c>
      <c r="Q35">
        <f t="array" ref="Q35">MEDIAN(IF($C$3:$C$29=$C35,Q$3:Q$29,""))</f>
        <v>12.1</v>
      </c>
      <c r="R35">
        <f t="array" ref="R35">MEDIAN(IF($C$3:$C$29=$C35,R$3:R$29,""))</f>
        <v>13.45</v>
      </c>
      <c r="S35">
        <f t="array" ref="S35">MEDIAN(IF($C$3:$C$29=$C35,S$3:S$29,""))</f>
        <v>13.45</v>
      </c>
      <c r="T35">
        <f t="array" ref="T35">MEDIAN(IF($C$3:$C$29=$C35,T$3:T$29,""))</f>
        <v>12.7</v>
      </c>
      <c r="U35">
        <f t="array" ref="U35">MEDIAN(IF($C$3:$C$29=$C35,U$3:U$29,""))</f>
        <v>12.95</v>
      </c>
      <c r="V35">
        <f t="array" ref="V35">MEDIAN(IF($C$3:$C$29=$C35,V$3:V$29,""))</f>
        <v>12.05</v>
      </c>
      <c r="W35">
        <f t="array" ref="W35">MEDIAN(IF($C$3:$C$29=$C35,W$3:W$29,""))</f>
        <v>14.3</v>
      </c>
      <c r="X35">
        <f t="array" ref="X35">MEDIAN(IF($C$3:$C$29=$C35,X$3:X$29,""))</f>
        <v>14.85</v>
      </c>
      <c r="Y35">
        <f t="array" ref="Y35">MEDIAN(IF($C$3:$C$29=$C35,Y$3:Y$29,""))</f>
        <v>18.299999999999997</v>
      </c>
      <c r="Z35">
        <f t="array" ref="Z35">MEDIAN(IF($C$3:$C$29=$C35,Z$3:Z$29,""))</f>
        <v>19.350000000000001</v>
      </c>
      <c r="AA35">
        <f t="array" ref="AA35">MEDIAN(IF($C$3:$C$29=$C35,AA$3:AA$29,""))</f>
        <v>22.45</v>
      </c>
    </row>
    <row r="36" spans="3:27" x14ac:dyDescent="0.25">
      <c r="C36">
        <v>6</v>
      </c>
      <c r="D36">
        <f t="array" ref="D36">MEDIAN(IF($C$3:$C$29=$C36,D$3:D$29,""))</f>
        <v>24.1</v>
      </c>
      <c r="E36">
        <f t="array" ref="E36">MEDIAN(IF($C$3:$C$29=$C36,E$3:E$29,""))</f>
        <v>30.2</v>
      </c>
      <c r="F36">
        <f t="array" ref="F36">MEDIAN(IF($C$3:$C$29=$C36,F$3:F$29,""))</f>
        <v>0</v>
      </c>
      <c r="G36">
        <v>26</v>
      </c>
      <c r="H36">
        <f t="array" ref="H36">MEDIAN(IF($C$3:$C$29=$C36,H$3:H$29,""))</f>
        <v>23.8</v>
      </c>
      <c r="I36">
        <f t="array" ref="I36">MEDIAN(IF($C$3:$C$29=$C36,I$3:I$29,""))</f>
        <v>20</v>
      </c>
      <c r="J36">
        <f t="array" ref="J36">MEDIAN(IF($C$3:$C$29=$C36,J$3:J$29,""))</f>
        <v>13.1</v>
      </c>
      <c r="K36">
        <f t="array" ref="K36">MEDIAN(IF($C$3:$C$29=$C36,K$3:K$29,""))</f>
        <v>10.6</v>
      </c>
      <c r="L36">
        <f t="array" ref="L36">MEDIAN(IF($C$3:$C$29=$C36,L$3:L$29,""))</f>
        <v>10.9</v>
      </c>
      <c r="M36">
        <f t="array" ref="M36">MEDIAN(IF($C$3:$C$29=$C36,M$3:M$29,""))</f>
        <v>13</v>
      </c>
      <c r="N36">
        <f t="array" ref="N36">MEDIAN(IF($C$3:$C$29=$C36,N$3:N$29,""))</f>
        <v>12.5</v>
      </c>
      <c r="O36">
        <f t="array" ref="O36">MEDIAN(IF($C$3:$C$29=$C36,O$3:O$29,""))</f>
        <v>13.4</v>
      </c>
      <c r="P36">
        <f t="array" ref="P36">MEDIAN(IF($C$3:$C$29=$C36,P$3:P$29,""))</f>
        <v>12.9</v>
      </c>
      <c r="Q36">
        <f t="array" ref="Q36">MEDIAN(IF($C$3:$C$29=$C36,Q$3:Q$29,""))</f>
        <v>12.4</v>
      </c>
      <c r="R36">
        <f t="array" ref="R36">MEDIAN(IF($C$3:$C$29=$C36,R$3:R$29,""))</f>
        <v>14.1</v>
      </c>
      <c r="S36">
        <f t="array" ref="S36">MEDIAN(IF($C$3:$C$29=$C36,S$3:S$29,""))</f>
        <v>14.2</v>
      </c>
      <c r="T36">
        <f t="array" ref="T36">MEDIAN(IF($C$3:$C$29=$C36,T$3:T$29,""))</f>
        <v>13.4</v>
      </c>
      <c r="U36">
        <f t="array" ref="U36">MEDIAN(IF($C$3:$C$29=$C36,U$3:U$29,""))</f>
        <v>13.6</v>
      </c>
      <c r="V36">
        <f t="array" ref="V36">MEDIAN(IF($C$3:$C$29=$C36,V$3:V$29,""))</f>
        <v>12.7</v>
      </c>
      <c r="W36">
        <f t="array" ref="W36">MEDIAN(IF($C$3:$C$29=$C36,W$3:W$29,""))</f>
        <v>14.3</v>
      </c>
      <c r="X36">
        <f t="array" ref="X36">MEDIAN(IF($C$3:$C$29=$C36,X$3:X$29,""))</f>
        <v>16.2</v>
      </c>
      <c r="Y36">
        <f t="array" ref="Y36">MEDIAN(IF($C$3:$C$29=$C36,Y$3:Y$29,""))</f>
        <v>16.600000000000001</v>
      </c>
      <c r="Z36">
        <f t="array" ref="Z36">MEDIAN(IF($C$3:$C$29=$C36,Z$3:Z$29,""))</f>
        <v>20.3</v>
      </c>
      <c r="AA36">
        <f t="array" ref="AA36">MEDIAN(IF($C$3:$C$29=$C36,AA$3:AA$29,""))</f>
        <v>22.2</v>
      </c>
    </row>
    <row r="37" spans="3:27" x14ac:dyDescent="0.25">
      <c r="C37">
        <v>7</v>
      </c>
      <c r="D37">
        <f t="array" ref="D37">MEDIAN(IF($C$3:$C$29=$C37,D$3:D$29,""))</f>
        <v>25.450000000000003</v>
      </c>
      <c r="E37">
        <f t="array" ref="E37">MEDIAN(IF($C$3:$C$29=$C37,E$3:E$29,""))</f>
        <v>28.55</v>
      </c>
      <c r="F37">
        <f t="array" ref="F37">MEDIAN(IF($C$3:$C$29=$C37,F$3:F$29,""))</f>
        <v>0</v>
      </c>
      <c r="G37">
        <v>26</v>
      </c>
      <c r="H37">
        <f t="array" ref="H37">MEDIAN(IF($C$3:$C$29=$C37,H$3:H$29,""))</f>
        <v>24.1</v>
      </c>
      <c r="I37">
        <f t="array" ref="I37">MEDIAN(IF($C$3:$C$29=$C37,I$3:I$29,""))</f>
        <v>20.450000000000003</v>
      </c>
      <c r="J37">
        <f t="array" ref="J37">MEDIAN(IF($C$3:$C$29=$C37,J$3:J$29,""))</f>
        <v>13.6</v>
      </c>
      <c r="K37">
        <f t="array" ref="K37">MEDIAN(IF($C$3:$C$29=$C37,K$3:K$29,""))</f>
        <v>10.4</v>
      </c>
      <c r="L37">
        <f t="array" ref="L37">MEDIAN(IF($C$3:$C$29=$C37,L$3:L$29,""))</f>
        <v>10.5</v>
      </c>
      <c r="M37">
        <f t="array" ref="M37">MEDIAN(IF($C$3:$C$29=$C37,M$3:M$29,""))</f>
        <v>12.3</v>
      </c>
      <c r="N37">
        <f t="array" ref="N37">MEDIAN(IF($C$3:$C$29=$C37,N$3:N$29,""))</f>
        <v>12</v>
      </c>
      <c r="O37">
        <f t="array" ref="O37">MEDIAN(IF($C$3:$C$29=$C37,O$3:O$29,""))</f>
        <v>13.350000000000001</v>
      </c>
      <c r="P37">
        <f t="array" ref="P37">MEDIAN(IF($C$3:$C$29=$C37,P$3:P$29,""))</f>
        <v>11.850000000000001</v>
      </c>
      <c r="Q37">
        <f t="array" ref="Q37">MEDIAN(IF($C$3:$C$29=$C37,Q$3:Q$29,""))</f>
        <v>11.5</v>
      </c>
      <c r="R37">
        <f t="array" ref="R37">MEDIAN(IF($C$3:$C$29=$C37,R$3:R$29,""))</f>
        <v>13.75</v>
      </c>
      <c r="S37">
        <f t="array" ref="S37">MEDIAN(IF($C$3:$C$29=$C37,S$3:S$29,""))</f>
        <v>14.2</v>
      </c>
      <c r="T37">
        <f t="array" ref="T37">MEDIAN(IF($C$3:$C$29=$C37,T$3:T$29,""))</f>
        <v>12.600000000000001</v>
      </c>
      <c r="U37">
        <f t="array" ref="U37">MEDIAN(IF($C$3:$C$29=$C37,U$3:U$29,""))</f>
        <v>12.2</v>
      </c>
      <c r="V37">
        <f t="array" ref="V37">MEDIAN(IF($C$3:$C$29=$C37,V$3:V$29,""))</f>
        <v>12.399999999999999</v>
      </c>
      <c r="W37">
        <f t="array" ref="W37">MEDIAN(IF($C$3:$C$29=$C37,W$3:W$29,""))</f>
        <v>13.399999999999999</v>
      </c>
      <c r="X37">
        <f t="array" ref="X37">MEDIAN(IF($C$3:$C$29=$C37,X$3:X$29,""))</f>
        <v>15</v>
      </c>
      <c r="Y37">
        <f t="array" ref="Y37">MEDIAN(IF($C$3:$C$29=$C37,Y$3:Y$29,""))</f>
        <v>15.8</v>
      </c>
      <c r="Z37">
        <f t="array" ref="Z37">MEDIAN(IF($C$3:$C$29=$C37,Z$3:Z$29,""))</f>
        <v>18.100000000000001</v>
      </c>
      <c r="AA37">
        <f t="array" ref="AA37">MEDIAN(IF($C$3:$C$29=$C37,AA$3:AA$29,""))</f>
        <v>20.95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72C824D43E06243AD4FE730C2C44713" ma:contentTypeVersion="6" ma:contentTypeDescription="Crie um novo documento." ma:contentTypeScope="" ma:versionID="daebf15b60064f840d3cb0cb9d1e5752">
  <xsd:schema xmlns:xsd="http://www.w3.org/2001/XMLSchema" xmlns:xs="http://www.w3.org/2001/XMLSchema" xmlns:p="http://schemas.microsoft.com/office/2006/metadata/properties" xmlns:ns2="50a7a1bc-e98f-464a-8c94-5a56a72acfb7" targetNamespace="http://schemas.microsoft.com/office/2006/metadata/properties" ma:root="true" ma:fieldsID="1cb65029b64bafc5375af6835cf8dd8a" ns2:_="">
    <xsd:import namespace="50a7a1bc-e98f-464a-8c94-5a56a72acf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a7a1bc-e98f-464a-8c94-5a56a72acfb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EA73BAD-F254-42D6-A160-0F73D566262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9F118BA-40C0-47D9-80B8-92E03E62CE8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6ECC528-A166-49E2-BAB4-03406C2971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a7a1bc-e98f-464a-8c94-5a56a72acf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38</vt:i4>
      </vt:variant>
      <vt:variant>
        <vt:lpstr>Intervalos nomeados</vt:lpstr>
      </vt:variant>
      <vt:variant>
        <vt:i4>36</vt:i4>
      </vt:variant>
    </vt:vector>
  </HeadingPairs>
  <TitlesOfParts>
    <vt:vector size="74" baseType="lpstr">
      <vt:lpstr>All</vt:lpstr>
      <vt:lpstr>0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All1</vt:lpstr>
      <vt:lpstr>'1'!historico_velocidades_4708_10_0_1</vt:lpstr>
      <vt:lpstr>'10'!historico_velocidades_4708_10_0_10</vt:lpstr>
      <vt:lpstr>'11'!historico_velocidades_4708_10_0_11</vt:lpstr>
      <vt:lpstr>'12'!historico_velocidades_4708_10_0_12</vt:lpstr>
      <vt:lpstr>'13'!historico_velocidades_4708_10_0_13</vt:lpstr>
      <vt:lpstr>'14'!historico_velocidades_4708_10_0_14</vt:lpstr>
      <vt:lpstr>'15'!historico_velocidades_4708_10_0_15</vt:lpstr>
      <vt:lpstr>'16'!historico_velocidades_4708_10_0_16</vt:lpstr>
      <vt:lpstr>'17'!historico_velocidades_4708_10_0_17</vt:lpstr>
      <vt:lpstr>'18'!historico_velocidades_4708_10_0_18</vt:lpstr>
      <vt:lpstr>'19'!historico_velocidades_4708_10_0_19</vt:lpstr>
      <vt:lpstr>'2'!historico_velocidades_4708_10_0_2</vt:lpstr>
      <vt:lpstr>'20'!historico_velocidades_4708_10_0_20</vt:lpstr>
      <vt:lpstr>'21'!historico_velocidades_4708_10_0_21</vt:lpstr>
      <vt:lpstr>'22'!historico_velocidades_4708_10_0_22</vt:lpstr>
      <vt:lpstr>'23'!historico_velocidades_4708_10_0_23</vt:lpstr>
      <vt:lpstr>'24'!historico_velocidades_4708_10_0_24</vt:lpstr>
      <vt:lpstr>'25'!historico_velocidades_4708_10_0_25</vt:lpstr>
      <vt:lpstr>'26'!historico_velocidades_4708_10_0_26</vt:lpstr>
      <vt:lpstr>'27'!historico_velocidades_4708_10_0_27</vt:lpstr>
      <vt:lpstr>'28'!historico_velocidades_4708_10_0_28</vt:lpstr>
      <vt:lpstr>'29'!historico_velocidades_4708_10_0_29</vt:lpstr>
      <vt:lpstr>'3'!historico_velocidades_4708_10_0_3</vt:lpstr>
      <vt:lpstr>'30'!historico_velocidades_4708_10_0_30</vt:lpstr>
      <vt:lpstr>'31'!historico_velocidades_4708_10_0_31</vt:lpstr>
      <vt:lpstr>'32'!historico_velocidades_4708_10_0_32</vt:lpstr>
      <vt:lpstr>'33'!historico_velocidades_4708_10_0_33</vt:lpstr>
      <vt:lpstr>'34'!historico_velocidades_4708_10_0_34</vt:lpstr>
      <vt:lpstr>'35'!historico_velocidades_4708_10_0_35</vt:lpstr>
      <vt:lpstr>'4'!historico_velocidades_4708_10_0_4</vt:lpstr>
      <vt:lpstr>'5'!historico_velocidades_4708_10_0_5</vt:lpstr>
      <vt:lpstr>'6'!historico_velocidades_4708_10_0_6</vt:lpstr>
      <vt:lpstr>'7'!historico_velocidades_4708_10_0_7</vt:lpstr>
      <vt:lpstr>'8'!historico_velocidades_4708_10_0_8</vt:lpstr>
      <vt:lpstr>'9'!historico_velocidades_4708_10_0_9</vt:lpstr>
      <vt:lpstr>'All1'!historico_velocidades_4708_10_0_All1</vt:lpstr>
    </vt:vector>
  </TitlesOfParts>
  <Company>Daimler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Larsen, Gustavo Henrique (154)</dc:creator>
  <cp:lastModifiedBy>Mobility USP2</cp:lastModifiedBy>
  <dcterms:created xsi:type="dcterms:W3CDTF">2018-07-30T17:17:13Z</dcterms:created>
  <dcterms:modified xsi:type="dcterms:W3CDTF">2019-09-26T18:32:31Z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0x010100072C824D43E06243AD4FE730C2C44713</vt:lpwstr>
  </property>
</Properties>
</file>